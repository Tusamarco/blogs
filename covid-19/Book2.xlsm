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tables/table3.xml" ContentType="application/vnd.openxmlformats-officedocument.spreadsheetml.table+xml"/>
  <Override PartName="/xl/queryTables/queryTable3.xml" ContentType="application/vnd.openxmlformats-officedocument.spreadsheetml.query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tables/table4.xml" ContentType="application/vnd.openxmlformats-officedocument.spreadsheetml.table+xml"/>
  <Override PartName="/xl/queryTables/queryTable4.xml" ContentType="application/vnd.openxmlformats-officedocument.spreadsheetml.queryTab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workbookPr codeName="ThisWorkbook" defaultThemeVersion="166925"/>
  <mc:AlternateContent xmlns:mc="http://schemas.openxmlformats.org/markup-compatibility/2006">
    <mc:Choice Requires="x15">
      <x15ac:absPath xmlns:x15ac="http://schemas.microsoft.com/office/spreadsheetml/2010/11/ac" url="/Users/marcotusa/work/casa_roma/corona_2020/"/>
    </mc:Choice>
  </mc:AlternateContent>
  <xr:revisionPtr revIDLastSave="0" documentId="13_ncr:1_{C29F7D7D-6056-E94B-B072-D690D39A4881}" xr6:coauthVersionLast="45" xr6:coauthVersionMax="45" xr10:uidLastSave="{00000000-0000-0000-0000-000000000000}"/>
  <bookViews>
    <workbookView xWindow="1020" yWindow="820" windowWidth="28260" windowHeight="14920" activeTab="3" xr2:uid="{7BF95884-CC36-4FDE-A5E9-AE8680848D49}"/>
  </bookViews>
  <sheets>
    <sheet name="prov" sheetId="2" r:id="rId1"/>
    <sheet name="Sheet5" sheetId="5" r:id="rId2"/>
    <sheet name="Sheet4" sheetId="4" r:id="rId3"/>
    <sheet name="Sheet6" sheetId="6" r:id="rId4"/>
    <sheet name="morti_per_regione" sheetId="7" r:id="rId5"/>
    <sheet name="poplazione_by_city" sheetId="8" r:id="rId6"/>
    <sheet name="pop_by_region" sheetId="9" r:id="rId7"/>
    <sheet name="Sheet1" sheetId="1" r:id="rId8"/>
  </sheets>
  <definedNames>
    <definedName name="ExternalData_1" localSheetId="4" hidden="1">morti_per_regione!$A$1:$D$24</definedName>
    <definedName name="ExternalData_1" localSheetId="6" hidden="1">pop_by_region!$A$1:$D$24</definedName>
    <definedName name="ExternalData_1" localSheetId="5" hidden="1">poplazione_by_city!$A$1:$D$108</definedName>
    <definedName name="ExternalData_1" localSheetId="0" hidden="1">prov!$A$2:$F$4853</definedName>
    <definedName name="ExternalData_1" localSheetId="2" hidden="1">Sheet4!$A$2:$K$238</definedName>
    <definedName name="ExternalData_1" localSheetId="3" hidden="1">Sheet6!$A$2:$R$239</definedName>
    <definedName name="ExternalData_2" localSheetId="1" hidden="1">Sheet5!$A$2:$K$23</definedName>
    <definedName name="Slicer_region_name">#N/A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C259" i="6" l="1"/>
  <c r="AC258" i="6"/>
  <c r="AC257" i="6"/>
  <c r="Z239" i="6"/>
  <c r="AA239" i="6"/>
  <c r="AB239" i="6"/>
  <c r="AC239" i="6"/>
  <c r="AD239" i="6"/>
  <c r="AE239" i="6"/>
  <c r="S238" i="6"/>
  <c r="T238" i="6"/>
  <c r="U238" i="6"/>
  <c r="V238" i="6"/>
  <c r="W238" i="6"/>
  <c r="Y238" i="6"/>
  <c r="X238" i="6" s="1"/>
  <c r="S239" i="6"/>
  <c r="T239" i="6"/>
  <c r="U239" i="6"/>
  <c r="V239" i="6"/>
  <c r="W239" i="6"/>
  <c r="Y239" i="6"/>
  <c r="X239" i="6" s="1"/>
  <c r="S5" i="6"/>
  <c r="S6" i="6"/>
  <c r="S7" i="6"/>
  <c r="S8" i="6"/>
  <c r="S9" i="6"/>
  <c r="S10" i="6"/>
  <c r="S11" i="6"/>
  <c r="S12" i="6"/>
  <c r="S13" i="6"/>
  <c r="S14" i="6"/>
  <c r="S15" i="6"/>
  <c r="S16" i="6"/>
  <c r="S17" i="6"/>
  <c r="S18" i="6"/>
  <c r="S19" i="6"/>
  <c r="S20" i="6"/>
  <c r="S21" i="6"/>
  <c r="S22" i="6"/>
  <c r="S23" i="6"/>
  <c r="S24" i="6"/>
  <c r="S25" i="6"/>
  <c r="S26" i="6"/>
  <c r="S27" i="6"/>
  <c r="S28" i="6"/>
  <c r="S29" i="6"/>
  <c r="S30" i="6"/>
  <c r="S31" i="6"/>
  <c r="S32" i="6"/>
  <c r="S33" i="6"/>
  <c r="S34" i="6"/>
  <c r="S35" i="6"/>
  <c r="S36" i="6"/>
  <c r="S37" i="6"/>
  <c r="S38" i="6"/>
  <c r="S39" i="6"/>
  <c r="S40" i="6"/>
  <c r="S41" i="6"/>
  <c r="S42" i="6"/>
  <c r="S43" i="6"/>
  <c r="S44" i="6"/>
  <c r="S45" i="6"/>
  <c r="S46" i="6"/>
  <c r="S47" i="6"/>
  <c r="S48" i="6"/>
  <c r="S49" i="6"/>
  <c r="S50" i="6"/>
  <c r="S51" i="6"/>
  <c r="S52" i="6"/>
  <c r="S53" i="6"/>
  <c r="S54" i="6"/>
  <c r="S55" i="6"/>
  <c r="S56" i="6"/>
  <c r="S57" i="6"/>
  <c r="S58" i="6"/>
  <c r="S59" i="6"/>
  <c r="S60" i="6"/>
  <c r="S61" i="6"/>
  <c r="S62" i="6"/>
  <c r="S63" i="6"/>
  <c r="S64" i="6"/>
  <c r="S65" i="6"/>
  <c r="S66" i="6"/>
  <c r="S67" i="6"/>
  <c r="S68" i="6"/>
  <c r="S69" i="6"/>
  <c r="S70" i="6"/>
  <c r="S71" i="6"/>
  <c r="S72" i="6"/>
  <c r="S73" i="6"/>
  <c r="S74" i="6"/>
  <c r="S75" i="6"/>
  <c r="S76" i="6"/>
  <c r="S77" i="6"/>
  <c r="S78" i="6"/>
  <c r="S79" i="6"/>
  <c r="S80" i="6"/>
  <c r="S81" i="6"/>
  <c r="S82" i="6"/>
  <c r="S83" i="6"/>
  <c r="S84" i="6"/>
  <c r="S85" i="6"/>
  <c r="S86" i="6"/>
  <c r="S87" i="6"/>
  <c r="S88" i="6"/>
  <c r="S89" i="6"/>
  <c r="S90" i="6"/>
  <c r="S91" i="6"/>
  <c r="S92" i="6"/>
  <c r="S93" i="6"/>
  <c r="S94" i="6"/>
  <c r="S95" i="6"/>
  <c r="S96" i="6"/>
  <c r="S97" i="6"/>
  <c r="S98" i="6"/>
  <c r="S99" i="6"/>
  <c r="S100" i="6"/>
  <c r="S101" i="6"/>
  <c r="S102" i="6"/>
  <c r="S103" i="6"/>
  <c r="S104" i="6"/>
  <c r="S105" i="6"/>
  <c r="S106" i="6"/>
  <c r="S107" i="6"/>
  <c r="S108" i="6"/>
  <c r="S109" i="6"/>
  <c r="S110" i="6"/>
  <c r="S111" i="6"/>
  <c r="S112" i="6"/>
  <c r="S113" i="6"/>
  <c r="S114" i="6"/>
  <c r="S115" i="6"/>
  <c r="S116" i="6"/>
  <c r="S117" i="6"/>
  <c r="S118" i="6"/>
  <c r="S119" i="6"/>
  <c r="S120" i="6"/>
  <c r="S121" i="6"/>
  <c r="S122" i="6"/>
  <c r="S123" i="6"/>
  <c r="S124" i="6"/>
  <c r="S125" i="6"/>
  <c r="S126" i="6"/>
  <c r="S127" i="6"/>
  <c r="S128" i="6"/>
  <c r="S129" i="6"/>
  <c r="S130" i="6"/>
  <c r="S131" i="6"/>
  <c r="S132" i="6"/>
  <c r="S133" i="6"/>
  <c r="S134" i="6"/>
  <c r="S135" i="6"/>
  <c r="S136" i="6"/>
  <c r="S137" i="6"/>
  <c r="S138" i="6"/>
  <c r="S139" i="6"/>
  <c r="S140" i="6"/>
  <c r="S141" i="6"/>
  <c r="S142" i="6"/>
  <c r="S143" i="6"/>
  <c r="S144" i="6"/>
  <c r="S145" i="6"/>
  <c r="S146" i="6"/>
  <c r="S147" i="6"/>
  <c r="S148" i="6"/>
  <c r="S149" i="6"/>
  <c r="S150" i="6"/>
  <c r="S151" i="6"/>
  <c r="S152" i="6"/>
  <c r="S153" i="6"/>
  <c r="S154" i="6"/>
  <c r="S155" i="6"/>
  <c r="S156" i="6"/>
  <c r="S157" i="6"/>
  <c r="S158" i="6"/>
  <c r="S159" i="6"/>
  <c r="S160" i="6"/>
  <c r="S161" i="6"/>
  <c r="S162" i="6"/>
  <c r="S163" i="6"/>
  <c r="S164" i="6"/>
  <c r="S165" i="6"/>
  <c r="S166" i="6"/>
  <c r="S167" i="6"/>
  <c r="S168" i="6"/>
  <c r="S169" i="6"/>
  <c r="S170" i="6"/>
  <c r="S171" i="6"/>
  <c r="S172" i="6"/>
  <c r="S173" i="6"/>
  <c r="S174" i="6"/>
  <c r="S175" i="6"/>
  <c r="S176" i="6"/>
  <c r="S177" i="6"/>
  <c r="S178" i="6"/>
  <c r="S179" i="6"/>
  <c r="S180" i="6"/>
  <c r="S181" i="6"/>
  <c r="S182" i="6"/>
  <c r="S183" i="6"/>
  <c r="S184" i="6"/>
  <c r="S185" i="6"/>
  <c r="S186" i="6"/>
  <c r="S187" i="6"/>
  <c r="S188" i="6"/>
  <c r="S189" i="6"/>
  <c r="S190" i="6"/>
  <c r="S191" i="6"/>
  <c r="S192" i="6"/>
  <c r="S193" i="6"/>
  <c r="S194" i="6"/>
  <c r="S195" i="6"/>
  <c r="S196" i="6"/>
  <c r="S197" i="6"/>
  <c r="S198" i="6"/>
  <c r="S199" i="6"/>
  <c r="S200" i="6"/>
  <c r="S201" i="6"/>
  <c r="S202" i="6"/>
  <c r="S203" i="6"/>
  <c r="S204" i="6"/>
  <c r="S205" i="6"/>
  <c r="S206" i="6"/>
  <c r="S207" i="6"/>
  <c r="S208" i="6"/>
  <c r="S209" i="6"/>
  <c r="S210" i="6"/>
  <c r="S211" i="6"/>
  <c r="S212" i="6"/>
  <c r="S213" i="6"/>
  <c r="S214" i="6"/>
  <c r="S215" i="6"/>
  <c r="S216" i="6"/>
  <c r="S217" i="6"/>
  <c r="S218" i="6"/>
  <c r="S219" i="6"/>
  <c r="S220" i="6"/>
  <c r="S221" i="6"/>
  <c r="S222" i="6"/>
  <c r="S223" i="6"/>
  <c r="S224" i="6"/>
  <c r="S225" i="6"/>
  <c r="S226" i="6"/>
  <c r="S227" i="6"/>
  <c r="S228" i="6"/>
  <c r="S229" i="6"/>
  <c r="S230" i="6"/>
  <c r="S231" i="6"/>
  <c r="S232" i="6"/>
  <c r="S233" i="6"/>
  <c r="S234" i="6"/>
  <c r="S235" i="6"/>
  <c r="S236" i="6"/>
  <c r="S237" i="6"/>
  <c r="S4" i="6"/>
  <c r="S3" i="6"/>
  <c r="W4" i="6"/>
  <c r="W5" i="6"/>
  <c r="W6" i="6"/>
  <c r="W7" i="6"/>
  <c r="W8" i="6"/>
  <c r="W9" i="6"/>
  <c r="W10" i="6"/>
  <c r="W11" i="6"/>
  <c r="W12" i="6"/>
  <c r="W13" i="6"/>
  <c r="W14" i="6"/>
  <c r="W15" i="6"/>
  <c r="W16" i="6"/>
  <c r="W17" i="6"/>
  <c r="W18" i="6"/>
  <c r="W19" i="6"/>
  <c r="W20" i="6"/>
  <c r="W21" i="6"/>
  <c r="W22" i="6"/>
  <c r="W23" i="6"/>
  <c r="W24" i="6"/>
  <c r="W25" i="6"/>
  <c r="W26" i="6"/>
  <c r="W27" i="6"/>
  <c r="W28" i="6"/>
  <c r="W29" i="6"/>
  <c r="W30" i="6"/>
  <c r="W31" i="6"/>
  <c r="W32" i="6"/>
  <c r="W33" i="6"/>
  <c r="W34" i="6"/>
  <c r="W35" i="6"/>
  <c r="W36" i="6"/>
  <c r="W37" i="6"/>
  <c r="W38" i="6"/>
  <c r="W39" i="6"/>
  <c r="W40" i="6"/>
  <c r="W41" i="6"/>
  <c r="W42" i="6"/>
  <c r="W43" i="6"/>
  <c r="W44" i="6"/>
  <c r="W45" i="6"/>
  <c r="W46" i="6"/>
  <c r="W47" i="6"/>
  <c r="W48" i="6"/>
  <c r="W49" i="6"/>
  <c r="W50" i="6"/>
  <c r="W51" i="6"/>
  <c r="W52" i="6"/>
  <c r="W53" i="6"/>
  <c r="W54" i="6"/>
  <c r="W55" i="6"/>
  <c r="W56" i="6"/>
  <c r="W57" i="6"/>
  <c r="W58" i="6"/>
  <c r="W59" i="6"/>
  <c r="W60" i="6"/>
  <c r="W61" i="6"/>
  <c r="W62" i="6"/>
  <c r="W63" i="6"/>
  <c r="W64" i="6"/>
  <c r="W65" i="6"/>
  <c r="W66" i="6"/>
  <c r="W67" i="6"/>
  <c r="W68" i="6"/>
  <c r="W69" i="6"/>
  <c r="W70" i="6"/>
  <c r="W71" i="6"/>
  <c r="W72" i="6"/>
  <c r="W73" i="6"/>
  <c r="W74" i="6"/>
  <c r="W75" i="6"/>
  <c r="W76" i="6"/>
  <c r="W77" i="6"/>
  <c r="W78" i="6"/>
  <c r="W79" i="6"/>
  <c r="W80" i="6"/>
  <c r="W81" i="6"/>
  <c r="W82" i="6"/>
  <c r="W83" i="6"/>
  <c r="W84" i="6"/>
  <c r="W85" i="6"/>
  <c r="W86" i="6"/>
  <c r="W87" i="6"/>
  <c r="W88" i="6"/>
  <c r="W89" i="6"/>
  <c r="W90" i="6"/>
  <c r="W91" i="6"/>
  <c r="W92" i="6"/>
  <c r="W93" i="6"/>
  <c r="W94" i="6"/>
  <c r="W95" i="6"/>
  <c r="W96" i="6"/>
  <c r="W97" i="6"/>
  <c r="W98" i="6"/>
  <c r="W99" i="6"/>
  <c r="W100" i="6"/>
  <c r="W101" i="6"/>
  <c r="W102" i="6"/>
  <c r="W103" i="6"/>
  <c r="W104" i="6"/>
  <c r="W105" i="6"/>
  <c r="W106" i="6"/>
  <c r="W107" i="6"/>
  <c r="W108" i="6"/>
  <c r="W109" i="6"/>
  <c r="W110" i="6"/>
  <c r="W111" i="6"/>
  <c r="W112" i="6"/>
  <c r="W113" i="6"/>
  <c r="W114" i="6"/>
  <c r="W115" i="6"/>
  <c r="W116" i="6"/>
  <c r="W117" i="6"/>
  <c r="W118" i="6"/>
  <c r="W119" i="6"/>
  <c r="W120" i="6"/>
  <c r="W121" i="6"/>
  <c r="W122" i="6"/>
  <c r="W123" i="6"/>
  <c r="W124" i="6"/>
  <c r="W125" i="6"/>
  <c r="W126" i="6"/>
  <c r="W127" i="6"/>
  <c r="W128" i="6"/>
  <c r="W129" i="6"/>
  <c r="W130" i="6"/>
  <c r="W131" i="6"/>
  <c r="W132" i="6"/>
  <c r="W133" i="6"/>
  <c r="W134" i="6"/>
  <c r="W135" i="6"/>
  <c r="W136" i="6"/>
  <c r="W137" i="6"/>
  <c r="W138" i="6"/>
  <c r="W139" i="6"/>
  <c r="W140" i="6"/>
  <c r="W141" i="6"/>
  <c r="W142" i="6"/>
  <c r="W143" i="6"/>
  <c r="W144" i="6"/>
  <c r="W145" i="6"/>
  <c r="W146" i="6"/>
  <c r="W147" i="6"/>
  <c r="W148" i="6"/>
  <c r="W149" i="6"/>
  <c r="W150" i="6"/>
  <c r="W151" i="6"/>
  <c r="W152" i="6"/>
  <c r="W153" i="6"/>
  <c r="W154" i="6"/>
  <c r="W155" i="6"/>
  <c r="W156" i="6"/>
  <c r="W157" i="6"/>
  <c r="W158" i="6"/>
  <c r="W159" i="6"/>
  <c r="W160" i="6"/>
  <c r="W161" i="6"/>
  <c r="W162" i="6"/>
  <c r="W163" i="6"/>
  <c r="W164" i="6"/>
  <c r="W165" i="6"/>
  <c r="W166" i="6"/>
  <c r="W167" i="6"/>
  <c r="W168" i="6"/>
  <c r="W169" i="6"/>
  <c r="W170" i="6"/>
  <c r="W171" i="6"/>
  <c r="W172" i="6"/>
  <c r="W173" i="6"/>
  <c r="W174" i="6"/>
  <c r="W175" i="6"/>
  <c r="W176" i="6"/>
  <c r="W177" i="6"/>
  <c r="W178" i="6"/>
  <c r="W179" i="6"/>
  <c r="W180" i="6"/>
  <c r="W181" i="6"/>
  <c r="W182" i="6"/>
  <c r="W183" i="6"/>
  <c r="W184" i="6"/>
  <c r="W185" i="6"/>
  <c r="W186" i="6"/>
  <c r="W187" i="6"/>
  <c r="W188" i="6"/>
  <c r="W189" i="6"/>
  <c r="W190" i="6"/>
  <c r="W191" i="6"/>
  <c r="W192" i="6"/>
  <c r="W193" i="6"/>
  <c r="W194" i="6"/>
  <c r="W195" i="6"/>
  <c r="W196" i="6"/>
  <c r="W197" i="6"/>
  <c r="W198" i="6"/>
  <c r="W199" i="6"/>
  <c r="W200" i="6"/>
  <c r="W201" i="6"/>
  <c r="W202" i="6"/>
  <c r="W203" i="6"/>
  <c r="W204" i="6"/>
  <c r="W205" i="6"/>
  <c r="W206" i="6"/>
  <c r="W207" i="6"/>
  <c r="W208" i="6"/>
  <c r="W209" i="6"/>
  <c r="W210" i="6"/>
  <c r="W211" i="6"/>
  <c r="W212" i="6"/>
  <c r="W213" i="6"/>
  <c r="W214" i="6"/>
  <c r="W215" i="6"/>
  <c r="W216" i="6"/>
  <c r="W217" i="6"/>
  <c r="W218" i="6"/>
  <c r="W219" i="6"/>
  <c r="W220" i="6"/>
  <c r="W221" i="6"/>
  <c r="W222" i="6"/>
  <c r="W223" i="6"/>
  <c r="W224" i="6"/>
  <c r="W225" i="6"/>
  <c r="W226" i="6"/>
  <c r="W227" i="6"/>
  <c r="W228" i="6"/>
  <c r="W229" i="6"/>
  <c r="W230" i="6"/>
  <c r="W231" i="6"/>
  <c r="W232" i="6"/>
  <c r="W233" i="6"/>
  <c r="W234" i="6"/>
  <c r="W235" i="6"/>
  <c r="W236" i="6"/>
  <c r="W237" i="6"/>
  <c r="X6" i="6"/>
  <c r="X14" i="6"/>
  <c r="X62" i="6"/>
  <c r="X70" i="6"/>
  <c r="X78" i="6"/>
  <c r="X126" i="6"/>
  <c r="X134" i="6"/>
  <c r="X142" i="6"/>
  <c r="X190" i="6"/>
  <c r="X198" i="6"/>
  <c r="X206" i="6"/>
  <c r="T5" i="6"/>
  <c r="T6" i="6"/>
  <c r="T7" i="6"/>
  <c r="T8" i="6"/>
  <c r="T9" i="6"/>
  <c r="T10" i="6"/>
  <c r="T11" i="6"/>
  <c r="T12" i="6"/>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51" i="6"/>
  <c r="T52" i="6"/>
  <c r="T53" i="6"/>
  <c r="T54" i="6"/>
  <c r="T55" i="6"/>
  <c r="T56" i="6"/>
  <c r="T57" i="6"/>
  <c r="T58" i="6"/>
  <c r="T59" i="6"/>
  <c r="T60" i="6"/>
  <c r="T61" i="6"/>
  <c r="T62" i="6"/>
  <c r="T63" i="6"/>
  <c r="T64" i="6"/>
  <c r="T65" i="6"/>
  <c r="T66" i="6"/>
  <c r="T67" i="6"/>
  <c r="T68" i="6"/>
  <c r="T69" i="6"/>
  <c r="T70" i="6"/>
  <c r="T71" i="6"/>
  <c r="T72" i="6"/>
  <c r="T73" i="6"/>
  <c r="T74" i="6"/>
  <c r="T75" i="6"/>
  <c r="T76" i="6"/>
  <c r="T77" i="6"/>
  <c r="T78" i="6"/>
  <c r="T79" i="6"/>
  <c r="T80" i="6"/>
  <c r="T81" i="6"/>
  <c r="T82" i="6"/>
  <c r="T83" i="6"/>
  <c r="T84" i="6"/>
  <c r="T85" i="6"/>
  <c r="T86" i="6"/>
  <c r="T87" i="6"/>
  <c r="T88" i="6"/>
  <c r="T89" i="6"/>
  <c r="T90" i="6"/>
  <c r="T91" i="6"/>
  <c r="T92" i="6"/>
  <c r="T93" i="6"/>
  <c r="T94" i="6"/>
  <c r="T95" i="6"/>
  <c r="T96" i="6"/>
  <c r="T97" i="6"/>
  <c r="T98" i="6"/>
  <c r="T99" i="6"/>
  <c r="T100" i="6"/>
  <c r="T101" i="6"/>
  <c r="T102" i="6"/>
  <c r="T103" i="6"/>
  <c r="T104" i="6"/>
  <c r="T105" i="6"/>
  <c r="T106" i="6"/>
  <c r="T107" i="6"/>
  <c r="T108" i="6"/>
  <c r="T109" i="6"/>
  <c r="T110" i="6"/>
  <c r="T111" i="6"/>
  <c r="T112" i="6"/>
  <c r="T113" i="6"/>
  <c r="T114" i="6"/>
  <c r="T115" i="6"/>
  <c r="T116" i="6"/>
  <c r="T117" i="6"/>
  <c r="T118" i="6"/>
  <c r="T119" i="6"/>
  <c r="T120" i="6"/>
  <c r="T121" i="6"/>
  <c r="T122" i="6"/>
  <c r="T123" i="6"/>
  <c r="T124" i="6"/>
  <c r="T125" i="6"/>
  <c r="T126" i="6"/>
  <c r="T127" i="6"/>
  <c r="T128" i="6"/>
  <c r="T129" i="6"/>
  <c r="T130" i="6"/>
  <c r="T131" i="6"/>
  <c r="T132" i="6"/>
  <c r="T133" i="6"/>
  <c r="T134" i="6"/>
  <c r="T135" i="6"/>
  <c r="T136" i="6"/>
  <c r="T137" i="6"/>
  <c r="T138" i="6"/>
  <c r="T139" i="6"/>
  <c r="T140" i="6"/>
  <c r="T141" i="6"/>
  <c r="T142" i="6"/>
  <c r="T143" i="6"/>
  <c r="T144" i="6"/>
  <c r="T145" i="6"/>
  <c r="T146" i="6"/>
  <c r="T147" i="6"/>
  <c r="T148" i="6"/>
  <c r="T149" i="6"/>
  <c r="T150" i="6"/>
  <c r="T151" i="6"/>
  <c r="T152" i="6"/>
  <c r="T153" i="6"/>
  <c r="T154" i="6"/>
  <c r="T155" i="6"/>
  <c r="T156" i="6"/>
  <c r="T157" i="6"/>
  <c r="T158" i="6"/>
  <c r="T159" i="6"/>
  <c r="T160" i="6"/>
  <c r="T161" i="6"/>
  <c r="T162" i="6"/>
  <c r="T163" i="6"/>
  <c r="T164" i="6"/>
  <c r="T165" i="6"/>
  <c r="T166" i="6"/>
  <c r="T167" i="6"/>
  <c r="T168" i="6"/>
  <c r="T169" i="6"/>
  <c r="T170" i="6"/>
  <c r="T171" i="6"/>
  <c r="T172" i="6"/>
  <c r="T173" i="6"/>
  <c r="T174" i="6"/>
  <c r="T175" i="6"/>
  <c r="T176" i="6"/>
  <c r="T177" i="6"/>
  <c r="T178" i="6"/>
  <c r="T179" i="6"/>
  <c r="T180" i="6"/>
  <c r="T181" i="6"/>
  <c r="T182" i="6"/>
  <c r="T183" i="6"/>
  <c r="T184" i="6"/>
  <c r="T185" i="6"/>
  <c r="T186" i="6"/>
  <c r="T187" i="6"/>
  <c r="T188" i="6"/>
  <c r="T189" i="6"/>
  <c r="T190" i="6"/>
  <c r="T191" i="6"/>
  <c r="T192" i="6"/>
  <c r="T193" i="6"/>
  <c r="T194" i="6"/>
  <c r="T195" i="6"/>
  <c r="T196" i="6"/>
  <c r="T197" i="6"/>
  <c r="T198" i="6"/>
  <c r="T199" i="6"/>
  <c r="T200" i="6"/>
  <c r="T201" i="6"/>
  <c r="T202" i="6"/>
  <c r="T203" i="6"/>
  <c r="T204" i="6"/>
  <c r="T205" i="6"/>
  <c r="T206" i="6"/>
  <c r="T207" i="6"/>
  <c r="T208" i="6"/>
  <c r="T209" i="6"/>
  <c r="T210" i="6"/>
  <c r="T211" i="6"/>
  <c r="T212" i="6"/>
  <c r="T213" i="6"/>
  <c r="T214" i="6"/>
  <c r="T215" i="6"/>
  <c r="T216" i="6"/>
  <c r="T217" i="6"/>
  <c r="T218" i="6"/>
  <c r="T219" i="6"/>
  <c r="T220" i="6"/>
  <c r="T221" i="6"/>
  <c r="T222" i="6"/>
  <c r="T223" i="6"/>
  <c r="T224" i="6"/>
  <c r="T225" i="6"/>
  <c r="T226" i="6"/>
  <c r="T227" i="6"/>
  <c r="T228" i="6"/>
  <c r="T229" i="6"/>
  <c r="T230" i="6"/>
  <c r="T231" i="6"/>
  <c r="T232" i="6"/>
  <c r="T233" i="6"/>
  <c r="T234" i="6"/>
  <c r="T235" i="6"/>
  <c r="T236" i="6"/>
  <c r="T237" i="6"/>
  <c r="T4" i="6"/>
  <c r="T3" i="6"/>
  <c r="AE3" i="6"/>
  <c r="AD3" i="6"/>
  <c r="L234" i="4"/>
  <c r="M234" i="4"/>
  <c r="N234" i="4"/>
  <c r="O234" i="4" s="1"/>
  <c r="P234" i="4"/>
  <c r="Q234" i="4"/>
  <c r="L235" i="4"/>
  <c r="Q235" i="4" s="1"/>
  <c r="M235" i="4"/>
  <c r="N235" i="4"/>
  <c r="O235" i="4"/>
  <c r="P235" i="4"/>
  <c r="L236" i="4"/>
  <c r="M236" i="4"/>
  <c r="Q236" i="4" s="1"/>
  <c r="N236" i="4"/>
  <c r="O236" i="4" s="1"/>
  <c r="P236" i="4"/>
  <c r="L237" i="4"/>
  <c r="M237" i="4"/>
  <c r="Q237" i="4" s="1"/>
  <c r="N237" i="4"/>
  <c r="O237" i="4" s="1"/>
  <c r="P237" i="4"/>
  <c r="L238" i="4"/>
  <c r="M238" i="4"/>
  <c r="Q238" i="4" s="1"/>
  <c r="N238" i="4"/>
  <c r="O238" i="4"/>
  <c r="P238" i="4"/>
  <c r="M3" i="4"/>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Q114" i="4" s="1"/>
  <c r="M115" i="4"/>
  <c r="M116" i="4"/>
  <c r="M117" i="4"/>
  <c r="M118" i="4"/>
  <c r="M119" i="4"/>
  <c r="M120" i="4"/>
  <c r="M121" i="4"/>
  <c r="M122" i="4"/>
  <c r="Q122" i="4" s="1"/>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P4" i="4"/>
  <c r="P5" i="4"/>
  <c r="P6" i="4"/>
  <c r="P7" i="4"/>
  <c r="P8" i="4"/>
  <c r="P9" i="4"/>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210" i="4"/>
  <c r="P211" i="4"/>
  <c r="P212" i="4"/>
  <c r="P213" i="4"/>
  <c r="P214" i="4"/>
  <c r="P215" i="4"/>
  <c r="P216" i="4"/>
  <c r="P217" i="4"/>
  <c r="P218" i="4"/>
  <c r="P219" i="4"/>
  <c r="P220" i="4"/>
  <c r="P221" i="4"/>
  <c r="P222" i="4"/>
  <c r="P223" i="4"/>
  <c r="P224" i="4"/>
  <c r="P225" i="4"/>
  <c r="P226" i="4"/>
  <c r="P227" i="4"/>
  <c r="P228" i="4"/>
  <c r="P229" i="4"/>
  <c r="P230" i="4"/>
  <c r="P231" i="4"/>
  <c r="P232" i="4"/>
  <c r="P233" i="4"/>
  <c r="U236" i="6"/>
  <c r="AD236" i="6" s="1"/>
  <c r="V236" i="6"/>
  <c r="Y236" i="6"/>
  <c r="X236" i="6" s="1"/>
  <c r="AA236" i="6"/>
  <c r="AB236" i="6"/>
  <c r="AC236" i="6"/>
  <c r="U237" i="6"/>
  <c r="AD237" i="6" s="1"/>
  <c r="V237" i="6"/>
  <c r="Y237" i="6"/>
  <c r="X237" i="6" s="1"/>
  <c r="AA237" i="6"/>
  <c r="AB237" i="6"/>
  <c r="AC237" i="6"/>
  <c r="AD238" i="6"/>
  <c r="AA238" i="6"/>
  <c r="AB238" i="6"/>
  <c r="AC238" i="6"/>
  <c r="AA235" i="6"/>
  <c r="AB235" i="6"/>
  <c r="AC235" i="6"/>
  <c r="U234" i="6"/>
  <c r="AE234" i="6" s="1"/>
  <c r="V234" i="6"/>
  <c r="Y234" i="6"/>
  <c r="X234" i="6" s="1"/>
  <c r="U235" i="6"/>
  <c r="AE235" i="6" s="1"/>
  <c r="V235" i="6"/>
  <c r="Y235" i="6"/>
  <c r="X235" i="6" s="1"/>
  <c r="Y5" i="6"/>
  <c r="X5" i="6" s="1"/>
  <c r="Y6" i="6"/>
  <c r="Y7" i="6"/>
  <c r="X7" i="6" s="1"/>
  <c r="Y8" i="6"/>
  <c r="X8" i="6" s="1"/>
  <c r="Y9" i="6"/>
  <c r="X9" i="6" s="1"/>
  <c r="Y10" i="6"/>
  <c r="X10" i="6" s="1"/>
  <c r="Y11" i="6"/>
  <c r="X11" i="6" s="1"/>
  <c r="Y12" i="6"/>
  <c r="X12" i="6" s="1"/>
  <c r="Y13" i="6"/>
  <c r="X13" i="6" s="1"/>
  <c r="Y14" i="6"/>
  <c r="Y15" i="6"/>
  <c r="X15" i="6" s="1"/>
  <c r="Y16" i="6"/>
  <c r="X16" i="6" s="1"/>
  <c r="Y17" i="6"/>
  <c r="X17" i="6" s="1"/>
  <c r="Y18" i="6"/>
  <c r="X18" i="6" s="1"/>
  <c r="Y19" i="6"/>
  <c r="X19" i="6" s="1"/>
  <c r="Y20" i="6"/>
  <c r="X20" i="6" s="1"/>
  <c r="Y21" i="6"/>
  <c r="X21" i="6" s="1"/>
  <c r="Y22" i="6"/>
  <c r="X22" i="6" s="1"/>
  <c r="Y23" i="6"/>
  <c r="X23" i="6" s="1"/>
  <c r="Y24" i="6"/>
  <c r="X24" i="6" s="1"/>
  <c r="Y25" i="6"/>
  <c r="X25" i="6" s="1"/>
  <c r="Y26" i="6"/>
  <c r="X26" i="6" s="1"/>
  <c r="Y27" i="6"/>
  <c r="X27" i="6" s="1"/>
  <c r="Y28" i="6"/>
  <c r="X28" i="6" s="1"/>
  <c r="Y29" i="6"/>
  <c r="X29" i="6" s="1"/>
  <c r="Y30" i="6"/>
  <c r="X30" i="6" s="1"/>
  <c r="Y31" i="6"/>
  <c r="X31" i="6" s="1"/>
  <c r="Y32" i="6"/>
  <c r="X32" i="6" s="1"/>
  <c r="Y33" i="6"/>
  <c r="X33" i="6" s="1"/>
  <c r="Y34" i="6"/>
  <c r="X34" i="6" s="1"/>
  <c r="Y35" i="6"/>
  <c r="X35" i="6" s="1"/>
  <c r="Y36" i="6"/>
  <c r="X36" i="6" s="1"/>
  <c r="Y37" i="6"/>
  <c r="X37" i="6" s="1"/>
  <c r="Y38" i="6"/>
  <c r="X38" i="6" s="1"/>
  <c r="Y39" i="6"/>
  <c r="X39" i="6" s="1"/>
  <c r="Y40" i="6"/>
  <c r="X40" i="6" s="1"/>
  <c r="Y41" i="6"/>
  <c r="X41" i="6" s="1"/>
  <c r="Y42" i="6"/>
  <c r="X42" i="6" s="1"/>
  <c r="Y43" i="6"/>
  <c r="X43" i="6" s="1"/>
  <c r="Y44" i="6"/>
  <c r="X44" i="6" s="1"/>
  <c r="Y45" i="6"/>
  <c r="X45" i="6" s="1"/>
  <c r="Y46" i="6"/>
  <c r="X46" i="6" s="1"/>
  <c r="Y47" i="6"/>
  <c r="X47" i="6" s="1"/>
  <c r="Y48" i="6"/>
  <c r="X48" i="6" s="1"/>
  <c r="Y49" i="6"/>
  <c r="X49" i="6" s="1"/>
  <c r="Y50" i="6"/>
  <c r="X50" i="6" s="1"/>
  <c r="Y51" i="6"/>
  <c r="X51" i="6" s="1"/>
  <c r="Y52" i="6"/>
  <c r="X52" i="6" s="1"/>
  <c r="Y53" i="6"/>
  <c r="X53" i="6" s="1"/>
  <c r="Y54" i="6"/>
  <c r="X54" i="6" s="1"/>
  <c r="Y55" i="6"/>
  <c r="X55" i="6" s="1"/>
  <c r="Y56" i="6"/>
  <c r="X56" i="6" s="1"/>
  <c r="Y57" i="6"/>
  <c r="Y58" i="6" s="1"/>
  <c r="X58" i="6" s="1"/>
  <c r="Y59" i="6"/>
  <c r="X59" i="6" s="1"/>
  <c r="Y60" i="6"/>
  <c r="X60" i="6" s="1"/>
  <c r="Y61" i="6"/>
  <c r="X61" i="6" s="1"/>
  <c r="Y62" i="6"/>
  <c r="Y63" i="6"/>
  <c r="X63" i="6" s="1"/>
  <c r="Y64" i="6"/>
  <c r="X64" i="6" s="1"/>
  <c r="Y65" i="6"/>
  <c r="X65" i="6" s="1"/>
  <c r="Y66" i="6"/>
  <c r="X66" i="6" s="1"/>
  <c r="Y67" i="6"/>
  <c r="X67" i="6" s="1"/>
  <c r="Y68" i="6"/>
  <c r="X68" i="6" s="1"/>
  <c r="Y69" i="6"/>
  <c r="X69" i="6" s="1"/>
  <c r="Y70" i="6"/>
  <c r="Y71" i="6"/>
  <c r="X71" i="6" s="1"/>
  <c r="Y72" i="6"/>
  <c r="X72" i="6" s="1"/>
  <c r="Y73" i="6"/>
  <c r="X73" i="6" s="1"/>
  <c r="Y74" i="6"/>
  <c r="X74" i="6" s="1"/>
  <c r="Y75" i="6"/>
  <c r="X75" i="6" s="1"/>
  <c r="Y76" i="6"/>
  <c r="X76" i="6" s="1"/>
  <c r="Y77" i="6"/>
  <c r="X77" i="6" s="1"/>
  <c r="Y78" i="6"/>
  <c r="Y79" i="6"/>
  <c r="X79" i="6" s="1"/>
  <c r="Y80" i="6"/>
  <c r="X80" i="6" s="1"/>
  <c r="Y81" i="6"/>
  <c r="X81" i="6" s="1"/>
  <c r="Y82" i="6"/>
  <c r="X82" i="6" s="1"/>
  <c r="Y83" i="6"/>
  <c r="X83" i="6" s="1"/>
  <c r="Y84" i="6"/>
  <c r="X84" i="6" s="1"/>
  <c r="Y85" i="6"/>
  <c r="X85" i="6" s="1"/>
  <c r="Y86" i="6"/>
  <c r="X86" i="6" s="1"/>
  <c r="Y87" i="6"/>
  <c r="X87" i="6" s="1"/>
  <c r="Y88" i="6"/>
  <c r="X88" i="6" s="1"/>
  <c r="Y89" i="6"/>
  <c r="X89" i="6" s="1"/>
  <c r="Y90" i="6"/>
  <c r="X90" i="6" s="1"/>
  <c r="Y91" i="6"/>
  <c r="X91" i="6" s="1"/>
  <c r="Y92" i="6"/>
  <c r="X92" i="6" s="1"/>
  <c r="Y93" i="6"/>
  <c r="X93" i="6" s="1"/>
  <c r="Y94" i="6"/>
  <c r="X94" i="6" s="1"/>
  <c r="Y95" i="6"/>
  <c r="X95" i="6" s="1"/>
  <c r="Y96" i="6"/>
  <c r="X96" i="6" s="1"/>
  <c r="Y97" i="6"/>
  <c r="X97" i="6" s="1"/>
  <c r="Y98" i="6"/>
  <c r="X98" i="6" s="1"/>
  <c r="Y99" i="6"/>
  <c r="X99" i="6" s="1"/>
  <c r="Y100" i="6"/>
  <c r="X100" i="6" s="1"/>
  <c r="Y101" i="6"/>
  <c r="X101" i="6" s="1"/>
  <c r="Y102" i="6"/>
  <c r="X102" i="6" s="1"/>
  <c r="Y103" i="6"/>
  <c r="X103" i="6" s="1"/>
  <c r="Y104" i="6"/>
  <c r="X104" i="6" s="1"/>
  <c r="Y105" i="6"/>
  <c r="X105" i="6" s="1"/>
  <c r="Y106" i="6"/>
  <c r="X106" i="6" s="1"/>
  <c r="Y107" i="6"/>
  <c r="X107" i="6" s="1"/>
  <c r="Y108" i="6"/>
  <c r="X108" i="6" s="1"/>
  <c r="Y109" i="6"/>
  <c r="X109" i="6" s="1"/>
  <c r="Y110" i="6"/>
  <c r="X110" i="6" s="1"/>
  <c r="Y111" i="6"/>
  <c r="X111" i="6" s="1"/>
  <c r="Y112" i="6"/>
  <c r="X112" i="6" s="1"/>
  <c r="Y113" i="6"/>
  <c r="X113" i="6" s="1"/>
  <c r="Y114" i="6"/>
  <c r="X114" i="6" s="1"/>
  <c r="Y115" i="6"/>
  <c r="X115" i="6" s="1"/>
  <c r="Y116" i="6"/>
  <c r="X116" i="6" s="1"/>
  <c r="Y117" i="6"/>
  <c r="X117" i="6" s="1"/>
  <c r="Y118" i="6"/>
  <c r="X118" i="6" s="1"/>
  <c r="Y119" i="6"/>
  <c r="X119" i="6" s="1"/>
  <c r="Y120" i="6"/>
  <c r="X120" i="6" s="1"/>
  <c r="Y121" i="6"/>
  <c r="X121" i="6" s="1"/>
  <c r="Y122" i="6"/>
  <c r="X122" i="6" s="1"/>
  <c r="Y123" i="6"/>
  <c r="X123" i="6" s="1"/>
  <c r="Y124" i="6"/>
  <c r="X124" i="6" s="1"/>
  <c r="Y125" i="6"/>
  <c r="X125" i="6" s="1"/>
  <c r="Y126" i="6"/>
  <c r="Y127" i="6"/>
  <c r="X127" i="6" s="1"/>
  <c r="Y128" i="6"/>
  <c r="X128" i="6" s="1"/>
  <c r="Y129" i="6"/>
  <c r="X129" i="6" s="1"/>
  <c r="Y130" i="6"/>
  <c r="X130" i="6" s="1"/>
  <c r="Y131" i="6"/>
  <c r="X131" i="6" s="1"/>
  <c r="Y132" i="6"/>
  <c r="X132" i="6" s="1"/>
  <c r="Y133" i="6"/>
  <c r="X133" i="6" s="1"/>
  <c r="Y134" i="6"/>
  <c r="Y135" i="6"/>
  <c r="X135" i="6" s="1"/>
  <c r="Y136" i="6"/>
  <c r="X136" i="6" s="1"/>
  <c r="Y137" i="6"/>
  <c r="X137" i="6" s="1"/>
  <c r="Y138" i="6"/>
  <c r="X138" i="6" s="1"/>
  <c r="Y139" i="6"/>
  <c r="X139" i="6" s="1"/>
  <c r="Y140" i="6"/>
  <c r="X140" i="6" s="1"/>
  <c r="Y141" i="6"/>
  <c r="X141" i="6" s="1"/>
  <c r="Y142" i="6"/>
  <c r="Y143" i="6"/>
  <c r="X143" i="6" s="1"/>
  <c r="Y144" i="6"/>
  <c r="X144" i="6" s="1"/>
  <c r="Y145" i="6"/>
  <c r="X145" i="6" s="1"/>
  <c r="Y146" i="6"/>
  <c r="X146" i="6" s="1"/>
  <c r="Y147" i="6"/>
  <c r="X147" i="6" s="1"/>
  <c r="Y148" i="6"/>
  <c r="X148" i="6" s="1"/>
  <c r="Y149" i="6"/>
  <c r="X149" i="6" s="1"/>
  <c r="Y150" i="6"/>
  <c r="X150" i="6" s="1"/>
  <c r="Y151" i="6"/>
  <c r="X151" i="6" s="1"/>
  <c r="Y152" i="6"/>
  <c r="X152" i="6" s="1"/>
  <c r="Y153" i="6"/>
  <c r="X153" i="6" s="1"/>
  <c r="Y154" i="6"/>
  <c r="X154" i="6" s="1"/>
  <c r="Y155" i="6"/>
  <c r="X155" i="6" s="1"/>
  <c r="Y156" i="6"/>
  <c r="X156" i="6" s="1"/>
  <c r="Y157" i="6"/>
  <c r="X157" i="6" s="1"/>
  <c r="Y158" i="6"/>
  <c r="X158" i="6" s="1"/>
  <c r="Y159" i="6"/>
  <c r="X159" i="6" s="1"/>
  <c r="Y160" i="6"/>
  <c r="X160" i="6" s="1"/>
  <c r="Y161" i="6"/>
  <c r="X161" i="6" s="1"/>
  <c r="Y162" i="6"/>
  <c r="X162" i="6" s="1"/>
  <c r="Y163" i="6"/>
  <c r="X163" i="6" s="1"/>
  <c r="Y164" i="6"/>
  <c r="X164" i="6" s="1"/>
  <c r="Y165" i="6"/>
  <c r="X165" i="6" s="1"/>
  <c r="Y166" i="6"/>
  <c r="X166" i="6" s="1"/>
  <c r="Y167" i="6"/>
  <c r="X167" i="6" s="1"/>
  <c r="Y168" i="6"/>
  <c r="X168" i="6" s="1"/>
  <c r="Y169" i="6"/>
  <c r="X169" i="6" s="1"/>
  <c r="Y170" i="6"/>
  <c r="X170" i="6" s="1"/>
  <c r="Y171" i="6"/>
  <c r="X171" i="6" s="1"/>
  <c r="Y172" i="6"/>
  <c r="X172" i="6" s="1"/>
  <c r="Y173" i="6"/>
  <c r="X173" i="6" s="1"/>
  <c r="Y174" i="6"/>
  <c r="X174" i="6" s="1"/>
  <c r="Y175" i="6"/>
  <c r="X175" i="6" s="1"/>
  <c r="Y176" i="6"/>
  <c r="X176" i="6" s="1"/>
  <c r="Y177" i="6"/>
  <c r="X177" i="6" s="1"/>
  <c r="Y178" i="6"/>
  <c r="X178" i="6" s="1"/>
  <c r="Y179" i="6"/>
  <c r="X179" i="6" s="1"/>
  <c r="Y180" i="6"/>
  <c r="X180" i="6" s="1"/>
  <c r="Y181" i="6"/>
  <c r="X181" i="6" s="1"/>
  <c r="Y182" i="6"/>
  <c r="X182" i="6" s="1"/>
  <c r="Y183" i="6"/>
  <c r="X183" i="6" s="1"/>
  <c r="Y184" i="6"/>
  <c r="X184" i="6" s="1"/>
  <c r="Y185" i="6"/>
  <c r="X185" i="6" s="1"/>
  <c r="Y186" i="6"/>
  <c r="X186" i="6" s="1"/>
  <c r="Y187" i="6"/>
  <c r="X187" i="6" s="1"/>
  <c r="Y188" i="6"/>
  <c r="X188" i="6" s="1"/>
  <c r="Y189" i="6"/>
  <c r="X189" i="6" s="1"/>
  <c r="Y190" i="6"/>
  <c r="Y191" i="6"/>
  <c r="X191" i="6" s="1"/>
  <c r="Y192" i="6"/>
  <c r="X192" i="6" s="1"/>
  <c r="Y193" i="6"/>
  <c r="X193" i="6" s="1"/>
  <c r="Y194" i="6"/>
  <c r="X194" i="6" s="1"/>
  <c r="Y195" i="6"/>
  <c r="X195" i="6" s="1"/>
  <c r="Y196" i="6"/>
  <c r="X196" i="6" s="1"/>
  <c r="Y197" i="6"/>
  <c r="X197" i="6" s="1"/>
  <c r="Y198" i="6"/>
  <c r="Y199" i="6"/>
  <c r="X199" i="6" s="1"/>
  <c r="Y200" i="6"/>
  <c r="X200" i="6" s="1"/>
  <c r="Y201" i="6"/>
  <c r="X201" i="6" s="1"/>
  <c r="Y202" i="6"/>
  <c r="X202" i="6" s="1"/>
  <c r="Y203" i="6"/>
  <c r="X203" i="6" s="1"/>
  <c r="Y204" i="6"/>
  <c r="X204" i="6" s="1"/>
  <c r="Y205" i="6"/>
  <c r="X205" i="6" s="1"/>
  <c r="Y206" i="6"/>
  <c r="Y207" i="6"/>
  <c r="X207" i="6" s="1"/>
  <c r="Y208" i="6"/>
  <c r="X208" i="6" s="1"/>
  <c r="Y209" i="6"/>
  <c r="X209" i="6" s="1"/>
  <c r="Y210" i="6"/>
  <c r="X210" i="6" s="1"/>
  <c r="Y211" i="6"/>
  <c r="X211" i="6" s="1"/>
  <c r="Y212" i="6"/>
  <c r="X212" i="6" s="1"/>
  <c r="Y213" i="6"/>
  <c r="X213" i="6" s="1"/>
  <c r="Y214" i="6"/>
  <c r="X214" i="6" s="1"/>
  <c r="Y215" i="6"/>
  <c r="X215" i="6" s="1"/>
  <c r="Y216" i="6"/>
  <c r="X216" i="6" s="1"/>
  <c r="Y217" i="6"/>
  <c r="X217" i="6" s="1"/>
  <c r="Y218" i="6"/>
  <c r="X218" i="6" s="1"/>
  <c r="Y219" i="6"/>
  <c r="X219" i="6" s="1"/>
  <c r="Y220" i="6"/>
  <c r="X220" i="6" s="1"/>
  <c r="Y221" i="6"/>
  <c r="X221" i="6" s="1"/>
  <c r="Y222" i="6"/>
  <c r="X222" i="6" s="1"/>
  <c r="Y223" i="6"/>
  <c r="X223" i="6" s="1"/>
  <c r="Y224" i="6"/>
  <c r="X224" i="6" s="1"/>
  <c r="Y225" i="6"/>
  <c r="X225" i="6" s="1"/>
  <c r="Y226" i="6"/>
  <c r="X226" i="6" s="1"/>
  <c r="Y227" i="6"/>
  <c r="X227" i="6" s="1"/>
  <c r="Y228" i="6"/>
  <c r="X228" i="6" s="1"/>
  <c r="Y229" i="6"/>
  <c r="X229" i="6" s="1"/>
  <c r="Y230" i="6"/>
  <c r="X230" i="6" s="1"/>
  <c r="Y231" i="6"/>
  <c r="X231" i="6" s="1"/>
  <c r="Y232" i="6"/>
  <c r="X232" i="6" s="1"/>
  <c r="Y233" i="6"/>
  <c r="X233" i="6" s="1"/>
  <c r="Y4" i="6"/>
  <c r="X4" i="6" s="1"/>
  <c r="Y3" i="6"/>
  <c r="X3" i="6" s="1"/>
  <c r="AC4" i="6"/>
  <c r="AC5" i="6"/>
  <c r="AC6" i="6"/>
  <c r="AC7" i="6"/>
  <c r="AC8" i="6"/>
  <c r="AC9" i="6"/>
  <c r="AC10" i="6"/>
  <c r="AC11" i="6"/>
  <c r="AC12" i="6"/>
  <c r="AC13" i="6"/>
  <c r="AC14" i="6"/>
  <c r="AC15" i="6"/>
  <c r="AC16" i="6"/>
  <c r="AC17" i="6"/>
  <c r="AC18" i="6"/>
  <c r="AC19" i="6"/>
  <c r="AC20" i="6"/>
  <c r="AC21" i="6"/>
  <c r="AC22" i="6"/>
  <c r="AC23" i="6"/>
  <c r="AC24" i="6"/>
  <c r="AC25" i="6"/>
  <c r="AC26" i="6"/>
  <c r="AC27" i="6"/>
  <c r="AC28" i="6"/>
  <c r="AC29" i="6"/>
  <c r="AC30" i="6"/>
  <c r="AC31" i="6"/>
  <c r="AC32" i="6"/>
  <c r="AC33" i="6"/>
  <c r="AC34" i="6"/>
  <c r="AC35" i="6"/>
  <c r="AC36" i="6"/>
  <c r="AC37" i="6"/>
  <c r="AC38" i="6"/>
  <c r="AC39" i="6"/>
  <c r="AC40" i="6"/>
  <c r="AC41" i="6"/>
  <c r="AC42" i="6"/>
  <c r="AC43" i="6"/>
  <c r="AC44" i="6"/>
  <c r="AC45" i="6"/>
  <c r="AC46" i="6"/>
  <c r="AC47" i="6"/>
  <c r="AC48" i="6"/>
  <c r="AC49" i="6"/>
  <c r="AC50" i="6"/>
  <c r="AC51" i="6"/>
  <c r="AC52" i="6"/>
  <c r="AC53" i="6"/>
  <c r="AC54" i="6"/>
  <c r="AC55" i="6"/>
  <c r="AC56" i="6"/>
  <c r="AC57" i="6"/>
  <c r="AC58" i="6"/>
  <c r="AC59" i="6"/>
  <c r="AC60" i="6"/>
  <c r="AC61" i="6"/>
  <c r="AC62" i="6"/>
  <c r="AC63" i="6"/>
  <c r="AC64" i="6"/>
  <c r="AC65" i="6"/>
  <c r="AC66" i="6"/>
  <c r="AC67" i="6"/>
  <c r="AC68" i="6"/>
  <c r="AC69" i="6"/>
  <c r="AC70" i="6"/>
  <c r="AC71" i="6"/>
  <c r="AC72" i="6"/>
  <c r="AC73" i="6"/>
  <c r="AC74" i="6"/>
  <c r="AC75" i="6"/>
  <c r="AC76" i="6"/>
  <c r="AC77" i="6"/>
  <c r="AC78" i="6"/>
  <c r="AC79" i="6"/>
  <c r="AC80" i="6"/>
  <c r="AC81" i="6"/>
  <c r="AC82" i="6"/>
  <c r="AC83" i="6"/>
  <c r="AC84" i="6"/>
  <c r="AC85" i="6"/>
  <c r="AC86" i="6"/>
  <c r="AC87" i="6"/>
  <c r="AC88" i="6"/>
  <c r="AC89" i="6"/>
  <c r="AC90" i="6"/>
  <c r="AC91" i="6"/>
  <c r="AC92" i="6"/>
  <c r="AC93" i="6"/>
  <c r="AC94" i="6"/>
  <c r="AC95" i="6"/>
  <c r="AC96" i="6"/>
  <c r="AC97" i="6"/>
  <c r="AC98" i="6"/>
  <c r="AC99" i="6"/>
  <c r="AC100" i="6"/>
  <c r="AC101" i="6"/>
  <c r="AC102" i="6"/>
  <c r="AC103" i="6"/>
  <c r="AC104" i="6"/>
  <c r="AC105" i="6"/>
  <c r="AC106" i="6"/>
  <c r="AC107" i="6"/>
  <c r="AC108" i="6"/>
  <c r="AC109" i="6"/>
  <c r="AC110" i="6"/>
  <c r="AC111" i="6"/>
  <c r="AC112" i="6"/>
  <c r="AC113" i="6"/>
  <c r="AC114" i="6"/>
  <c r="AC115" i="6"/>
  <c r="AC116" i="6"/>
  <c r="AC117" i="6"/>
  <c r="AC118" i="6"/>
  <c r="AC119" i="6"/>
  <c r="AC120" i="6"/>
  <c r="AC121" i="6"/>
  <c r="AC122" i="6"/>
  <c r="AC123" i="6"/>
  <c r="AC124" i="6"/>
  <c r="AC125" i="6"/>
  <c r="AC126" i="6"/>
  <c r="AC127" i="6"/>
  <c r="AC128" i="6"/>
  <c r="AC129" i="6"/>
  <c r="AC130" i="6"/>
  <c r="AC131" i="6"/>
  <c r="AC132" i="6"/>
  <c r="AC133" i="6"/>
  <c r="AC134" i="6"/>
  <c r="AC135" i="6"/>
  <c r="AC136" i="6"/>
  <c r="AC137" i="6"/>
  <c r="AC138" i="6"/>
  <c r="AC139" i="6"/>
  <c r="AC140" i="6"/>
  <c r="AC141" i="6"/>
  <c r="AC142" i="6"/>
  <c r="AC143" i="6"/>
  <c r="AC144" i="6"/>
  <c r="AC145" i="6"/>
  <c r="AC146" i="6"/>
  <c r="AC147" i="6"/>
  <c r="AC148" i="6"/>
  <c r="AC149" i="6"/>
  <c r="AC150" i="6"/>
  <c r="AC151" i="6"/>
  <c r="AC152" i="6"/>
  <c r="AC153" i="6"/>
  <c r="AC154" i="6"/>
  <c r="AC155" i="6"/>
  <c r="AC156" i="6"/>
  <c r="AC157" i="6"/>
  <c r="AC158" i="6"/>
  <c r="AC159" i="6"/>
  <c r="AC160" i="6"/>
  <c r="AC161" i="6"/>
  <c r="AC162" i="6"/>
  <c r="AC163" i="6"/>
  <c r="AC164" i="6"/>
  <c r="AC165" i="6"/>
  <c r="AC166" i="6"/>
  <c r="AC167" i="6"/>
  <c r="AC168" i="6"/>
  <c r="AC169" i="6"/>
  <c r="AC170" i="6"/>
  <c r="AC171" i="6"/>
  <c r="AC172" i="6"/>
  <c r="AC173" i="6"/>
  <c r="AC174" i="6"/>
  <c r="AC175" i="6"/>
  <c r="AC176" i="6"/>
  <c r="AC177" i="6"/>
  <c r="AC178" i="6"/>
  <c r="AC179" i="6"/>
  <c r="AC180" i="6"/>
  <c r="AC181" i="6"/>
  <c r="AC182" i="6"/>
  <c r="AC183" i="6"/>
  <c r="AC184" i="6"/>
  <c r="AC185" i="6"/>
  <c r="AC186" i="6"/>
  <c r="AC187" i="6"/>
  <c r="AC188" i="6"/>
  <c r="AC189" i="6"/>
  <c r="AC190" i="6"/>
  <c r="AC191" i="6"/>
  <c r="AC192" i="6"/>
  <c r="AC193" i="6"/>
  <c r="AC194" i="6"/>
  <c r="AC195" i="6"/>
  <c r="AC196" i="6"/>
  <c r="AC197" i="6"/>
  <c r="AC198" i="6"/>
  <c r="AC199" i="6"/>
  <c r="AC200" i="6"/>
  <c r="AC201" i="6"/>
  <c r="AC202" i="6"/>
  <c r="AC203" i="6"/>
  <c r="AC204" i="6"/>
  <c r="AC205" i="6"/>
  <c r="AC206" i="6"/>
  <c r="AC207" i="6"/>
  <c r="AC208" i="6"/>
  <c r="AC209" i="6"/>
  <c r="AC210" i="6"/>
  <c r="AC211" i="6"/>
  <c r="AC212" i="6"/>
  <c r="AC213" i="6"/>
  <c r="AC214" i="6"/>
  <c r="AC215" i="6"/>
  <c r="AC216" i="6"/>
  <c r="AC217" i="6"/>
  <c r="AC218" i="6"/>
  <c r="AC219" i="6"/>
  <c r="AC220" i="6"/>
  <c r="AC221" i="6"/>
  <c r="AC222" i="6"/>
  <c r="AC223" i="6"/>
  <c r="AC224" i="6"/>
  <c r="AC225" i="6"/>
  <c r="AC226" i="6"/>
  <c r="AC227" i="6"/>
  <c r="AC228" i="6"/>
  <c r="AC229" i="6"/>
  <c r="AC230" i="6"/>
  <c r="AC231" i="6"/>
  <c r="AC232" i="6"/>
  <c r="AC233" i="6"/>
  <c r="AC234" i="6"/>
  <c r="AC3" i="6"/>
  <c r="AA4" i="6"/>
  <c r="AA5" i="6"/>
  <c r="AA6" i="6"/>
  <c r="AA7" i="6"/>
  <c r="AA8" i="6"/>
  <c r="AA9" i="6"/>
  <c r="AA10" i="6"/>
  <c r="AA11" i="6"/>
  <c r="AA12" i="6"/>
  <c r="AA13" i="6"/>
  <c r="AA14" i="6"/>
  <c r="AA15" i="6"/>
  <c r="AA16" i="6"/>
  <c r="AA17" i="6"/>
  <c r="AA18" i="6"/>
  <c r="AA19" i="6"/>
  <c r="AA20" i="6"/>
  <c r="AA21" i="6"/>
  <c r="AA22" i="6"/>
  <c r="AA23" i="6"/>
  <c r="AA24" i="6"/>
  <c r="AA25" i="6"/>
  <c r="AA26" i="6"/>
  <c r="AA27" i="6"/>
  <c r="AA28" i="6"/>
  <c r="AA29" i="6"/>
  <c r="AA30" i="6"/>
  <c r="AA31" i="6"/>
  <c r="AA32" i="6"/>
  <c r="AA33" i="6"/>
  <c r="AA34" i="6"/>
  <c r="AA35" i="6"/>
  <c r="AA36" i="6"/>
  <c r="AA37" i="6"/>
  <c r="AA38" i="6"/>
  <c r="AA39" i="6"/>
  <c r="AA40" i="6"/>
  <c r="AA41" i="6"/>
  <c r="AA42" i="6"/>
  <c r="AA43" i="6"/>
  <c r="AA44" i="6"/>
  <c r="AA45" i="6"/>
  <c r="AA46" i="6"/>
  <c r="AA47" i="6"/>
  <c r="AA48" i="6"/>
  <c r="AA49" i="6"/>
  <c r="AA50" i="6"/>
  <c r="AA51" i="6"/>
  <c r="AA52" i="6"/>
  <c r="AA53" i="6"/>
  <c r="AA54" i="6"/>
  <c r="AA55" i="6"/>
  <c r="AA56" i="6"/>
  <c r="AA57" i="6"/>
  <c r="AA58" i="6"/>
  <c r="AA59" i="6"/>
  <c r="AA60" i="6"/>
  <c r="AA61" i="6"/>
  <c r="AA62" i="6"/>
  <c r="AA63" i="6"/>
  <c r="AA64" i="6"/>
  <c r="AA65" i="6"/>
  <c r="AA66" i="6"/>
  <c r="AA67" i="6"/>
  <c r="AA68" i="6"/>
  <c r="AA69" i="6"/>
  <c r="AA70" i="6"/>
  <c r="AA71" i="6"/>
  <c r="AA72" i="6"/>
  <c r="AA73" i="6"/>
  <c r="AA74" i="6"/>
  <c r="AA75" i="6"/>
  <c r="AA76" i="6"/>
  <c r="AA77" i="6"/>
  <c r="AA78" i="6"/>
  <c r="AA79" i="6"/>
  <c r="AA80" i="6"/>
  <c r="AA81" i="6"/>
  <c r="AA82" i="6"/>
  <c r="AA83" i="6"/>
  <c r="AA84" i="6"/>
  <c r="AA85" i="6"/>
  <c r="AA86" i="6"/>
  <c r="AA87" i="6"/>
  <c r="AA88" i="6"/>
  <c r="AA89" i="6"/>
  <c r="AA90" i="6"/>
  <c r="AA91" i="6"/>
  <c r="AA92" i="6"/>
  <c r="AA93" i="6"/>
  <c r="AA94" i="6"/>
  <c r="AA95" i="6"/>
  <c r="AA96" i="6"/>
  <c r="AA97" i="6"/>
  <c r="AA98" i="6"/>
  <c r="AA99" i="6"/>
  <c r="AA100" i="6"/>
  <c r="AA101" i="6"/>
  <c r="AA102" i="6"/>
  <c r="AA103" i="6"/>
  <c r="AA104" i="6"/>
  <c r="AA105" i="6"/>
  <c r="AA106" i="6"/>
  <c r="AA107" i="6"/>
  <c r="AA108" i="6"/>
  <c r="AA109" i="6"/>
  <c r="AA110" i="6"/>
  <c r="AA111" i="6"/>
  <c r="AA112" i="6"/>
  <c r="AA113" i="6"/>
  <c r="AA114" i="6"/>
  <c r="AA115" i="6"/>
  <c r="AA116" i="6"/>
  <c r="AA117" i="6"/>
  <c r="AA118" i="6"/>
  <c r="AA119" i="6"/>
  <c r="AA120" i="6"/>
  <c r="AA121" i="6"/>
  <c r="AA122" i="6"/>
  <c r="AA123" i="6"/>
  <c r="AA124" i="6"/>
  <c r="AA125" i="6"/>
  <c r="AA126" i="6"/>
  <c r="AA127" i="6"/>
  <c r="AA128" i="6"/>
  <c r="AA129" i="6"/>
  <c r="AA130" i="6"/>
  <c r="AA131" i="6"/>
  <c r="AA132" i="6"/>
  <c r="AA133" i="6"/>
  <c r="AA134" i="6"/>
  <c r="AA135" i="6"/>
  <c r="AA136" i="6"/>
  <c r="AA137" i="6"/>
  <c r="AA138" i="6"/>
  <c r="AA139" i="6"/>
  <c r="AA140" i="6"/>
  <c r="AA141" i="6"/>
  <c r="AA142" i="6"/>
  <c r="AA143" i="6"/>
  <c r="AA144" i="6"/>
  <c r="AA145" i="6"/>
  <c r="AA146" i="6"/>
  <c r="AA147" i="6"/>
  <c r="AA148" i="6"/>
  <c r="AA149" i="6"/>
  <c r="AA150" i="6"/>
  <c r="AA151" i="6"/>
  <c r="AA152" i="6"/>
  <c r="AA153" i="6"/>
  <c r="AA154" i="6"/>
  <c r="AA155" i="6"/>
  <c r="AA156" i="6"/>
  <c r="AA157" i="6"/>
  <c r="AA158" i="6"/>
  <c r="AA159" i="6"/>
  <c r="AA160" i="6"/>
  <c r="AA161" i="6"/>
  <c r="AA162" i="6"/>
  <c r="AA163" i="6"/>
  <c r="AA164" i="6"/>
  <c r="AA165" i="6"/>
  <c r="AA166" i="6"/>
  <c r="AA167" i="6"/>
  <c r="AA168" i="6"/>
  <c r="AA169" i="6"/>
  <c r="AA170" i="6"/>
  <c r="AA171" i="6"/>
  <c r="AA172" i="6"/>
  <c r="AA173" i="6"/>
  <c r="AA174" i="6"/>
  <c r="AA175" i="6"/>
  <c r="AA176" i="6"/>
  <c r="AA177" i="6"/>
  <c r="AA178" i="6"/>
  <c r="AA179" i="6"/>
  <c r="AA180" i="6"/>
  <c r="AA181" i="6"/>
  <c r="AA182" i="6"/>
  <c r="AA183" i="6"/>
  <c r="AA184" i="6"/>
  <c r="AA185" i="6"/>
  <c r="AA186" i="6"/>
  <c r="AA187" i="6"/>
  <c r="AA188" i="6"/>
  <c r="AA189" i="6"/>
  <c r="AA190" i="6"/>
  <c r="AA191" i="6"/>
  <c r="AA192" i="6"/>
  <c r="AA193" i="6"/>
  <c r="AA194" i="6"/>
  <c r="AA195" i="6"/>
  <c r="AA196" i="6"/>
  <c r="AA197" i="6"/>
  <c r="AA198" i="6"/>
  <c r="AA199" i="6"/>
  <c r="AA200" i="6"/>
  <c r="AA201" i="6"/>
  <c r="AA202" i="6"/>
  <c r="AA203" i="6"/>
  <c r="AA204" i="6"/>
  <c r="AA205" i="6"/>
  <c r="AA206" i="6"/>
  <c r="AA207" i="6"/>
  <c r="AA208" i="6"/>
  <c r="AA209" i="6"/>
  <c r="AA210" i="6"/>
  <c r="AA211" i="6"/>
  <c r="AA212" i="6"/>
  <c r="AA213" i="6"/>
  <c r="AA214" i="6"/>
  <c r="AA215" i="6"/>
  <c r="AA216" i="6"/>
  <c r="AA217" i="6"/>
  <c r="AA218" i="6"/>
  <c r="AA219" i="6"/>
  <c r="AA220" i="6"/>
  <c r="AA221" i="6"/>
  <c r="AA222" i="6"/>
  <c r="AA223" i="6"/>
  <c r="AA224" i="6"/>
  <c r="AA225" i="6"/>
  <c r="AA226" i="6"/>
  <c r="AA227" i="6"/>
  <c r="AA228" i="6"/>
  <c r="AA229" i="6"/>
  <c r="AA230" i="6"/>
  <c r="AA231" i="6"/>
  <c r="AA232" i="6"/>
  <c r="AA233" i="6"/>
  <c r="AA234" i="6"/>
  <c r="AA3" i="6"/>
  <c r="AB4" i="6"/>
  <c r="AB5" i="6"/>
  <c r="AB6" i="6"/>
  <c r="AB7" i="6"/>
  <c r="AB8" i="6"/>
  <c r="AB9" i="6"/>
  <c r="AB10" i="6"/>
  <c r="AB11" i="6"/>
  <c r="AB12" i="6"/>
  <c r="AB13" i="6"/>
  <c r="AB14" i="6"/>
  <c r="AB15" i="6"/>
  <c r="AB16" i="6"/>
  <c r="AB17" i="6"/>
  <c r="AB18" i="6"/>
  <c r="AB19" i="6"/>
  <c r="AB20" i="6"/>
  <c r="AB21" i="6"/>
  <c r="AB22" i="6"/>
  <c r="AB23" i="6"/>
  <c r="AB24" i="6"/>
  <c r="AB25" i="6"/>
  <c r="AB26" i="6"/>
  <c r="AB27" i="6"/>
  <c r="AB28" i="6"/>
  <c r="AB29" i="6"/>
  <c r="AB30" i="6"/>
  <c r="AB31" i="6"/>
  <c r="AB32" i="6"/>
  <c r="AB33" i="6"/>
  <c r="AB34" i="6"/>
  <c r="AB35" i="6"/>
  <c r="AB36" i="6"/>
  <c r="AB37" i="6"/>
  <c r="AB38" i="6"/>
  <c r="AB39" i="6"/>
  <c r="AB40" i="6"/>
  <c r="AB41" i="6"/>
  <c r="AB42" i="6"/>
  <c r="AB43" i="6"/>
  <c r="AB44" i="6"/>
  <c r="AB45" i="6"/>
  <c r="AB46" i="6"/>
  <c r="AB47" i="6"/>
  <c r="AB48" i="6"/>
  <c r="AB49" i="6"/>
  <c r="AB50" i="6"/>
  <c r="AB51" i="6"/>
  <c r="AB52" i="6"/>
  <c r="AB53" i="6"/>
  <c r="AB54" i="6"/>
  <c r="AB55" i="6"/>
  <c r="AB56" i="6"/>
  <c r="AB57" i="6"/>
  <c r="AB58" i="6"/>
  <c r="AB59" i="6"/>
  <c r="AB60" i="6"/>
  <c r="AB61" i="6"/>
  <c r="AB62" i="6"/>
  <c r="AB63" i="6"/>
  <c r="AB64" i="6"/>
  <c r="AB65" i="6"/>
  <c r="AB66" i="6"/>
  <c r="AB67" i="6"/>
  <c r="AB68" i="6"/>
  <c r="AB69" i="6"/>
  <c r="AB70" i="6"/>
  <c r="AB71" i="6"/>
  <c r="AB72" i="6"/>
  <c r="AB73" i="6"/>
  <c r="AB74" i="6"/>
  <c r="AB75" i="6"/>
  <c r="AB76" i="6"/>
  <c r="AB77" i="6"/>
  <c r="AB78" i="6"/>
  <c r="AB79" i="6"/>
  <c r="AB80" i="6"/>
  <c r="AB81" i="6"/>
  <c r="AB82" i="6"/>
  <c r="AB83" i="6"/>
  <c r="AB84" i="6"/>
  <c r="AB85" i="6"/>
  <c r="AB86" i="6"/>
  <c r="AB87" i="6"/>
  <c r="AB88" i="6"/>
  <c r="AB89" i="6"/>
  <c r="AB90" i="6"/>
  <c r="AB91" i="6"/>
  <c r="AB92" i="6"/>
  <c r="AB93" i="6"/>
  <c r="AB94" i="6"/>
  <c r="AB95" i="6"/>
  <c r="AB96" i="6"/>
  <c r="AB97" i="6"/>
  <c r="AB98" i="6"/>
  <c r="AB99" i="6"/>
  <c r="AB100" i="6"/>
  <c r="AB101" i="6"/>
  <c r="AB102" i="6"/>
  <c r="AB103" i="6"/>
  <c r="AB104" i="6"/>
  <c r="AB105" i="6"/>
  <c r="AB106" i="6"/>
  <c r="AB107" i="6"/>
  <c r="AB108" i="6"/>
  <c r="AB109" i="6"/>
  <c r="AB110" i="6"/>
  <c r="AB111" i="6"/>
  <c r="AB112" i="6"/>
  <c r="AB113" i="6"/>
  <c r="AB114" i="6"/>
  <c r="AB115" i="6"/>
  <c r="AB116" i="6"/>
  <c r="AB117" i="6"/>
  <c r="AB118" i="6"/>
  <c r="AB119" i="6"/>
  <c r="AB120" i="6"/>
  <c r="AB121" i="6"/>
  <c r="AB122" i="6"/>
  <c r="AB123" i="6"/>
  <c r="AB124" i="6"/>
  <c r="AB125" i="6"/>
  <c r="AB126" i="6"/>
  <c r="AB127" i="6"/>
  <c r="AB128" i="6"/>
  <c r="AB129" i="6"/>
  <c r="AB130" i="6"/>
  <c r="AB131" i="6"/>
  <c r="AB132" i="6"/>
  <c r="AB133" i="6"/>
  <c r="AB134" i="6"/>
  <c r="AB135" i="6"/>
  <c r="AB136" i="6"/>
  <c r="AB137" i="6"/>
  <c r="AB138" i="6"/>
  <c r="AB139" i="6"/>
  <c r="AB140" i="6"/>
  <c r="AB141" i="6"/>
  <c r="AB142" i="6"/>
  <c r="AB143" i="6"/>
  <c r="AB144" i="6"/>
  <c r="AB145" i="6"/>
  <c r="AB146" i="6"/>
  <c r="AB147" i="6"/>
  <c r="AB148" i="6"/>
  <c r="AB149" i="6"/>
  <c r="AB150" i="6"/>
  <c r="AB151" i="6"/>
  <c r="AB152" i="6"/>
  <c r="AB153" i="6"/>
  <c r="AB154" i="6"/>
  <c r="AB155" i="6"/>
  <c r="AB156" i="6"/>
  <c r="AB157" i="6"/>
  <c r="AB158" i="6"/>
  <c r="AB159" i="6"/>
  <c r="AB160" i="6"/>
  <c r="AB161" i="6"/>
  <c r="AB162" i="6"/>
  <c r="AB163" i="6"/>
  <c r="AB164" i="6"/>
  <c r="AB165" i="6"/>
  <c r="AB166" i="6"/>
  <c r="AB167" i="6"/>
  <c r="AB168" i="6"/>
  <c r="AB169" i="6"/>
  <c r="AB170" i="6"/>
  <c r="AB171" i="6"/>
  <c r="AB172" i="6"/>
  <c r="AB173" i="6"/>
  <c r="AB174" i="6"/>
  <c r="AB175" i="6"/>
  <c r="AB176" i="6"/>
  <c r="AB177" i="6"/>
  <c r="AB178" i="6"/>
  <c r="AB179" i="6"/>
  <c r="AB180" i="6"/>
  <c r="AB181" i="6"/>
  <c r="AB182" i="6"/>
  <c r="AB183" i="6"/>
  <c r="AB184" i="6"/>
  <c r="AB185" i="6"/>
  <c r="AB186" i="6"/>
  <c r="AB187" i="6"/>
  <c r="AB188" i="6"/>
  <c r="AB189" i="6"/>
  <c r="AB190" i="6"/>
  <c r="AB191" i="6"/>
  <c r="AB192" i="6"/>
  <c r="AB193" i="6"/>
  <c r="AB194" i="6"/>
  <c r="AB195" i="6"/>
  <c r="AB196" i="6"/>
  <c r="AB197" i="6"/>
  <c r="AB198" i="6"/>
  <c r="AB199" i="6"/>
  <c r="AB200" i="6"/>
  <c r="AB201" i="6"/>
  <c r="AB202" i="6"/>
  <c r="AB203" i="6"/>
  <c r="AB204" i="6"/>
  <c r="AB205" i="6"/>
  <c r="AB206" i="6"/>
  <c r="AB207" i="6"/>
  <c r="AB208" i="6"/>
  <c r="AB209" i="6"/>
  <c r="AB210" i="6"/>
  <c r="AB211" i="6"/>
  <c r="AB212" i="6"/>
  <c r="AB213" i="6"/>
  <c r="AB214" i="6"/>
  <c r="AB215" i="6"/>
  <c r="AB216" i="6"/>
  <c r="AB217" i="6"/>
  <c r="AB218" i="6"/>
  <c r="AB219" i="6"/>
  <c r="AB220" i="6"/>
  <c r="AB221" i="6"/>
  <c r="AB222" i="6"/>
  <c r="AB223" i="6"/>
  <c r="AB224" i="6"/>
  <c r="AB225" i="6"/>
  <c r="AB226" i="6"/>
  <c r="AB227" i="6"/>
  <c r="AB228" i="6"/>
  <c r="AB229" i="6"/>
  <c r="AB230" i="6"/>
  <c r="AB231" i="6"/>
  <c r="AB232" i="6"/>
  <c r="AB233" i="6"/>
  <c r="AB234" i="6"/>
  <c r="AB3" i="6"/>
  <c r="AF46" i="6"/>
  <c r="AG50" i="6" s="1"/>
  <c r="AG51" i="6" s="1"/>
  <c r="AG3" i="6"/>
  <c r="G30" i="5"/>
  <c r="G31" i="5"/>
  <c r="G32" i="5"/>
  <c r="G33" i="5"/>
  <c r="G34" i="5"/>
  <c r="G35" i="5"/>
  <c r="G36" i="5"/>
  <c r="G37" i="5"/>
  <c r="G38" i="5"/>
  <c r="G39" i="5"/>
  <c r="G40" i="5"/>
  <c r="G41" i="5"/>
  <c r="G42" i="5"/>
  <c r="G43" i="5"/>
  <c r="G44" i="5"/>
  <c r="G45" i="5"/>
  <c r="G46" i="5"/>
  <c r="G47" i="5"/>
  <c r="G48" i="5"/>
  <c r="G49" i="5"/>
  <c r="G50" i="5"/>
  <c r="G29" i="5"/>
  <c r="E49" i="5"/>
  <c r="E50" i="5"/>
  <c r="F50" i="5" s="1"/>
  <c r="E48" i="5"/>
  <c r="E30" i="5"/>
  <c r="E31" i="5"/>
  <c r="E32" i="5"/>
  <c r="E33" i="5"/>
  <c r="E34" i="5"/>
  <c r="F34" i="5" s="1"/>
  <c r="E35" i="5"/>
  <c r="F35" i="5" s="1"/>
  <c r="E36" i="5"/>
  <c r="F36" i="5" s="1"/>
  <c r="E37" i="5"/>
  <c r="F37" i="5" s="1"/>
  <c r="E38" i="5"/>
  <c r="E39" i="5"/>
  <c r="E40" i="5"/>
  <c r="E41" i="5"/>
  <c r="E42" i="5"/>
  <c r="F42" i="5" s="1"/>
  <c r="E43" i="5"/>
  <c r="F43" i="5" s="1"/>
  <c r="E44" i="5"/>
  <c r="F44" i="5" s="1"/>
  <c r="E45" i="5"/>
  <c r="F45" i="5" s="1"/>
  <c r="E46" i="5"/>
  <c r="F30" i="5"/>
  <c r="F31" i="5"/>
  <c r="F32" i="5"/>
  <c r="F33" i="5"/>
  <c r="F38" i="5"/>
  <c r="F39" i="5"/>
  <c r="F40" i="5"/>
  <c r="F41" i="5"/>
  <c r="F46" i="5"/>
  <c r="F47" i="5"/>
  <c r="F48" i="5"/>
  <c r="F49" i="5"/>
  <c r="F29" i="5"/>
  <c r="E29" i="5"/>
  <c r="C49" i="5"/>
  <c r="C36" i="5"/>
  <c r="C37" i="5"/>
  <c r="C47" i="5"/>
  <c r="C40" i="5"/>
  <c r="C41" i="5"/>
  <c r="C50" i="5"/>
  <c r="D50" i="5" s="1"/>
  <c r="C34" i="5"/>
  <c r="C33" i="5"/>
  <c r="C46" i="5"/>
  <c r="C48" i="5"/>
  <c r="C38" i="5"/>
  <c r="D38" i="5" s="1"/>
  <c r="C35" i="5"/>
  <c r="D35" i="5" s="1"/>
  <c r="C29" i="5"/>
  <c r="C39" i="5"/>
  <c r="D39" i="5" s="1"/>
  <c r="C32" i="5"/>
  <c r="C43" i="5"/>
  <c r="C30" i="5"/>
  <c r="C31" i="5"/>
  <c r="C45" i="5"/>
  <c r="C44" i="5"/>
  <c r="C42" i="5"/>
  <c r="D36" i="5"/>
  <c r="B49" i="5"/>
  <c r="D49" i="5" s="1"/>
  <c r="B36" i="5"/>
  <c r="B37" i="5"/>
  <c r="D37" i="5" s="1"/>
  <c r="B47" i="5"/>
  <c r="B40" i="5"/>
  <c r="B41" i="5"/>
  <c r="B50" i="5"/>
  <c r="B34" i="5"/>
  <c r="B33" i="5"/>
  <c r="D33" i="5" s="1"/>
  <c r="B46" i="5"/>
  <c r="B48" i="5"/>
  <c r="D48" i="5" s="1"/>
  <c r="B38" i="5"/>
  <c r="B35" i="5"/>
  <c r="B29" i="5"/>
  <c r="B39" i="5"/>
  <c r="B32" i="5"/>
  <c r="B43" i="5"/>
  <c r="D43" i="5" s="1"/>
  <c r="B30" i="5"/>
  <c r="B31" i="5"/>
  <c r="D31" i="5" s="1"/>
  <c r="B45" i="5"/>
  <c r="B44" i="5"/>
  <c r="B42" i="5"/>
  <c r="D42" i="5" s="1"/>
  <c r="A49" i="5"/>
  <c r="A36" i="5"/>
  <c r="A37" i="5"/>
  <c r="A47" i="5"/>
  <c r="A50" i="5"/>
  <c r="A34" i="5"/>
  <c r="A33" i="5"/>
  <c r="A46" i="5"/>
  <c r="A48" i="5"/>
  <c r="A38" i="5"/>
  <c r="A35" i="5"/>
  <c r="A29" i="5"/>
  <c r="A39" i="5"/>
  <c r="A32" i="5"/>
  <c r="A43" i="5"/>
  <c r="A30" i="5"/>
  <c r="A31" i="5"/>
  <c r="A45" i="5"/>
  <c r="A44" i="5"/>
  <c r="A42" i="5"/>
  <c r="L233" i="4"/>
  <c r="Q233" i="4" s="1"/>
  <c r="N233" i="4"/>
  <c r="O233" i="4" s="1"/>
  <c r="U233" i="6"/>
  <c r="AE233" i="6" s="1"/>
  <c r="V233" i="6"/>
  <c r="G3" i="2"/>
  <c r="G234" i="2"/>
  <c r="G465" i="2"/>
  <c r="G696" i="2"/>
  <c r="G927" i="2"/>
  <c r="G1158" i="2"/>
  <c r="G1389" i="2"/>
  <c r="G1620" i="2"/>
  <c r="G1851" i="2"/>
  <c r="G2082" i="2"/>
  <c r="G2313" i="2"/>
  <c r="G2544" i="2"/>
  <c r="G2775" i="2"/>
  <c r="G3006" i="2"/>
  <c r="G3237" i="2"/>
  <c r="G3468" i="2"/>
  <c r="G3699" i="2"/>
  <c r="G3930" i="2"/>
  <c r="G4161" i="2"/>
  <c r="G4392" i="2"/>
  <c r="G4623" i="2"/>
  <c r="G4" i="2"/>
  <c r="G235" i="2"/>
  <c r="G466" i="2"/>
  <c r="G697" i="2"/>
  <c r="G928" i="2"/>
  <c r="G1159" i="2"/>
  <c r="G1390" i="2"/>
  <c r="G1621" i="2"/>
  <c r="G1852" i="2"/>
  <c r="G2083" i="2"/>
  <c r="G2314" i="2"/>
  <c r="G2545" i="2"/>
  <c r="G2776" i="2"/>
  <c r="G3007" i="2"/>
  <c r="G3238" i="2"/>
  <c r="G3469" i="2"/>
  <c r="G3700" i="2"/>
  <c r="G3931" i="2"/>
  <c r="G4162" i="2"/>
  <c r="G4393" i="2"/>
  <c r="G4624" i="2"/>
  <c r="G5" i="2"/>
  <c r="G236" i="2"/>
  <c r="G467" i="2"/>
  <c r="G698" i="2"/>
  <c r="G929" i="2"/>
  <c r="G1160" i="2"/>
  <c r="G1391" i="2"/>
  <c r="G1622" i="2"/>
  <c r="G1853" i="2"/>
  <c r="G2084" i="2"/>
  <c r="G2315" i="2"/>
  <c r="G2546" i="2"/>
  <c r="G2777" i="2"/>
  <c r="G3008" i="2"/>
  <c r="G3239" i="2"/>
  <c r="G3470" i="2"/>
  <c r="G3701" i="2"/>
  <c r="G3932" i="2"/>
  <c r="G4163" i="2"/>
  <c r="G4394" i="2"/>
  <c r="G4625" i="2"/>
  <c r="G6" i="2"/>
  <c r="G237" i="2"/>
  <c r="G468" i="2"/>
  <c r="G699" i="2"/>
  <c r="G930" i="2"/>
  <c r="G1161" i="2"/>
  <c r="G1392" i="2"/>
  <c r="G1623" i="2"/>
  <c r="G1854" i="2"/>
  <c r="G2085" i="2"/>
  <c r="G2316" i="2"/>
  <c r="G2547" i="2"/>
  <c r="G2778" i="2"/>
  <c r="G3009" i="2"/>
  <c r="G3240" i="2"/>
  <c r="G3471" i="2"/>
  <c r="G3702" i="2"/>
  <c r="G3933" i="2"/>
  <c r="G4164" i="2"/>
  <c r="G4395" i="2"/>
  <c r="G4626" i="2"/>
  <c r="G7" i="2"/>
  <c r="G238" i="2"/>
  <c r="G469" i="2"/>
  <c r="G700" i="2"/>
  <c r="G931" i="2"/>
  <c r="G1162" i="2"/>
  <c r="G1393" i="2"/>
  <c r="G1624" i="2"/>
  <c r="G1855" i="2"/>
  <c r="G2086" i="2"/>
  <c r="G2317" i="2"/>
  <c r="G2548" i="2"/>
  <c r="G2779" i="2"/>
  <c r="G3010" i="2"/>
  <c r="G3241" i="2"/>
  <c r="G3472" i="2"/>
  <c r="G3703" i="2"/>
  <c r="G3934" i="2"/>
  <c r="G4165" i="2"/>
  <c r="G4396" i="2"/>
  <c r="G4627" i="2"/>
  <c r="G8" i="2"/>
  <c r="G239" i="2"/>
  <c r="G470" i="2"/>
  <c r="G701" i="2"/>
  <c r="G932" i="2"/>
  <c r="G1163" i="2"/>
  <c r="G1394" i="2"/>
  <c r="G1625" i="2"/>
  <c r="G1856" i="2"/>
  <c r="G2087" i="2"/>
  <c r="G2318" i="2"/>
  <c r="G2549" i="2"/>
  <c r="G2780" i="2"/>
  <c r="G3011" i="2"/>
  <c r="G3242" i="2"/>
  <c r="G3473" i="2"/>
  <c r="G3704" i="2"/>
  <c r="G3935" i="2"/>
  <c r="G4166" i="2"/>
  <c r="G4397" i="2"/>
  <c r="G4628" i="2"/>
  <c r="G9" i="2"/>
  <c r="G240" i="2"/>
  <c r="G471" i="2"/>
  <c r="G702" i="2"/>
  <c r="G933" i="2"/>
  <c r="G1164" i="2"/>
  <c r="G1395" i="2"/>
  <c r="G1626" i="2"/>
  <c r="G1857" i="2"/>
  <c r="G2088" i="2"/>
  <c r="G2319" i="2"/>
  <c r="G2550" i="2"/>
  <c r="G2781" i="2"/>
  <c r="G3012" i="2"/>
  <c r="G3243" i="2"/>
  <c r="G3474" i="2"/>
  <c r="G3705" i="2"/>
  <c r="G3936" i="2"/>
  <c r="G4167" i="2"/>
  <c r="G4398" i="2"/>
  <c r="G4629" i="2"/>
  <c r="G10" i="2"/>
  <c r="G241" i="2"/>
  <c r="G472" i="2"/>
  <c r="G703" i="2"/>
  <c r="G934" i="2"/>
  <c r="G1165" i="2"/>
  <c r="G1396" i="2"/>
  <c r="G1627" i="2"/>
  <c r="G1858" i="2"/>
  <c r="G2089" i="2"/>
  <c r="G2320" i="2"/>
  <c r="G2551" i="2"/>
  <c r="G2782" i="2"/>
  <c r="G3013" i="2"/>
  <c r="G3244" i="2"/>
  <c r="G3475" i="2"/>
  <c r="G3706" i="2"/>
  <c r="G3937" i="2"/>
  <c r="G4168" i="2"/>
  <c r="G4399" i="2"/>
  <c r="G4630" i="2"/>
  <c r="G11" i="2"/>
  <c r="G242" i="2"/>
  <c r="G473" i="2"/>
  <c r="G704" i="2"/>
  <c r="G935" i="2"/>
  <c r="G1166" i="2"/>
  <c r="G1397" i="2"/>
  <c r="G1628" i="2"/>
  <c r="G1859" i="2"/>
  <c r="G2090" i="2"/>
  <c r="G2321" i="2"/>
  <c r="G2552" i="2"/>
  <c r="G2783" i="2"/>
  <c r="G3014" i="2"/>
  <c r="G3245" i="2"/>
  <c r="G3476" i="2"/>
  <c r="G3707" i="2"/>
  <c r="G3938" i="2"/>
  <c r="G4169" i="2"/>
  <c r="G4400" i="2"/>
  <c r="G4631" i="2"/>
  <c r="G12" i="2"/>
  <c r="G243" i="2"/>
  <c r="G474" i="2"/>
  <c r="G705" i="2"/>
  <c r="G936" i="2"/>
  <c r="G1167" i="2"/>
  <c r="G1398" i="2"/>
  <c r="G1629" i="2"/>
  <c r="G1860" i="2"/>
  <c r="G2091" i="2"/>
  <c r="G2322" i="2"/>
  <c r="G2553" i="2"/>
  <c r="G2784" i="2"/>
  <c r="G3015" i="2"/>
  <c r="G3246" i="2"/>
  <c r="G3477" i="2"/>
  <c r="G3708" i="2"/>
  <c r="G3939" i="2"/>
  <c r="G4170" i="2"/>
  <c r="G4401" i="2"/>
  <c r="G4632" i="2"/>
  <c r="G13" i="2"/>
  <c r="G244" i="2"/>
  <c r="G475" i="2"/>
  <c r="G706" i="2"/>
  <c r="G937" i="2"/>
  <c r="G1168" i="2"/>
  <c r="G1399" i="2"/>
  <c r="G1630" i="2"/>
  <c r="G1861" i="2"/>
  <c r="G2092" i="2"/>
  <c r="G2323" i="2"/>
  <c r="G2554" i="2"/>
  <c r="G2785" i="2"/>
  <c r="G3016" i="2"/>
  <c r="G3247" i="2"/>
  <c r="G3478" i="2"/>
  <c r="G3709" i="2"/>
  <c r="G3940" i="2"/>
  <c r="G4171" i="2"/>
  <c r="G4402" i="2"/>
  <c r="G4633" i="2"/>
  <c r="G14" i="2"/>
  <c r="G245" i="2"/>
  <c r="G476" i="2"/>
  <c r="G707" i="2"/>
  <c r="G938" i="2"/>
  <c r="G1169" i="2"/>
  <c r="G1400" i="2"/>
  <c r="G1631" i="2"/>
  <c r="G1862" i="2"/>
  <c r="G2093" i="2"/>
  <c r="G2324" i="2"/>
  <c r="G2555" i="2"/>
  <c r="G2786" i="2"/>
  <c r="G3017" i="2"/>
  <c r="G3248" i="2"/>
  <c r="G3479" i="2"/>
  <c r="G3710" i="2"/>
  <c r="G3941" i="2"/>
  <c r="G4172" i="2"/>
  <c r="G4403" i="2"/>
  <c r="G4634" i="2"/>
  <c r="G15" i="2"/>
  <c r="G246" i="2"/>
  <c r="G477" i="2"/>
  <c r="G708" i="2"/>
  <c r="G939" i="2"/>
  <c r="G1170" i="2"/>
  <c r="G1401" i="2"/>
  <c r="G1632" i="2"/>
  <c r="G1863" i="2"/>
  <c r="G2094" i="2"/>
  <c r="G2325" i="2"/>
  <c r="G2556" i="2"/>
  <c r="G2787" i="2"/>
  <c r="G3018" i="2"/>
  <c r="G3249" i="2"/>
  <c r="G3480" i="2"/>
  <c r="G3711" i="2"/>
  <c r="G3942" i="2"/>
  <c r="G4173" i="2"/>
  <c r="G4404" i="2"/>
  <c r="G4635" i="2"/>
  <c r="G16" i="2"/>
  <c r="G247" i="2"/>
  <c r="G478" i="2"/>
  <c r="G709" i="2"/>
  <c r="G940" i="2"/>
  <c r="G1171" i="2"/>
  <c r="G1402" i="2"/>
  <c r="G1633" i="2"/>
  <c r="G1864" i="2"/>
  <c r="G2095" i="2"/>
  <c r="G2326" i="2"/>
  <c r="G2557" i="2"/>
  <c r="G2788" i="2"/>
  <c r="G3019" i="2"/>
  <c r="G3250" i="2"/>
  <c r="G3481" i="2"/>
  <c r="G3712" i="2"/>
  <c r="G3943" i="2"/>
  <c r="G4174" i="2"/>
  <c r="G4405" i="2"/>
  <c r="G4636" i="2"/>
  <c r="G17" i="2"/>
  <c r="G248" i="2"/>
  <c r="G479" i="2"/>
  <c r="G710" i="2"/>
  <c r="G941" i="2"/>
  <c r="G1172" i="2"/>
  <c r="G1403" i="2"/>
  <c r="G1634" i="2"/>
  <c r="G1865" i="2"/>
  <c r="G2096" i="2"/>
  <c r="G2327" i="2"/>
  <c r="G2558" i="2"/>
  <c r="G2789" i="2"/>
  <c r="G3020" i="2"/>
  <c r="G3251" i="2"/>
  <c r="G3482" i="2"/>
  <c r="G3713" i="2"/>
  <c r="G3944" i="2"/>
  <c r="G4175" i="2"/>
  <c r="G4406" i="2"/>
  <c r="G4637" i="2"/>
  <c r="G18" i="2"/>
  <c r="G249" i="2"/>
  <c r="G480" i="2"/>
  <c r="G711" i="2"/>
  <c r="G942" i="2"/>
  <c r="G1173" i="2"/>
  <c r="G1404" i="2"/>
  <c r="G1635" i="2"/>
  <c r="G1866" i="2"/>
  <c r="G2097" i="2"/>
  <c r="G2328" i="2"/>
  <c r="G2559" i="2"/>
  <c r="G2790" i="2"/>
  <c r="G3021" i="2"/>
  <c r="G3252" i="2"/>
  <c r="G3483" i="2"/>
  <c r="G3714" i="2"/>
  <c r="G3945" i="2"/>
  <c r="G4176" i="2"/>
  <c r="G4407" i="2"/>
  <c r="G4638" i="2"/>
  <c r="G19" i="2"/>
  <c r="G250" i="2"/>
  <c r="G481" i="2"/>
  <c r="G712" i="2"/>
  <c r="G943" i="2"/>
  <c r="G1174" i="2"/>
  <c r="G1405" i="2"/>
  <c r="G1636" i="2"/>
  <c r="G1867" i="2"/>
  <c r="G2098" i="2"/>
  <c r="G2329" i="2"/>
  <c r="G2560" i="2"/>
  <c r="G2791" i="2"/>
  <c r="G3022" i="2"/>
  <c r="G3253" i="2"/>
  <c r="G3484" i="2"/>
  <c r="G3715" i="2"/>
  <c r="G3946" i="2"/>
  <c r="G4177" i="2"/>
  <c r="G4408" i="2"/>
  <c r="G4639" i="2"/>
  <c r="G20" i="2"/>
  <c r="G251" i="2"/>
  <c r="G482" i="2"/>
  <c r="G713" i="2"/>
  <c r="G944" i="2"/>
  <c r="G1175" i="2"/>
  <c r="G1406" i="2"/>
  <c r="G1637" i="2"/>
  <c r="G1868" i="2"/>
  <c r="G2099" i="2"/>
  <c r="G2330" i="2"/>
  <c r="G2561" i="2"/>
  <c r="G2792" i="2"/>
  <c r="G3023" i="2"/>
  <c r="G3254" i="2"/>
  <c r="G3485" i="2"/>
  <c r="G3716" i="2"/>
  <c r="G3947" i="2"/>
  <c r="G4178" i="2"/>
  <c r="G4409" i="2"/>
  <c r="G4640" i="2"/>
  <c r="G21" i="2"/>
  <c r="G252" i="2"/>
  <c r="G483" i="2"/>
  <c r="G714" i="2"/>
  <c r="G945" i="2"/>
  <c r="G1176" i="2"/>
  <c r="G1407" i="2"/>
  <c r="G1638" i="2"/>
  <c r="G1869" i="2"/>
  <c r="G2100" i="2"/>
  <c r="G2331" i="2"/>
  <c r="G2562" i="2"/>
  <c r="G2793" i="2"/>
  <c r="G3024" i="2"/>
  <c r="G3255" i="2"/>
  <c r="G3486" i="2"/>
  <c r="G3717" i="2"/>
  <c r="G3948" i="2"/>
  <c r="G4179" i="2"/>
  <c r="G4410" i="2"/>
  <c r="G4641" i="2"/>
  <c r="G22" i="2"/>
  <c r="G253" i="2"/>
  <c r="G484" i="2"/>
  <c r="G715" i="2"/>
  <c r="G946" i="2"/>
  <c r="G1177" i="2"/>
  <c r="G1408" i="2"/>
  <c r="G1639" i="2"/>
  <c r="G1870" i="2"/>
  <c r="G2101" i="2"/>
  <c r="G2332" i="2"/>
  <c r="G2563" i="2"/>
  <c r="G2794" i="2"/>
  <c r="G3025" i="2"/>
  <c r="G3256" i="2"/>
  <c r="G3487" i="2"/>
  <c r="G3718" i="2"/>
  <c r="G3949" i="2"/>
  <c r="G4180" i="2"/>
  <c r="G4411" i="2"/>
  <c r="G4642" i="2"/>
  <c r="G23" i="2"/>
  <c r="G254" i="2"/>
  <c r="G485" i="2"/>
  <c r="G716" i="2"/>
  <c r="G947" i="2"/>
  <c r="G1178" i="2"/>
  <c r="G1409" i="2"/>
  <c r="G1640" i="2"/>
  <c r="G1871" i="2"/>
  <c r="G2102" i="2"/>
  <c r="G2333" i="2"/>
  <c r="G2564" i="2"/>
  <c r="G2795" i="2"/>
  <c r="G3026" i="2"/>
  <c r="G3257" i="2"/>
  <c r="G3488" i="2"/>
  <c r="G3719" i="2"/>
  <c r="G3950" i="2"/>
  <c r="G4181" i="2"/>
  <c r="G4412" i="2"/>
  <c r="G4643" i="2"/>
  <c r="G24" i="2"/>
  <c r="G255" i="2"/>
  <c r="G486" i="2"/>
  <c r="G717" i="2"/>
  <c r="G948" i="2"/>
  <c r="G1179" i="2"/>
  <c r="G1410" i="2"/>
  <c r="G1641" i="2"/>
  <c r="G1872" i="2"/>
  <c r="G2103" i="2"/>
  <c r="G2334" i="2"/>
  <c r="G2565" i="2"/>
  <c r="G2796" i="2"/>
  <c r="G3027" i="2"/>
  <c r="G3258" i="2"/>
  <c r="G3489" i="2"/>
  <c r="G3720" i="2"/>
  <c r="G3951" i="2"/>
  <c r="G4182" i="2"/>
  <c r="G4413" i="2"/>
  <c r="G4644" i="2"/>
  <c r="G25" i="2"/>
  <c r="G256" i="2"/>
  <c r="G487" i="2"/>
  <c r="G718" i="2"/>
  <c r="G949" i="2"/>
  <c r="G1180" i="2"/>
  <c r="G1411" i="2"/>
  <c r="G1642" i="2"/>
  <c r="G1873" i="2"/>
  <c r="G2104" i="2"/>
  <c r="G2335" i="2"/>
  <c r="G2566" i="2"/>
  <c r="G2797" i="2"/>
  <c r="G3028" i="2"/>
  <c r="G3259" i="2"/>
  <c r="G3490" i="2"/>
  <c r="G3721" i="2"/>
  <c r="G3952" i="2"/>
  <c r="G4183" i="2"/>
  <c r="G4414" i="2"/>
  <c r="G4645" i="2"/>
  <c r="G26" i="2"/>
  <c r="G257" i="2"/>
  <c r="G488" i="2"/>
  <c r="G719" i="2"/>
  <c r="G950" i="2"/>
  <c r="G1181" i="2"/>
  <c r="G1412" i="2"/>
  <c r="G1643" i="2"/>
  <c r="G1874" i="2"/>
  <c r="G2105" i="2"/>
  <c r="G2336" i="2"/>
  <c r="G2567" i="2"/>
  <c r="G2798" i="2"/>
  <c r="G3029" i="2"/>
  <c r="G3260" i="2"/>
  <c r="G3491" i="2"/>
  <c r="G3722" i="2"/>
  <c r="G3953" i="2"/>
  <c r="G4184" i="2"/>
  <c r="G4415" i="2"/>
  <c r="G4646" i="2"/>
  <c r="G27" i="2"/>
  <c r="G258" i="2"/>
  <c r="G489" i="2"/>
  <c r="G720" i="2"/>
  <c r="G951" i="2"/>
  <c r="G1182" i="2"/>
  <c r="G1413" i="2"/>
  <c r="G1644" i="2"/>
  <c r="G1875" i="2"/>
  <c r="G2106" i="2"/>
  <c r="G2337" i="2"/>
  <c r="G2568" i="2"/>
  <c r="G2799" i="2"/>
  <c r="G3030" i="2"/>
  <c r="G3261" i="2"/>
  <c r="G3492" i="2"/>
  <c r="G3723" i="2"/>
  <c r="G3954" i="2"/>
  <c r="G4185" i="2"/>
  <c r="G4416" i="2"/>
  <c r="G4647" i="2"/>
  <c r="G28" i="2"/>
  <c r="G259" i="2"/>
  <c r="G490" i="2"/>
  <c r="G721" i="2"/>
  <c r="G952" i="2"/>
  <c r="G1183" i="2"/>
  <c r="G1414" i="2"/>
  <c r="G1645" i="2"/>
  <c r="G1876" i="2"/>
  <c r="G2107" i="2"/>
  <c r="G2338" i="2"/>
  <c r="G2569" i="2"/>
  <c r="G2800" i="2"/>
  <c r="G3031" i="2"/>
  <c r="G3262" i="2"/>
  <c r="G3493" i="2"/>
  <c r="G3724" i="2"/>
  <c r="G3955" i="2"/>
  <c r="G4186" i="2"/>
  <c r="G4417" i="2"/>
  <c r="G4648" i="2"/>
  <c r="G29" i="2"/>
  <c r="G260" i="2"/>
  <c r="G491" i="2"/>
  <c r="G722" i="2"/>
  <c r="G953" i="2"/>
  <c r="G1184" i="2"/>
  <c r="G1415" i="2"/>
  <c r="G1646" i="2"/>
  <c r="G1877" i="2"/>
  <c r="G2108" i="2"/>
  <c r="G2339" i="2"/>
  <c r="G2570" i="2"/>
  <c r="G2801" i="2"/>
  <c r="G3032" i="2"/>
  <c r="G3263" i="2"/>
  <c r="G3494" i="2"/>
  <c r="G3725" i="2"/>
  <c r="G3956" i="2"/>
  <c r="G4187" i="2"/>
  <c r="G4418" i="2"/>
  <c r="G4649" i="2"/>
  <c r="G30" i="2"/>
  <c r="G261" i="2"/>
  <c r="G492" i="2"/>
  <c r="G723" i="2"/>
  <c r="G954" i="2"/>
  <c r="G1185" i="2"/>
  <c r="G1416" i="2"/>
  <c r="G1647" i="2"/>
  <c r="G1878" i="2"/>
  <c r="G2109" i="2"/>
  <c r="G2340" i="2"/>
  <c r="G2571" i="2"/>
  <c r="G2802" i="2"/>
  <c r="G3033" i="2"/>
  <c r="G3264" i="2"/>
  <c r="G3495" i="2"/>
  <c r="G3726" i="2"/>
  <c r="G3957" i="2"/>
  <c r="G4188" i="2"/>
  <c r="G4419" i="2"/>
  <c r="G4650" i="2"/>
  <c r="G31" i="2"/>
  <c r="G262" i="2"/>
  <c r="G493" i="2"/>
  <c r="G724" i="2"/>
  <c r="G955" i="2"/>
  <c r="G1186" i="2"/>
  <c r="G1417" i="2"/>
  <c r="G1648" i="2"/>
  <c r="G1879" i="2"/>
  <c r="G2110" i="2"/>
  <c r="G2341" i="2"/>
  <c r="G2572" i="2"/>
  <c r="G2803" i="2"/>
  <c r="G3034" i="2"/>
  <c r="G3265" i="2"/>
  <c r="G3496" i="2"/>
  <c r="G3727" i="2"/>
  <c r="G3958" i="2"/>
  <c r="G4189" i="2"/>
  <c r="G4420" i="2"/>
  <c r="G4651" i="2"/>
  <c r="G32" i="2"/>
  <c r="G263" i="2"/>
  <c r="G494" i="2"/>
  <c r="G725" i="2"/>
  <c r="G956" i="2"/>
  <c r="G1187" i="2"/>
  <c r="G1418" i="2"/>
  <c r="G1649" i="2"/>
  <c r="G1880" i="2"/>
  <c r="G2111" i="2"/>
  <c r="G2342" i="2"/>
  <c r="G2573" i="2"/>
  <c r="G2804" i="2"/>
  <c r="G3035" i="2"/>
  <c r="G3266" i="2"/>
  <c r="G3497" i="2"/>
  <c r="G3728" i="2"/>
  <c r="G3959" i="2"/>
  <c r="G4190" i="2"/>
  <c r="G4421" i="2"/>
  <c r="G4652" i="2"/>
  <c r="G33" i="2"/>
  <c r="G264" i="2"/>
  <c r="G495" i="2"/>
  <c r="G726" i="2"/>
  <c r="G957" i="2"/>
  <c r="G1188" i="2"/>
  <c r="G1419" i="2"/>
  <c r="G1650" i="2"/>
  <c r="G1881" i="2"/>
  <c r="G2112" i="2"/>
  <c r="G2343" i="2"/>
  <c r="G2574" i="2"/>
  <c r="G2805" i="2"/>
  <c r="G3036" i="2"/>
  <c r="G3267" i="2"/>
  <c r="G3498" i="2"/>
  <c r="G3729" i="2"/>
  <c r="G3960" i="2"/>
  <c r="G4191" i="2"/>
  <c r="G4422" i="2"/>
  <c r="G4653" i="2"/>
  <c r="G34" i="2"/>
  <c r="G265" i="2"/>
  <c r="G496" i="2"/>
  <c r="G727" i="2"/>
  <c r="G958" i="2"/>
  <c r="G1189" i="2"/>
  <c r="G1420" i="2"/>
  <c r="G1651" i="2"/>
  <c r="G1882" i="2"/>
  <c r="G2113" i="2"/>
  <c r="G2344" i="2"/>
  <c r="G2575" i="2"/>
  <c r="G2806" i="2"/>
  <c r="G3037" i="2"/>
  <c r="G3268" i="2"/>
  <c r="G3499" i="2"/>
  <c r="G3730" i="2"/>
  <c r="G3961" i="2"/>
  <c r="G4192" i="2"/>
  <c r="G4423" i="2"/>
  <c r="G4654" i="2"/>
  <c r="G35" i="2"/>
  <c r="G266" i="2"/>
  <c r="G497" i="2"/>
  <c r="G728" i="2"/>
  <c r="G959" i="2"/>
  <c r="G1190" i="2"/>
  <c r="G1421" i="2"/>
  <c r="G1652" i="2"/>
  <c r="G1883" i="2"/>
  <c r="G2114" i="2"/>
  <c r="G2345" i="2"/>
  <c r="G2576" i="2"/>
  <c r="G2807" i="2"/>
  <c r="G3038" i="2"/>
  <c r="G3269" i="2"/>
  <c r="G3500" i="2"/>
  <c r="G3731" i="2"/>
  <c r="G3962" i="2"/>
  <c r="G4193" i="2"/>
  <c r="G4424" i="2"/>
  <c r="G4655" i="2"/>
  <c r="G36" i="2"/>
  <c r="G267" i="2"/>
  <c r="G498" i="2"/>
  <c r="G729" i="2"/>
  <c r="G960" i="2"/>
  <c r="G1191" i="2"/>
  <c r="G1422" i="2"/>
  <c r="G1653" i="2"/>
  <c r="G1884" i="2"/>
  <c r="G2115" i="2"/>
  <c r="G2346" i="2"/>
  <c r="G2577" i="2"/>
  <c r="G2808" i="2"/>
  <c r="G3039" i="2"/>
  <c r="G3270" i="2"/>
  <c r="G3501" i="2"/>
  <c r="G3732" i="2"/>
  <c r="G3963" i="2"/>
  <c r="G4194" i="2"/>
  <c r="G4425" i="2"/>
  <c r="G4656" i="2"/>
  <c r="G37" i="2"/>
  <c r="G268" i="2"/>
  <c r="G499" i="2"/>
  <c r="G730" i="2"/>
  <c r="G961" i="2"/>
  <c r="G1192" i="2"/>
  <c r="G1423" i="2"/>
  <c r="G1654" i="2"/>
  <c r="G1885" i="2"/>
  <c r="G2116" i="2"/>
  <c r="G2347" i="2"/>
  <c r="G2578" i="2"/>
  <c r="G2809" i="2"/>
  <c r="G3040" i="2"/>
  <c r="G3271" i="2"/>
  <c r="G3502" i="2"/>
  <c r="G3733" i="2"/>
  <c r="G3964" i="2"/>
  <c r="G4195" i="2"/>
  <c r="G4426" i="2"/>
  <c r="G4657" i="2"/>
  <c r="G38" i="2"/>
  <c r="G269" i="2"/>
  <c r="G500" i="2"/>
  <c r="G731" i="2"/>
  <c r="G962" i="2"/>
  <c r="G1193" i="2"/>
  <c r="G1424" i="2"/>
  <c r="G1655" i="2"/>
  <c r="G1886" i="2"/>
  <c r="G2117" i="2"/>
  <c r="G2348" i="2"/>
  <c r="G2579" i="2"/>
  <c r="G2810" i="2"/>
  <c r="G3041" i="2"/>
  <c r="G3272" i="2"/>
  <c r="G3503" i="2"/>
  <c r="G3734" i="2"/>
  <c r="G3965" i="2"/>
  <c r="G4196" i="2"/>
  <c r="G4427" i="2"/>
  <c r="G4658" i="2"/>
  <c r="G39" i="2"/>
  <c r="G270" i="2"/>
  <c r="G501" i="2"/>
  <c r="G732" i="2"/>
  <c r="G963" i="2"/>
  <c r="G1194" i="2"/>
  <c r="G1425" i="2"/>
  <c r="G1656" i="2"/>
  <c r="G1887" i="2"/>
  <c r="G2118" i="2"/>
  <c r="G2349" i="2"/>
  <c r="G2580" i="2"/>
  <c r="G2811" i="2"/>
  <c r="G3042" i="2"/>
  <c r="G3273" i="2"/>
  <c r="G3504" i="2"/>
  <c r="G3735" i="2"/>
  <c r="G3966" i="2"/>
  <c r="G4197" i="2"/>
  <c r="G4428" i="2"/>
  <c r="G4659" i="2"/>
  <c r="G40" i="2"/>
  <c r="G271" i="2"/>
  <c r="G502" i="2"/>
  <c r="G733" i="2"/>
  <c r="G964" i="2"/>
  <c r="G1195" i="2"/>
  <c r="G1426" i="2"/>
  <c r="G1657" i="2"/>
  <c r="G1888" i="2"/>
  <c r="G2119" i="2"/>
  <c r="G2350" i="2"/>
  <c r="G2581" i="2"/>
  <c r="G2812" i="2"/>
  <c r="G3043" i="2"/>
  <c r="G3274" i="2"/>
  <c r="G3505" i="2"/>
  <c r="G3736" i="2"/>
  <c r="G3967" i="2"/>
  <c r="G4198" i="2"/>
  <c r="G4429" i="2"/>
  <c r="G4660" i="2"/>
  <c r="G41" i="2"/>
  <c r="G272" i="2"/>
  <c r="G503" i="2"/>
  <c r="G734" i="2"/>
  <c r="G965" i="2"/>
  <c r="G1196" i="2"/>
  <c r="G1427" i="2"/>
  <c r="G1658" i="2"/>
  <c r="G1889" i="2"/>
  <c r="G2120" i="2"/>
  <c r="G2351" i="2"/>
  <c r="G2582" i="2"/>
  <c r="G2813" i="2"/>
  <c r="G3044" i="2"/>
  <c r="G3275" i="2"/>
  <c r="G3506" i="2"/>
  <c r="G3737" i="2"/>
  <c r="G3968" i="2"/>
  <c r="G4199" i="2"/>
  <c r="G4430" i="2"/>
  <c r="G4661" i="2"/>
  <c r="G42" i="2"/>
  <c r="G273" i="2"/>
  <c r="G504" i="2"/>
  <c r="G735" i="2"/>
  <c r="G966" i="2"/>
  <c r="G1197" i="2"/>
  <c r="G1428" i="2"/>
  <c r="G1659" i="2"/>
  <c r="G1890" i="2"/>
  <c r="G2121" i="2"/>
  <c r="G2352" i="2"/>
  <c r="G2583" i="2"/>
  <c r="G2814" i="2"/>
  <c r="G3045" i="2"/>
  <c r="G3276" i="2"/>
  <c r="G3507" i="2"/>
  <c r="G3738" i="2"/>
  <c r="G3969" i="2"/>
  <c r="G4200" i="2"/>
  <c r="G4431" i="2"/>
  <c r="G4662" i="2"/>
  <c r="G43" i="2"/>
  <c r="G274" i="2"/>
  <c r="G505" i="2"/>
  <c r="G736" i="2"/>
  <c r="G967" i="2"/>
  <c r="G1198" i="2"/>
  <c r="G1429" i="2"/>
  <c r="G1660" i="2"/>
  <c r="G1891" i="2"/>
  <c r="G2122" i="2"/>
  <c r="G2353" i="2"/>
  <c r="G2584" i="2"/>
  <c r="G2815" i="2"/>
  <c r="G3046" i="2"/>
  <c r="G3277" i="2"/>
  <c r="G3508" i="2"/>
  <c r="G3739" i="2"/>
  <c r="G3970" i="2"/>
  <c r="G4201" i="2"/>
  <c r="G4432" i="2"/>
  <c r="G4663" i="2"/>
  <c r="G44" i="2"/>
  <c r="G275" i="2"/>
  <c r="G506" i="2"/>
  <c r="G737" i="2"/>
  <c r="G968" i="2"/>
  <c r="G1199" i="2"/>
  <c r="G1430" i="2"/>
  <c r="G1661" i="2"/>
  <c r="G1892" i="2"/>
  <c r="G2123" i="2"/>
  <c r="G2354" i="2"/>
  <c r="G2585" i="2"/>
  <c r="G2816" i="2"/>
  <c r="G3047" i="2"/>
  <c r="G3278" i="2"/>
  <c r="G3509" i="2"/>
  <c r="G3740" i="2"/>
  <c r="G3971" i="2"/>
  <c r="G4202" i="2"/>
  <c r="G4433" i="2"/>
  <c r="G4664" i="2"/>
  <c r="G45" i="2"/>
  <c r="G276" i="2"/>
  <c r="G507" i="2"/>
  <c r="G738" i="2"/>
  <c r="G969" i="2"/>
  <c r="G1200" i="2"/>
  <c r="G1431" i="2"/>
  <c r="G1662" i="2"/>
  <c r="G1893" i="2"/>
  <c r="G2124" i="2"/>
  <c r="G2355" i="2"/>
  <c r="G2586" i="2"/>
  <c r="G2817" i="2"/>
  <c r="G3048" i="2"/>
  <c r="G3279" i="2"/>
  <c r="G3510" i="2"/>
  <c r="G3741" i="2"/>
  <c r="G3972" i="2"/>
  <c r="G4203" i="2"/>
  <c r="G4434" i="2"/>
  <c r="G4665" i="2"/>
  <c r="G46" i="2"/>
  <c r="G277" i="2"/>
  <c r="G508" i="2"/>
  <c r="G739" i="2"/>
  <c r="G970" i="2"/>
  <c r="G1201" i="2"/>
  <c r="G1432" i="2"/>
  <c r="G1663" i="2"/>
  <c r="G1894" i="2"/>
  <c r="G2125" i="2"/>
  <c r="G2356" i="2"/>
  <c r="G2587" i="2"/>
  <c r="G2818" i="2"/>
  <c r="G3049" i="2"/>
  <c r="G3280" i="2"/>
  <c r="G3511" i="2"/>
  <c r="G3742" i="2"/>
  <c r="G3973" i="2"/>
  <c r="G4204" i="2"/>
  <c r="G4435" i="2"/>
  <c r="G4666" i="2"/>
  <c r="G47" i="2"/>
  <c r="G278" i="2"/>
  <c r="G509" i="2"/>
  <c r="G740" i="2"/>
  <c r="G971" i="2"/>
  <c r="G1202" i="2"/>
  <c r="G1433" i="2"/>
  <c r="G1664" i="2"/>
  <c r="G1895" i="2"/>
  <c r="G2126" i="2"/>
  <c r="G2357" i="2"/>
  <c r="G2588" i="2"/>
  <c r="G2819" i="2"/>
  <c r="G3050" i="2"/>
  <c r="G3281" i="2"/>
  <c r="G3512" i="2"/>
  <c r="G3743" i="2"/>
  <c r="G3974" i="2"/>
  <c r="G4205" i="2"/>
  <c r="G4436" i="2"/>
  <c r="G4667" i="2"/>
  <c r="G48" i="2"/>
  <c r="G279" i="2"/>
  <c r="G510" i="2"/>
  <c r="G741" i="2"/>
  <c r="G972" i="2"/>
  <c r="G1203" i="2"/>
  <c r="G1434" i="2"/>
  <c r="G1665" i="2"/>
  <c r="G1896" i="2"/>
  <c r="G2127" i="2"/>
  <c r="G2358" i="2"/>
  <c r="G2589" i="2"/>
  <c r="G2820" i="2"/>
  <c r="G3051" i="2"/>
  <c r="G3282" i="2"/>
  <c r="G3513" i="2"/>
  <c r="G3744" i="2"/>
  <c r="G3975" i="2"/>
  <c r="G4206" i="2"/>
  <c r="G4437" i="2"/>
  <c r="G4668" i="2"/>
  <c r="G49" i="2"/>
  <c r="G280" i="2"/>
  <c r="G511" i="2"/>
  <c r="G742" i="2"/>
  <c r="G973" i="2"/>
  <c r="G1204" i="2"/>
  <c r="G1435" i="2"/>
  <c r="G1666" i="2"/>
  <c r="G1897" i="2"/>
  <c r="G2128" i="2"/>
  <c r="G2359" i="2"/>
  <c r="G2590" i="2"/>
  <c r="G2821" i="2"/>
  <c r="G3052" i="2"/>
  <c r="G3283" i="2"/>
  <c r="G3514" i="2"/>
  <c r="G3745" i="2"/>
  <c r="G3976" i="2"/>
  <c r="G4207" i="2"/>
  <c r="G4438" i="2"/>
  <c r="G4669" i="2"/>
  <c r="G50" i="2"/>
  <c r="G281" i="2"/>
  <c r="G512" i="2"/>
  <c r="G743" i="2"/>
  <c r="G974" i="2"/>
  <c r="G1205" i="2"/>
  <c r="G1436" i="2"/>
  <c r="G1667" i="2"/>
  <c r="G1898" i="2"/>
  <c r="G2129" i="2"/>
  <c r="G2360" i="2"/>
  <c r="G2591" i="2"/>
  <c r="G2822" i="2"/>
  <c r="G3053" i="2"/>
  <c r="G3284" i="2"/>
  <c r="G3515" i="2"/>
  <c r="G3746" i="2"/>
  <c r="G3977" i="2"/>
  <c r="G4208" i="2"/>
  <c r="G4439" i="2"/>
  <c r="G4670" i="2"/>
  <c r="G51" i="2"/>
  <c r="G282" i="2"/>
  <c r="G513" i="2"/>
  <c r="G744" i="2"/>
  <c r="G975" i="2"/>
  <c r="G1206" i="2"/>
  <c r="G1437" i="2"/>
  <c r="G1668" i="2"/>
  <c r="G1899" i="2"/>
  <c r="G2130" i="2"/>
  <c r="G2361" i="2"/>
  <c r="G2592" i="2"/>
  <c r="G2823" i="2"/>
  <c r="G3054" i="2"/>
  <c r="G3285" i="2"/>
  <c r="G3516" i="2"/>
  <c r="G3747" i="2"/>
  <c r="G3978" i="2"/>
  <c r="G4209" i="2"/>
  <c r="G4440" i="2"/>
  <c r="G4671" i="2"/>
  <c r="G52" i="2"/>
  <c r="G283" i="2"/>
  <c r="G514" i="2"/>
  <c r="G745" i="2"/>
  <c r="G976" i="2"/>
  <c r="G1207" i="2"/>
  <c r="G1438" i="2"/>
  <c r="G1669" i="2"/>
  <c r="G1900" i="2"/>
  <c r="G2131" i="2"/>
  <c r="G2362" i="2"/>
  <c r="G2593" i="2"/>
  <c r="G2824" i="2"/>
  <c r="G3055" i="2"/>
  <c r="G3286" i="2"/>
  <c r="G3517" i="2"/>
  <c r="G3748" i="2"/>
  <c r="G3979" i="2"/>
  <c r="G4210" i="2"/>
  <c r="G4441" i="2"/>
  <c r="G4672" i="2"/>
  <c r="G53" i="2"/>
  <c r="G284" i="2"/>
  <c r="G515" i="2"/>
  <c r="G746" i="2"/>
  <c r="G977" i="2"/>
  <c r="G1208" i="2"/>
  <c r="G1439" i="2"/>
  <c r="G1670" i="2"/>
  <c r="G1901" i="2"/>
  <c r="G2132" i="2"/>
  <c r="G2363" i="2"/>
  <c r="G2594" i="2"/>
  <c r="G2825" i="2"/>
  <c r="G3056" i="2"/>
  <c r="G3287" i="2"/>
  <c r="G3518" i="2"/>
  <c r="G3749" i="2"/>
  <c r="G3980" i="2"/>
  <c r="G4211" i="2"/>
  <c r="G4442" i="2"/>
  <c r="G4673" i="2"/>
  <c r="G54" i="2"/>
  <c r="G285" i="2"/>
  <c r="G516" i="2"/>
  <c r="G747" i="2"/>
  <c r="G978" i="2"/>
  <c r="G1209" i="2"/>
  <c r="G1440" i="2"/>
  <c r="G1671" i="2"/>
  <c r="G1902" i="2"/>
  <c r="G2133" i="2"/>
  <c r="G2364" i="2"/>
  <c r="G2595" i="2"/>
  <c r="G2826" i="2"/>
  <c r="G3057" i="2"/>
  <c r="G3288" i="2"/>
  <c r="G3519" i="2"/>
  <c r="G3750" i="2"/>
  <c r="G3981" i="2"/>
  <c r="G4212" i="2"/>
  <c r="G4443" i="2"/>
  <c r="G4674" i="2"/>
  <c r="G55" i="2"/>
  <c r="G286" i="2"/>
  <c r="G517" i="2"/>
  <c r="G748" i="2"/>
  <c r="G979" i="2"/>
  <c r="G1210" i="2"/>
  <c r="G1441" i="2"/>
  <c r="G1672" i="2"/>
  <c r="G1903" i="2"/>
  <c r="G2134" i="2"/>
  <c r="G2365" i="2"/>
  <c r="G2596" i="2"/>
  <c r="G2827" i="2"/>
  <c r="G3058" i="2"/>
  <c r="G3289" i="2"/>
  <c r="G3520" i="2"/>
  <c r="G3751" i="2"/>
  <c r="G3982" i="2"/>
  <c r="G4213" i="2"/>
  <c r="G4444" i="2"/>
  <c r="G4675" i="2"/>
  <c r="G56" i="2"/>
  <c r="G287" i="2"/>
  <c r="G518" i="2"/>
  <c r="G749" i="2"/>
  <c r="G980" i="2"/>
  <c r="G1211" i="2"/>
  <c r="G1442" i="2"/>
  <c r="G1673" i="2"/>
  <c r="G1904" i="2"/>
  <c r="G2135" i="2"/>
  <c r="G2366" i="2"/>
  <c r="G2597" i="2"/>
  <c r="G2828" i="2"/>
  <c r="G3059" i="2"/>
  <c r="G3290" i="2"/>
  <c r="G3521" i="2"/>
  <c r="G3752" i="2"/>
  <c r="G3983" i="2"/>
  <c r="G4214" i="2"/>
  <c r="G4445" i="2"/>
  <c r="G4676" i="2"/>
  <c r="G57" i="2"/>
  <c r="G288" i="2"/>
  <c r="G519" i="2"/>
  <c r="G750" i="2"/>
  <c r="G981" i="2"/>
  <c r="G1212" i="2"/>
  <c r="G1443" i="2"/>
  <c r="G1674" i="2"/>
  <c r="G1905" i="2"/>
  <c r="G2136" i="2"/>
  <c r="G2367" i="2"/>
  <c r="G2598" i="2"/>
  <c r="G2829" i="2"/>
  <c r="G3060" i="2"/>
  <c r="G3291" i="2"/>
  <c r="G3522" i="2"/>
  <c r="G3753" i="2"/>
  <c r="G3984" i="2"/>
  <c r="G4215" i="2"/>
  <c r="G4446" i="2"/>
  <c r="G4677" i="2"/>
  <c r="G58" i="2"/>
  <c r="G289" i="2"/>
  <c r="G520" i="2"/>
  <c r="G751" i="2"/>
  <c r="G982" i="2"/>
  <c r="G1213" i="2"/>
  <c r="G1444" i="2"/>
  <c r="G1675" i="2"/>
  <c r="G1906" i="2"/>
  <c r="G2137" i="2"/>
  <c r="G2368" i="2"/>
  <c r="G2599" i="2"/>
  <c r="G2830" i="2"/>
  <c r="G3061" i="2"/>
  <c r="G3292" i="2"/>
  <c r="G3523" i="2"/>
  <c r="G3754" i="2"/>
  <c r="G3985" i="2"/>
  <c r="G4216" i="2"/>
  <c r="G4447" i="2"/>
  <c r="G4678" i="2"/>
  <c r="G59" i="2"/>
  <c r="G290" i="2"/>
  <c r="G521" i="2"/>
  <c r="G752" i="2"/>
  <c r="G983" i="2"/>
  <c r="G1214" i="2"/>
  <c r="G1445" i="2"/>
  <c r="G1676" i="2"/>
  <c r="G1907" i="2"/>
  <c r="G2138" i="2"/>
  <c r="G2369" i="2"/>
  <c r="G2600" i="2"/>
  <c r="G2831" i="2"/>
  <c r="G3062" i="2"/>
  <c r="G3293" i="2"/>
  <c r="G3524" i="2"/>
  <c r="G3755" i="2"/>
  <c r="G3986" i="2"/>
  <c r="G4217" i="2"/>
  <c r="G4448" i="2"/>
  <c r="G4679" i="2"/>
  <c r="G60" i="2"/>
  <c r="G291" i="2"/>
  <c r="G522" i="2"/>
  <c r="G753" i="2"/>
  <c r="G984" i="2"/>
  <c r="G1215" i="2"/>
  <c r="G1446" i="2"/>
  <c r="G1677" i="2"/>
  <c r="G1908" i="2"/>
  <c r="G2139" i="2"/>
  <c r="G2370" i="2"/>
  <c r="G2601" i="2"/>
  <c r="G2832" i="2"/>
  <c r="G3063" i="2"/>
  <c r="G3294" i="2"/>
  <c r="G3525" i="2"/>
  <c r="G3756" i="2"/>
  <c r="G3987" i="2"/>
  <c r="G4218" i="2"/>
  <c r="G4449" i="2"/>
  <c r="G4680" i="2"/>
  <c r="G61" i="2"/>
  <c r="G292" i="2"/>
  <c r="G523" i="2"/>
  <c r="G754" i="2"/>
  <c r="G985" i="2"/>
  <c r="G1216" i="2"/>
  <c r="G1447" i="2"/>
  <c r="G1678" i="2"/>
  <c r="G1909" i="2"/>
  <c r="G2140" i="2"/>
  <c r="G2371" i="2"/>
  <c r="G2602" i="2"/>
  <c r="G2833" i="2"/>
  <c r="G3064" i="2"/>
  <c r="G3295" i="2"/>
  <c r="G3526" i="2"/>
  <c r="G3757" i="2"/>
  <c r="G3988" i="2"/>
  <c r="G4219" i="2"/>
  <c r="G4450" i="2"/>
  <c r="G4681" i="2"/>
  <c r="G62" i="2"/>
  <c r="G293" i="2"/>
  <c r="G524" i="2"/>
  <c r="G755" i="2"/>
  <c r="G986" i="2"/>
  <c r="G1217" i="2"/>
  <c r="G1448" i="2"/>
  <c r="G1679" i="2"/>
  <c r="G1910" i="2"/>
  <c r="G2141" i="2"/>
  <c r="G2372" i="2"/>
  <c r="G2603" i="2"/>
  <c r="G2834" i="2"/>
  <c r="G3065" i="2"/>
  <c r="G3296" i="2"/>
  <c r="G3527" i="2"/>
  <c r="G3758" i="2"/>
  <c r="G3989" i="2"/>
  <c r="G4220" i="2"/>
  <c r="G4451" i="2"/>
  <c r="G4682" i="2"/>
  <c r="G63" i="2"/>
  <c r="G294" i="2"/>
  <c r="G525" i="2"/>
  <c r="G756" i="2"/>
  <c r="G987" i="2"/>
  <c r="G1218" i="2"/>
  <c r="G1449" i="2"/>
  <c r="G1680" i="2"/>
  <c r="G1911" i="2"/>
  <c r="G2142" i="2"/>
  <c r="G2373" i="2"/>
  <c r="G2604" i="2"/>
  <c r="G2835" i="2"/>
  <c r="G3066" i="2"/>
  <c r="G3297" i="2"/>
  <c r="G3528" i="2"/>
  <c r="G3759" i="2"/>
  <c r="G3990" i="2"/>
  <c r="G4221" i="2"/>
  <c r="G4452" i="2"/>
  <c r="G4683" i="2"/>
  <c r="G64" i="2"/>
  <c r="G295" i="2"/>
  <c r="G526" i="2"/>
  <c r="G757" i="2"/>
  <c r="G988" i="2"/>
  <c r="G1219" i="2"/>
  <c r="G1450" i="2"/>
  <c r="G1681" i="2"/>
  <c r="G1912" i="2"/>
  <c r="G2143" i="2"/>
  <c r="G2374" i="2"/>
  <c r="G2605" i="2"/>
  <c r="G2836" i="2"/>
  <c r="G3067" i="2"/>
  <c r="G3298" i="2"/>
  <c r="G3529" i="2"/>
  <c r="G3760" i="2"/>
  <c r="G3991" i="2"/>
  <c r="G4222" i="2"/>
  <c r="G4453" i="2"/>
  <c r="G4684" i="2"/>
  <c r="G65" i="2"/>
  <c r="G296" i="2"/>
  <c r="G527" i="2"/>
  <c r="G758" i="2"/>
  <c r="G989" i="2"/>
  <c r="G1220" i="2"/>
  <c r="G1451" i="2"/>
  <c r="G1682" i="2"/>
  <c r="G1913" i="2"/>
  <c r="G2144" i="2"/>
  <c r="G2375" i="2"/>
  <c r="G2606" i="2"/>
  <c r="G2837" i="2"/>
  <c r="G3068" i="2"/>
  <c r="G3299" i="2"/>
  <c r="G3530" i="2"/>
  <c r="G3761" i="2"/>
  <c r="G3992" i="2"/>
  <c r="G4223" i="2"/>
  <c r="G4454" i="2"/>
  <c r="G4685" i="2"/>
  <c r="G66" i="2"/>
  <c r="G297" i="2"/>
  <c r="G528" i="2"/>
  <c r="G759" i="2"/>
  <c r="G990" i="2"/>
  <c r="G1221" i="2"/>
  <c r="G1452" i="2"/>
  <c r="G1683" i="2"/>
  <c r="G1914" i="2"/>
  <c r="G2145" i="2"/>
  <c r="G2376" i="2"/>
  <c r="G2607" i="2"/>
  <c r="G2838" i="2"/>
  <c r="G3069" i="2"/>
  <c r="G3300" i="2"/>
  <c r="G3531" i="2"/>
  <c r="G3762" i="2"/>
  <c r="G3993" i="2"/>
  <c r="G4224" i="2"/>
  <c r="G4455" i="2"/>
  <c r="G4686" i="2"/>
  <c r="G67" i="2"/>
  <c r="G298" i="2"/>
  <c r="G529" i="2"/>
  <c r="G760" i="2"/>
  <c r="G991" i="2"/>
  <c r="G1222" i="2"/>
  <c r="G1453" i="2"/>
  <c r="G1684" i="2"/>
  <c r="G1915" i="2"/>
  <c r="G2146" i="2"/>
  <c r="G2377" i="2"/>
  <c r="G2608" i="2"/>
  <c r="G2839" i="2"/>
  <c r="G3070" i="2"/>
  <c r="G3301" i="2"/>
  <c r="G3532" i="2"/>
  <c r="G3763" i="2"/>
  <c r="G3994" i="2"/>
  <c r="G4225" i="2"/>
  <c r="G4456" i="2"/>
  <c r="G4687" i="2"/>
  <c r="G68" i="2"/>
  <c r="G299" i="2"/>
  <c r="G530" i="2"/>
  <c r="G761" i="2"/>
  <c r="G992" i="2"/>
  <c r="G1223" i="2"/>
  <c r="G1454" i="2"/>
  <c r="G1685" i="2"/>
  <c r="G1916" i="2"/>
  <c r="G2147" i="2"/>
  <c r="G2378" i="2"/>
  <c r="G2609" i="2"/>
  <c r="G2840" i="2"/>
  <c r="G3071" i="2"/>
  <c r="G3302" i="2"/>
  <c r="G3533" i="2"/>
  <c r="G3764" i="2"/>
  <c r="G3995" i="2"/>
  <c r="G4226" i="2"/>
  <c r="G4457" i="2"/>
  <c r="G4688" i="2"/>
  <c r="G69" i="2"/>
  <c r="G300" i="2"/>
  <c r="G531" i="2"/>
  <c r="G762" i="2"/>
  <c r="G993" i="2"/>
  <c r="G1224" i="2"/>
  <c r="G1455" i="2"/>
  <c r="G1686" i="2"/>
  <c r="G1917" i="2"/>
  <c r="G2148" i="2"/>
  <c r="G2379" i="2"/>
  <c r="G2610" i="2"/>
  <c r="G2841" i="2"/>
  <c r="G3072" i="2"/>
  <c r="G3303" i="2"/>
  <c r="G3534" i="2"/>
  <c r="G3765" i="2"/>
  <c r="G3996" i="2"/>
  <c r="G4227" i="2"/>
  <c r="G4458" i="2"/>
  <c r="G4689" i="2"/>
  <c r="G70" i="2"/>
  <c r="G301" i="2"/>
  <c r="G532" i="2"/>
  <c r="G763" i="2"/>
  <c r="G994" i="2"/>
  <c r="G1225" i="2"/>
  <c r="G1456" i="2"/>
  <c r="G1687" i="2"/>
  <c r="G1918" i="2"/>
  <c r="G2149" i="2"/>
  <c r="G2380" i="2"/>
  <c r="G2611" i="2"/>
  <c r="G2842" i="2"/>
  <c r="G3073" i="2"/>
  <c r="G3304" i="2"/>
  <c r="G3535" i="2"/>
  <c r="G3766" i="2"/>
  <c r="G3997" i="2"/>
  <c r="G4228" i="2"/>
  <c r="G4459" i="2"/>
  <c r="G4690" i="2"/>
  <c r="G71" i="2"/>
  <c r="G302" i="2"/>
  <c r="G533" i="2"/>
  <c r="G764" i="2"/>
  <c r="G995" i="2"/>
  <c r="G1226" i="2"/>
  <c r="G1457" i="2"/>
  <c r="G1688" i="2"/>
  <c r="G1919" i="2"/>
  <c r="G2150" i="2"/>
  <c r="G2381" i="2"/>
  <c r="G2612" i="2"/>
  <c r="G2843" i="2"/>
  <c r="G3074" i="2"/>
  <c r="G3305" i="2"/>
  <c r="G3536" i="2"/>
  <c r="G3767" i="2"/>
  <c r="G3998" i="2"/>
  <c r="G4229" i="2"/>
  <c r="G4460" i="2"/>
  <c r="G4691" i="2"/>
  <c r="G72" i="2"/>
  <c r="G303" i="2"/>
  <c r="G534" i="2"/>
  <c r="G765" i="2"/>
  <c r="G996" i="2"/>
  <c r="G1227" i="2"/>
  <c r="G1458" i="2"/>
  <c r="G1689" i="2"/>
  <c r="G1920" i="2"/>
  <c r="G2151" i="2"/>
  <c r="G2382" i="2"/>
  <c r="G2613" i="2"/>
  <c r="G2844" i="2"/>
  <c r="G3075" i="2"/>
  <c r="G3306" i="2"/>
  <c r="G3537" i="2"/>
  <c r="G3768" i="2"/>
  <c r="G3999" i="2"/>
  <c r="G4230" i="2"/>
  <c r="G4461" i="2"/>
  <c r="G4692" i="2"/>
  <c r="G73" i="2"/>
  <c r="G304" i="2"/>
  <c r="G535" i="2"/>
  <c r="G766" i="2"/>
  <c r="G997" i="2"/>
  <c r="G1228" i="2"/>
  <c r="G1459" i="2"/>
  <c r="G1690" i="2"/>
  <c r="G1921" i="2"/>
  <c r="G2152" i="2"/>
  <c r="G2383" i="2"/>
  <c r="G2614" i="2"/>
  <c r="G2845" i="2"/>
  <c r="G3076" i="2"/>
  <c r="G3307" i="2"/>
  <c r="G3538" i="2"/>
  <c r="G3769" i="2"/>
  <c r="G4000" i="2"/>
  <c r="G4231" i="2"/>
  <c r="G4462" i="2"/>
  <c r="G4693" i="2"/>
  <c r="G74" i="2"/>
  <c r="G305" i="2"/>
  <c r="G536" i="2"/>
  <c r="G767" i="2"/>
  <c r="G998" i="2"/>
  <c r="G1229" i="2"/>
  <c r="G1460" i="2"/>
  <c r="G1691" i="2"/>
  <c r="G1922" i="2"/>
  <c r="G2153" i="2"/>
  <c r="G2384" i="2"/>
  <c r="G2615" i="2"/>
  <c r="G2846" i="2"/>
  <c r="G3077" i="2"/>
  <c r="G3308" i="2"/>
  <c r="G3539" i="2"/>
  <c r="G3770" i="2"/>
  <c r="G4001" i="2"/>
  <c r="G4232" i="2"/>
  <c r="G4463" i="2"/>
  <c r="G4694" i="2"/>
  <c r="G75" i="2"/>
  <c r="G306" i="2"/>
  <c r="G537" i="2"/>
  <c r="G768" i="2"/>
  <c r="G999" i="2"/>
  <c r="G1230" i="2"/>
  <c r="G1461" i="2"/>
  <c r="G1692" i="2"/>
  <c r="G1923" i="2"/>
  <c r="G2154" i="2"/>
  <c r="G2385" i="2"/>
  <c r="G2616" i="2"/>
  <c r="G2847" i="2"/>
  <c r="G3078" i="2"/>
  <c r="G3309" i="2"/>
  <c r="G3540" i="2"/>
  <c r="G3771" i="2"/>
  <c r="G4002" i="2"/>
  <c r="G4233" i="2"/>
  <c r="G4464" i="2"/>
  <c r="G4695" i="2"/>
  <c r="G76" i="2"/>
  <c r="G307" i="2"/>
  <c r="G538" i="2"/>
  <c r="G769" i="2"/>
  <c r="G1000" i="2"/>
  <c r="G1231" i="2"/>
  <c r="G1462" i="2"/>
  <c r="G1693" i="2"/>
  <c r="G1924" i="2"/>
  <c r="G2155" i="2"/>
  <c r="G2386" i="2"/>
  <c r="G2617" i="2"/>
  <c r="G2848" i="2"/>
  <c r="G3079" i="2"/>
  <c r="G3310" i="2"/>
  <c r="G3541" i="2"/>
  <c r="G3772" i="2"/>
  <c r="G4003" i="2"/>
  <c r="G4234" i="2"/>
  <c r="G4465" i="2"/>
  <c r="G4696" i="2"/>
  <c r="G77" i="2"/>
  <c r="G308" i="2"/>
  <c r="G539" i="2"/>
  <c r="G770" i="2"/>
  <c r="G1001" i="2"/>
  <c r="G1232" i="2"/>
  <c r="G1463" i="2"/>
  <c r="G1694" i="2"/>
  <c r="G1925" i="2"/>
  <c r="G2156" i="2"/>
  <c r="G2387" i="2"/>
  <c r="G2618" i="2"/>
  <c r="G2849" i="2"/>
  <c r="G3080" i="2"/>
  <c r="G3311" i="2"/>
  <c r="G3542" i="2"/>
  <c r="G3773" i="2"/>
  <c r="G4004" i="2"/>
  <c r="G4235" i="2"/>
  <c r="G4466" i="2"/>
  <c r="G4697" i="2"/>
  <c r="G78" i="2"/>
  <c r="G309" i="2"/>
  <c r="G540" i="2"/>
  <c r="G771" i="2"/>
  <c r="G1002" i="2"/>
  <c r="G1233" i="2"/>
  <c r="G1464" i="2"/>
  <c r="G1695" i="2"/>
  <c r="G1926" i="2"/>
  <c r="G2157" i="2"/>
  <c r="G2388" i="2"/>
  <c r="G2619" i="2"/>
  <c r="G2850" i="2"/>
  <c r="G3081" i="2"/>
  <c r="G3312" i="2"/>
  <c r="G3543" i="2"/>
  <c r="G3774" i="2"/>
  <c r="G4005" i="2"/>
  <c r="G4236" i="2"/>
  <c r="G4467" i="2"/>
  <c r="G4698" i="2"/>
  <c r="G79" i="2"/>
  <c r="G310" i="2"/>
  <c r="G541" i="2"/>
  <c r="G772" i="2"/>
  <c r="G1003" i="2"/>
  <c r="G1234" i="2"/>
  <c r="G1465" i="2"/>
  <c r="G1696" i="2"/>
  <c r="G1927" i="2"/>
  <c r="G2158" i="2"/>
  <c r="G2389" i="2"/>
  <c r="G2620" i="2"/>
  <c r="G2851" i="2"/>
  <c r="G3082" i="2"/>
  <c r="G3313" i="2"/>
  <c r="G3544" i="2"/>
  <c r="G3775" i="2"/>
  <c r="G4006" i="2"/>
  <c r="G4237" i="2"/>
  <c r="G4468" i="2"/>
  <c r="G4699" i="2"/>
  <c r="G80" i="2"/>
  <c r="G311" i="2"/>
  <c r="G542" i="2"/>
  <c r="G773" i="2"/>
  <c r="G1004" i="2"/>
  <c r="G1235" i="2"/>
  <c r="G1466" i="2"/>
  <c r="G1697" i="2"/>
  <c r="G1928" i="2"/>
  <c r="G2159" i="2"/>
  <c r="G2390" i="2"/>
  <c r="G2621" i="2"/>
  <c r="G2852" i="2"/>
  <c r="G3083" i="2"/>
  <c r="G3314" i="2"/>
  <c r="G3545" i="2"/>
  <c r="G3776" i="2"/>
  <c r="G4007" i="2"/>
  <c r="G4238" i="2"/>
  <c r="G4469" i="2"/>
  <c r="G4700" i="2"/>
  <c r="G81" i="2"/>
  <c r="G312" i="2"/>
  <c r="G543" i="2"/>
  <c r="G774" i="2"/>
  <c r="G1005" i="2"/>
  <c r="G1236" i="2"/>
  <c r="G1467" i="2"/>
  <c r="G1698" i="2"/>
  <c r="G1929" i="2"/>
  <c r="G2160" i="2"/>
  <c r="G2391" i="2"/>
  <c r="G2622" i="2"/>
  <c r="G2853" i="2"/>
  <c r="G3084" i="2"/>
  <c r="G3315" i="2"/>
  <c r="G3546" i="2"/>
  <c r="G3777" i="2"/>
  <c r="G4008" i="2"/>
  <c r="G4239" i="2"/>
  <c r="G4470" i="2"/>
  <c r="G4701" i="2"/>
  <c r="G82" i="2"/>
  <c r="G313" i="2"/>
  <c r="G544" i="2"/>
  <c r="G775" i="2"/>
  <c r="G1006" i="2"/>
  <c r="G1237" i="2"/>
  <c r="G1468" i="2"/>
  <c r="G1699" i="2"/>
  <c r="G1930" i="2"/>
  <c r="G2161" i="2"/>
  <c r="G2392" i="2"/>
  <c r="G2623" i="2"/>
  <c r="G2854" i="2"/>
  <c r="G3085" i="2"/>
  <c r="G3316" i="2"/>
  <c r="G3547" i="2"/>
  <c r="G3778" i="2"/>
  <c r="G4009" i="2"/>
  <c r="G4240" i="2"/>
  <c r="G4471" i="2"/>
  <c r="G4702" i="2"/>
  <c r="G83" i="2"/>
  <c r="G314" i="2"/>
  <c r="G545" i="2"/>
  <c r="G776" i="2"/>
  <c r="G1007" i="2"/>
  <c r="G1238" i="2"/>
  <c r="G1469" i="2"/>
  <c r="G1700" i="2"/>
  <c r="G1931" i="2"/>
  <c r="G2162" i="2"/>
  <c r="G2393" i="2"/>
  <c r="G2624" i="2"/>
  <c r="G2855" i="2"/>
  <c r="G3086" i="2"/>
  <c r="G3317" i="2"/>
  <c r="G3548" i="2"/>
  <c r="G3779" i="2"/>
  <c r="G4010" i="2"/>
  <c r="G4241" i="2"/>
  <c r="G4472" i="2"/>
  <c r="G4703" i="2"/>
  <c r="G84" i="2"/>
  <c r="G315" i="2"/>
  <c r="G546" i="2"/>
  <c r="G777" i="2"/>
  <c r="G1008" i="2"/>
  <c r="G1239" i="2"/>
  <c r="G1470" i="2"/>
  <c r="G1701" i="2"/>
  <c r="G1932" i="2"/>
  <c r="G2163" i="2"/>
  <c r="G2394" i="2"/>
  <c r="G2625" i="2"/>
  <c r="G2856" i="2"/>
  <c r="G3087" i="2"/>
  <c r="G3318" i="2"/>
  <c r="G3549" i="2"/>
  <c r="G3780" i="2"/>
  <c r="G4011" i="2"/>
  <c r="G4242" i="2"/>
  <c r="G4473" i="2"/>
  <c r="G4704" i="2"/>
  <c r="G85" i="2"/>
  <c r="G316" i="2"/>
  <c r="G547" i="2"/>
  <c r="G778" i="2"/>
  <c r="G1009" i="2"/>
  <c r="G1240" i="2"/>
  <c r="G1471" i="2"/>
  <c r="G1702" i="2"/>
  <c r="G1933" i="2"/>
  <c r="G2164" i="2"/>
  <c r="G2395" i="2"/>
  <c r="G2626" i="2"/>
  <c r="G2857" i="2"/>
  <c r="G3088" i="2"/>
  <c r="G3319" i="2"/>
  <c r="G3550" i="2"/>
  <c r="G3781" i="2"/>
  <c r="G4012" i="2"/>
  <c r="G4243" i="2"/>
  <c r="G4474" i="2"/>
  <c r="G4705" i="2"/>
  <c r="G86" i="2"/>
  <c r="G317" i="2"/>
  <c r="G548" i="2"/>
  <c r="G779" i="2"/>
  <c r="G1010" i="2"/>
  <c r="G1241" i="2"/>
  <c r="G1472" i="2"/>
  <c r="G1703" i="2"/>
  <c r="G1934" i="2"/>
  <c r="G2165" i="2"/>
  <c r="G2396" i="2"/>
  <c r="G2627" i="2"/>
  <c r="G2858" i="2"/>
  <c r="G3089" i="2"/>
  <c r="G3320" i="2"/>
  <c r="G3551" i="2"/>
  <c r="G3782" i="2"/>
  <c r="G4013" i="2"/>
  <c r="G4244" i="2"/>
  <c r="G4475" i="2"/>
  <c r="G4706" i="2"/>
  <c r="G87" i="2"/>
  <c r="G318" i="2"/>
  <c r="G549" i="2"/>
  <c r="G780" i="2"/>
  <c r="G1011" i="2"/>
  <c r="G1242" i="2"/>
  <c r="G1473" i="2"/>
  <c r="G1704" i="2"/>
  <c r="G1935" i="2"/>
  <c r="G2166" i="2"/>
  <c r="G2397" i="2"/>
  <c r="G2628" i="2"/>
  <c r="G2859" i="2"/>
  <c r="G3090" i="2"/>
  <c r="G3321" i="2"/>
  <c r="G3552" i="2"/>
  <c r="G3783" i="2"/>
  <c r="G4014" i="2"/>
  <c r="G4245" i="2"/>
  <c r="G4476" i="2"/>
  <c r="G4707" i="2"/>
  <c r="G88" i="2"/>
  <c r="G319" i="2"/>
  <c r="G550" i="2"/>
  <c r="G781" i="2"/>
  <c r="G1012" i="2"/>
  <c r="G1243" i="2"/>
  <c r="G1474" i="2"/>
  <c r="G1705" i="2"/>
  <c r="G1936" i="2"/>
  <c r="G2167" i="2"/>
  <c r="G2398" i="2"/>
  <c r="G2629" i="2"/>
  <c r="G2860" i="2"/>
  <c r="G3091" i="2"/>
  <c r="G3322" i="2"/>
  <c r="G3553" i="2"/>
  <c r="G3784" i="2"/>
  <c r="G4015" i="2"/>
  <c r="G4246" i="2"/>
  <c r="G4477" i="2"/>
  <c r="G4708" i="2"/>
  <c r="G89" i="2"/>
  <c r="G320" i="2"/>
  <c r="G551" i="2"/>
  <c r="G782" i="2"/>
  <c r="G1013" i="2"/>
  <c r="G1244" i="2"/>
  <c r="G1475" i="2"/>
  <c r="G1706" i="2"/>
  <c r="G1937" i="2"/>
  <c r="G2168" i="2"/>
  <c r="G2399" i="2"/>
  <c r="G2630" i="2"/>
  <c r="G2861" i="2"/>
  <c r="G3092" i="2"/>
  <c r="G3323" i="2"/>
  <c r="G3554" i="2"/>
  <c r="G3785" i="2"/>
  <c r="G4016" i="2"/>
  <c r="G4247" i="2"/>
  <c r="G4478" i="2"/>
  <c r="G4709" i="2"/>
  <c r="G90" i="2"/>
  <c r="G321" i="2"/>
  <c r="G552" i="2"/>
  <c r="G783" i="2"/>
  <c r="G1014" i="2"/>
  <c r="G1245" i="2"/>
  <c r="G1476" i="2"/>
  <c r="G1707" i="2"/>
  <c r="G1938" i="2"/>
  <c r="G2169" i="2"/>
  <c r="G2400" i="2"/>
  <c r="G2631" i="2"/>
  <c r="G2862" i="2"/>
  <c r="G3093" i="2"/>
  <c r="G3324" i="2"/>
  <c r="G3555" i="2"/>
  <c r="G3786" i="2"/>
  <c r="G4017" i="2"/>
  <c r="G4248" i="2"/>
  <c r="G4479" i="2"/>
  <c r="G4710" i="2"/>
  <c r="G91" i="2"/>
  <c r="G322" i="2"/>
  <c r="G553" i="2"/>
  <c r="G784" i="2"/>
  <c r="G1015" i="2"/>
  <c r="G1246" i="2"/>
  <c r="G1477" i="2"/>
  <c r="G1708" i="2"/>
  <c r="G1939" i="2"/>
  <c r="G2170" i="2"/>
  <c r="G2401" i="2"/>
  <c r="G2632" i="2"/>
  <c r="G2863" i="2"/>
  <c r="G3094" i="2"/>
  <c r="G3325" i="2"/>
  <c r="G3556" i="2"/>
  <c r="G3787" i="2"/>
  <c r="G4018" i="2"/>
  <c r="G4249" i="2"/>
  <c r="G4480" i="2"/>
  <c r="G4711" i="2"/>
  <c r="G92" i="2"/>
  <c r="G323" i="2"/>
  <c r="G554" i="2"/>
  <c r="G785" i="2"/>
  <c r="G1016" i="2"/>
  <c r="G1247" i="2"/>
  <c r="G1478" i="2"/>
  <c r="G1709" i="2"/>
  <c r="G1940" i="2"/>
  <c r="G2171" i="2"/>
  <c r="G2402" i="2"/>
  <c r="G2633" i="2"/>
  <c r="G2864" i="2"/>
  <c r="G3095" i="2"/>
  <c r="G3326" i="2"/>
  <c r="G3557" i="2"/>
  <c r="G3788" i="2"/>
  <c r="G4019" i="2"/>
  <c r="G4250" i="2"/>
  <c r="G4481" i="2"/>
  <c r="G4712" i="2"/>
  <c r="G93" i="2"/>
  <c r="G324" i="2"/>
  <c r="G555" i="2"/>
  <c r="G786" i="2"/>
  <c r="G1017" i="2"/>
  <c r="G1248" i="2"/>
  <c r="G1479" i="2"/>
  <c r="G1710" i="2"/>
  <c r="G1941" i="2"/>
  <c r="G2172" i="2"/>
  <c r="G2403" i="2"/>
  <c r="G2634" i="2"/>
  <c r="G2865" i="2"/>
  <c r="G3096" i="2"/>
  <c r="G3327" i="2"/>
  <c r="G3558" i="2"/>
  <c r="G3789" i="2"/>
  <c r="G4020" i="2"/>
  <c r="G4251" i="2"/>
  <c r="G4482" i="2"/>
  <c r="G4713" i="2"/>
  <c r="G94" i="2"/>
  <c r="G325" i="2"/>
  <c r="G556" i="2"/>
  <c r="G787" i="2"/>
  <c r="G1018" i="2"/>
  <c r="G1249" i="2"/>
  <c r="G1480" i="2"/>
  <c r="G1711" i="2"/>
  <c r="G1942" i="2"/>
  <c r="G2173" i="2"/>
  <c r="G2404" i="2"/>
  <c r="G2635" i="2"/>
  <c r="G2866" i="2"/>
  <c r="G3097" i="2"/>
  <c r="G3328" i="2"/>
  <c r="G3559" i="2"/>
  <c r="G3790" i="2"/>
  <c r="G4021" i="2"/>
  <c r="G4252" i="2"/>
  <c r="G4483" i="2"/>
  <c r="G4714" i="2"/>
  <c r="G95" i="2"/>
  <c r="G326" i="2"/>
  <c r="G557" i="2"/>
  <c r="G788" i="2"/>
  <c r="G1019" i="2"/>
  <c r="G1250" i="2"/>
  <c r="G1481" i="2"/>
  <c r="G1712" i="2"/>
  <c r="G1943" i="2"/>
  <c r="G2174" i="2"/>
  <c r="G2405" i="2"/>
  <c r="G2636" i="2"/>
  <c r="G2867" i="2"/>
  <c r="G3098" i="2"/>
  <c r="G3329" i="2"/>
  <c r="G3560" i="2"/>
  <c r="G3791" i="2"/>
  <c r="G4022" i="2"/>
  <c r="G4253" i="2"/>
  <c r="G4484" i="2"/>
  <c r="G4715" i="2"/>
  <c r="G96" i="2"/>
  <c r="G327" i="2"/>
  <c r="G558" i="2"/>
  <c r="G789" i="2"/>
  <c r="G1020" i="2"/>
  <c r="G1251" i="2"/>
  <c r="G1482" i="2"/>
  <c r="G1713" i="2"/>
  <c r="G1944" i="2"/>
  <c r="G2175" i="2"/>
  <c r="G2406" i="2"/>
  <c r="G2637" i="2"/>
  <c r="G2868" i="2"/>
  <c r="G3099" i="2"/>
  <c r="G3330" i="2"/>
  <c r="G3561" i="2"/>
  <c r="G3792" i="2"/>
  <c r="G4023" i="2"/>
  <c r="G4254" i="2"/>
  <c r="G4485" i="2"/>
  <c r="G4716" i="2"/>
  <c r="G97" i="2"/>
  <c r="G328" i="2"/>
  <c r="G559" i="2"/>
  <c r="G790" i="2"/>
  <c r="G1021" i="2"/>
  <c r="G1252" i="2"/>
  <c r="G1483" i="2"/>
  <c r="G1714" i="2"/>
  <c r="G1945" i="2"/>
  <c r="G2176" i="2"/>
  <c r="G2407" i="2"/>
  <c r="G2638" i="2"/>
  <c r="G2869" i="2"/>
  <c r="G3100" i="2"/>
  <c r="G3331" i="2"/>
  <c r="G3562" i="2"/>
  <c r="G3793" i="2"/>
  <c r="G4024" i="2"/>
  <c r="G4255" i="2"/>
  <c r="G4486" i="2"/>
  <c r="G4717" i="2"/>
  <c r="G98" i="2"/>
  <c r="G329" i="2"/>
  <c r="G560" i="2"/>
  <c r="G791" i="2"/>
  <c r="G1022" i="2"/>
  <c r="G1253" i="2"/>
  <c r="G1484" i="2"/>
  <c r="G1715" i="2"/>
  <c r="G1946" i="2"/>
  <c r="G2177" i="2"/>
  <c r="G2408" i="2"/>
  <c r="G2639" i="2"/>
  <c r="G2870" i="2"/>
  <c r="G3101" i="2"/>
  <c r="G3332" i="2"/>
  <c r="G3563" i="2"/>
  <c r="G3794" i="2"/>
  <c r="G4025" i="2"/>
  <c r="G4256" i="2"/>
  <c r="G4487" i="2"/>
  <c r="G4718" i="2"/>
  <c r="G99" i="2"/>
  <c r="G330" i="2"/>
  <c r="G561" i="2"/>
  <c r="G792" i="2"/>
  <c r="G1023" i="2"/>
  <c r="G1254" i="2"/>
  <c r="G1485" i="2"/>
  <c r="G1716" i="2"/>
  <c r="G1947" i="2"/>
  <c r="G2178" i="2"/>
  <c r="G2409" i="2"/>
  <c r="G2640" i="2"/>
  <c r="G2871" i="2"/>
  <c r="G3102" i="2"/>
  <c r="G3333" i="2"/>
  <c r="G3564" i="2"/>
  <c r="G3795" i="2"/>
  <c r="G4026" i="2"/>
  <c r="G4257" i="2"/>
  <c r="G4488" i="2"/>
  <c r="G4719" i="2"/>
  <c r="G100" i="2"/>
  <c r="G331" i="2"/>
  <c r="G562" i="2"/>
  <c r="G793" i="2"/>
  <c r="G1024" i="2"/>
  <c r="G1255" i="2"/>
  <c r="G1486" i="2"/>
  <c r="G1717" i="2"/>
  <c r="G1948" i="2"/>
  <c r="G2179" i="2"/>
  <c r="G2410" i="2"/>
  <c r="G2641" i="2"/>
  <c r="G2872" i="2"/>
  <c r="G3103" i="2"/>
  <c r="G3334" i="2"/>
  <c r="G3565" i="2"/>
  <c r="G3796" i="2"/>
  <c r="G4027" i="2"/>
  <c r="G4258" i="2"/>
  <c r="G4489" i="2"/>
  <c r="G4720" i="2"/>
  <c r="G101" i="2"/>
  <c r="G332" i="2"/>
  <c r="G563" i="2"/>
  <c r="G794" i="2"/>
  <c r="G1025" i="2"/>
  <c r="G1256" i="2"/>
  <c r="G1487" i="2"/>
  <c r="G1718" i="2"/>
  <c r="G1949" i="2"/>
  <c r="G2180" i="2"/>
  <c r="G2411" i="2"/>
  <c r="G2642" i="2"/>
  <c r="G2873" i="2"/>
  <c r="G3104" i="2"/>
  <c r="G3335" i="2"/>
  <c r="G3566" i="2"/>
  <c r="G3797" i="2"/>
  <c r="G4028" i="2"/>
  <c r="G4259" i="2"/>
  <c r="G4490" i="2"/>
  <c r="G4721" i="2"/>
  <c r="G102" i="2"/>
  <c r="G333" i="2"/>
  <c r="G564" i="2"/>
  <c r="G795" i="2"/>
  <c r="G1026" i="2"/>
  <c r="G1257" i="2"/>
  <c r="G1488" i="2"/>
  <c r="G1719" i="2"/>
  <c r="G1950" i="2"/>
  <c r="G2181" i="2"/>
  <c r="G2412" i="2"/>
  <c r="G2643" i="2"/>
  <c r="G2874" i="2"/>
  <c r="G3105" i="2"/>
  <c r="G3336" i="2"/>
  <c r="G3567" i="2"/>
  <c r="G3798" i="2"/>
  <c r="G4029" i="2"/>
  <c r="G4260" i="2"/>
  <c r="G4491" i="2"/>
  <c r="G4722" i="2"/>
  <c r="G103" i="2"/>
  <c r="G334" i="2"/>
  <c r="G565" i="2"/>
  <c r="G796" i="2"/>
  <c r="G1027" i="2"/>
  <c r="G1258" i="2"/>
  <c r="G1489" i="2"/>
  <c r="G1720" i="2"/>
  <c r="G1951" i="2"/>
  <c r="G2182" i="2"/>
  <c r="G2413" i="2"/>
  <c r="G2644" i="2"/>
  <c r="G2875" i="2"/>
  <c r="G3106" i="2"/>
  <c r="G3337" i="2"/>
  <c r="G3568" i="2"/>
  <c r="G3799" i="2"/>
  <c r="G4030" i="2"/>
  <c r="G4261" i="2"/>
  <c r="G4492" i="2"/>
  <c r="G4723" i="2"/>
  <c r="G104" i="2"/>
  <c r="G335" i="2"/>
  <c r="G566" i="2"/>
  <c r="G797" i="2"/>
  <c r="G1028" i="2"/>
  <c r="G1259" i="2"/>
  <c r="G1490" i="2"/>
  <c r="G1721" i="2"/>
  <c r="G1952" i="2"/>
  <c r="G2183" i="2"/>
  <c r="G2414" i="2"/>
  <c r="G2645" i="2"/>
  <c r="G2876" i="2"/>
  <c r="G3107" i="2"/>
  <c r="G3338" i="2"/>
  <c r="G3569" i="2"/>
  <c r="G3800" i="2"/>
  <c r="G4031" i="2"/>
  <c r="G4262" i="2"/>
  <c r="G4493" i="2"/>
  <c r="G4724" i="2"/>
  <c r="G105" i="2"/>
  <c r="G336" i="2"/>
  <c r="G567" i="2"/>
  <c r="G798" i="2"/>
  <c r="G1029" i="2"/>
  <c r="G1260" i="2"/>
  <c r="G1491" i="2"/>
  <c r="G1722" i="2"/>
  <c r="G1953" i="2"/>
  <c r="G2184" i="2"/>
  <c r="G2415" i="2"/>
  <c r="G2646" i="2"/>
  <c r="G2877" i="2"/>
  <c r="G3108" i="2"/>
  <c r="G3339" i="2"/>
  <c r="G3570" i="2"/>
  <c r="G3801" i="2"/>
  <c r="G4032" i="2"/>
  <c r="G4263" i="2"/>
  <c r="G4494" i="2"/>
  <c r="G4725" i="2"/>
  <c r="G106" i="2"/>
  <c r="G337" i="2"/>
  <c r="G568" i="2"/>
  <c r="G799" i="2"/>
  <c r="G1030" i="2"/>
  <c r="G1261" i="2"/>
  <c r="G1492" i="2"/>
  <c r="G1723" i="2"/>
  <c r="G1954" i="2"/>
  <c r="G2185" i="2"/>
  <c r="G2416" i="2"/>
  <c r="G2647" i="2"/>
  <c r="G2878" i="2"/>
  <c r="G3109" i="2"/>
  <c r="G3340" i="2"/>
  <c r="G3571" i="2"/>
  <c r="G3802" i="2"/>
  <c r="G4033" i="2"/>
  <c r="G4264" i="2"/>
  <c r="G4495" i="2"/>
  <c r="G4726" i="2"/>
  <c r="G107" i="2"/>
  <c r="G338" i="2"/>
  <c r="G569" i="2"/>
  <c r="G800" i="2"/>
  <c r="G1031" i="2"/>
  <c r="G1262" i="2"/>
  <c r="G1493" i="2"/>
  <c r="G1724" i="2"/>
  <c r="G1955" i="2"/>
  <c r="G2186" i="2"/>
  <c r="G2417" i="2"/>
  <c r="G2648" i="2"/>
  <c r="G2879" i="2"/>
  <c r="G3110" i="2"/>
  <c r="G3341" i="2"/>
  <c r="G3572" i="2"/>
  <c r="G3803" i="2"/>
  <c r="G4034" i="2"/>
  <c r="G4265" i="2"/>
  <c r="G4496" i="2"/>
  <c r="G4727" i="2"/>
  <c r="G108" i="2"/>
  <c r="G339" i="2"/>
  <c r="G570" i="2"/>
  <c r="G801" i="2"/>
  <c r="G1032" i="2"/>
  <c r="G1263" i="2"/>
  <c r="G1494" i="2"/>
  <c r="G1725" i="2"/>
  <c r="G1956" i="2"/>
  <c r="G2187" i="2"/>
  <c r="G2418" i="2"/>
  <c r="G2649" i="2"/>
  <c r="G2880" i="2"/>
  <c r="G3111" i="2"/>
  <c r="G3342" i="2"/>
  <c r="G3573" i="2"/>
  <c r="G3804" i="2"/>
  <c r="G4035" i="2"/>
  <c r="G4266" i="2"/>
  <c r="G4497" i="2"/>
  <c r="G4728" i="2"/>
  <c r="G109" i="2"/>
  <c r="G340" i="2"/>
  <c r="G571" i="2"/>
  <c r="G802" i="2"/>
  <c r="G1033" i="2"/>
  <c r="G1264" i="2"/>
  <c r="G1495" i="2"/>
  <c r="G1726" i="2"/>
  <c r="G1957" i="2"/>
  <c r="G2188" i="2"/>
  <c r="G2419" i="2"/>
  <c r="G2650" i="2"/>
  <c r="G2881" i="2"/>
  <c r="G3112" i="2"/>
  <c r="G3343" i="2"/>
  <c r="G3574" i="2"/>
  <c r="G3805" i="2"/>
  <c r="G4036" i="2"/>
  <c r="G4267" i="2"/>
  <c r="G4498" i="2"/>
  <c r="G4729" i="2"/>
  <c r="G110" i="2"/>
  <c r="G341" i="2"/>
  <c r="G572" i="2"/>
  <c r="G803" i="2"/>
  <c r="G1034" i="2"/>
  <c r="G1265" i="2"/>
  <c r="G1496" i="2"/>
  <c r="G1727" i="2"/>
  <c r="G1958" i="2"/>
  <c r="G2189" i="2"/>
  <c r="G2420" i="2"/>
  <c r="G2651" i="2"/>
  <c r="G2882" i="2"/>
  <c r="G3113" i="2"/>
  <c r="G3344" i="2"/>
  <c r="G3575" i="2"/>
  <c r="G3806" i="2"/>
  <c r="G4037" i="2"/>
  <c r="G4268" i="2"/>
  <c r="G4499" i="2"/>
  <c r="G4730" i="2"/>
  <c r="G111" i="2"/>
  <c r="G342" i="2"/>
  <c r="G573" i="2"/>
  <c r="G804" i="2"/>
  <c r="G1035" i="2"/>
  <c r="G1266" i="2"/>
  <c r="G1497" i="2"/>
  <c r="G1728" i="2"/>
  <c r="G1959" i="2"/>
  <c r="G2190" i="2"/>
  <c r="G2421" i="2"/>
  <c r="G2652" i="2"/>
  <c r="G2883" i="2"/>
  <c r="G3114" i="2"/>
  <c r="G3345" i="2"/>
  <c r="G3576" i="2"/>
  <c r="G3807" i="2"/>
  <c r="G4038" i="2"/>
  <c r="G4269" i="2"/>
  <c r="G4500" i="2"/>
  <c r="G4731" i="2"/>
  <c r="G112" i="2"/>
  <c r="G343" i="2"/>
  <c r="G574" i="2"/>
  <c r="G805" i="2"/>
  <c r="G1036" i="2"/>
  <c r="G1267" i="2"/>
  <c r="G1498" i="2"/>
  <c r="G1729" i="2"/>
  <c r="G1960" i="2"/>
  <c r="G2191" i="2"/>
  <c r="G2422" i="2"/>
  <c r="G2653" i="2"/>
  <c r="G2884" i="2"/>
  <c r="G3115" i="2"/>
  <c r="G3346" i="2"/>
  <c r="G3577" i="2"/>
  <c r="G3808" i="2"/>
  <c r="G4039" i="2"/>
  <c r="G4270" i="2"/>
  <c r="G4501" i="2"/>
  <c r="G4732" i="2"/>
  <c r="G113" i="2"/>
  <c r="G344" i="2"/>
  <c r="G575" i="2"/>
  <c r="G806" i="2"/>
  <c r="G1037" i="2"/>
  <c r="G1268" i="2"/>
  <c r="G1499" i="2"/>
  <c r="G1730" i="2"/>
  <c r="G1961" i="2"/>
  <c r="G2192" i="2"/>
  <c r="G2423" i="2"/>
  <c r="G2654" i="2"/>
  <c r="G2885" i="2"/>
  <c r="G3116" i="2"/>
  <c r="G3347" i="2"/>
  <c r="G3578" i="2"/>
  <c r="G3809" i="2"/>
  <c r="G4040" i="2"/>
  <c r="G4271" i="2"/>
  <c r="G4502" i="2"/>
  <c r="G4733" i="2"/>
  <c r="G114" i="2"/>
  <c r="G345" i="2"/>
  <c r="G576" i="2"/>
  <c r="G807" i="2"/>
  <c r="G1038" i="2"/>
  <c r="G1269" i="2"/>
  <c r="G1500" i="2"/>
  <c r="G1731" i="2"/>
  <c r="G1962" i="2"/>
  <c r="G2193" i="2"/>
  <c r="G2424" i="2"/>
  <c r="G2655" i="2"/>
  <c r="G2886" i="2"/>
  <c r="G3117" i="2"/>
  <c r="G3348" i="2"/>
  <c r="G3579" i="2"/>
  <c r="G3810" i="2"/>
  <c r="G4041" i="2"/>
  <c r="G4272" i="2"/>
  <c r="G4503" i="2"/>
  <c r="G4734" i="2"/>
  <c r="G115" i="2"/>
  <c r="G346" i="2"/>
  <c r="G577" i="2"/>
  <c r="G808" i="2"/>
  <c r="G1039" i="2"/>
  <c r="G1270" i="2"/>
  <c r="G1501" i="2"/>
  <c r="G1732" i="2"/>
  <c r="G1963" i="2"/>
  <c r="G2194" i="2"/>
  <c r="G2425" i="2"/>
  <c r="G2656" i="2"/>
  <c r="G2887" i="2"/>
  <c r="G3118" i="2"/>
  <c r="G3349" i="2"/>
  <c r="G3580" i="2"/>
  <c r="G3811" i="2"/>
  <c r="G4042" i="2"/>
  <c r="G4273" i="2"/>
  <c r="G4504" i="2"/>
  <c r="G4735" i="2"/>
  <c r="G116" i="2"/>
  <c r="G347" i="2"/>
  <c r="G578" i="2"/>
  <c r="G809" i="2"/>
  <c r="G1040" i="2"/>
  <c r="G1271" i="2"/>
  <c r="G1502" i="2"/>
  <c r="G1733" i="2"/>
  <c r="G1964" i="2"/>
  <c r="G2195" i="2"/>
  <c r="G2426" i="2"/>
  <c r="G2657" i="2"/>
  <c r="G2888" i="2"/>
  <c r="G3119" i="2"/>
  <c r="G3350" i="2"/>
  <c r="G3581" i="2"/>
  <c r="G3812" i="2"/>
  <c r="G4043" i="2"/>
  <c r="G4274" i="2"/>
  <c r="G4505" i="2"/>
  <c r="G4736" i="2"/>
  <c r="G117" i="2"/>
  <c r="G348" i="2"/>
  <c r="G579" i="2"/>
  <c r="G810" i="2"/>
  <c r="G1041" i="2"/>
  <c r="G1272" i="2"/>
  <c r="G1503" i="2"/>
  <c r="G1734" i="2"/>
  <c r="G1965" i="2"/>
  <c r="G2196" i="2"/>
  <c r="G2427" i="2"/>
  <c r="G2658" i="2"/>
  <c r="G2889" i="2"/>
  <c r="G3120" i="2"/>
  <c r="G3351" i="2"/>
  <c r="G3582" i="2"/>
  <c r="G3813" i="2"/>
  <c r="G4044" i="2"/>
  <c r="G4275" i="2"/>
  <c r="G4506" i="2"/>
  <c r="G4737" i="2"/>
  <c r="G118" i="2"/>
  <c r="G349" i="2"/>
  <c r="G580" i="2"/>
  <c r="G811" i="2"/>
  <c r="G1042" i="2"/>
  <c r="G1273" i="2"/>
  <c r="G1504" i="2"/>
  <c r="G1735" i="2"/>
  <c r="G1966" i="2"/>
  <c r="G2197" i="2"/>
  <c r="G2428" i="2"/>
  <c r="G2659" i="2"/>
  <c r="G2890" i="2"/>
  <c r="G3121" i="2"/>
  <c r="G3352" i="2"/>
  <c r="G3583" i="2"/>
  <c r="G3814" i="2"/>
  <c r="G4045" i="2"/>
  <c r="G4276" i="2"/>
  <c r="G4507" i="2"/>
  <c r="G4738" i="2"/>
  <c r="G119" i="2"/>
  <c r="G350" i="2"/>
  <c r="G581" i="2"/>
  <c r="G812" i="2"/>
  <c r="G1043" i="2"/>
  <c r="G1274" i="2"/>
  <c r="G1505" i="2"/>
  <c r="G1736" i="2"/>
  <c r="G1967" i="2"/>
  <c r="G2198" i="2"/>
  <c r="G2429" i="2"/>
  <c r="G2660" i="2"/>
  <c r="G2891" i="2"/>
  <c r="G3122" i="2"/>
  <c r="G3353" i="2"/>
  <c r="G3584" i="2"/>
  <c r="G3815" i="2"/>
  <c r="G4046" i="2"/>
  <c r="G4277" i="2"/>
  <c r="G4508" i="2"/>
  <c r="G4739" i="2"/>
  <c r="G120" i="2"/>
  <c r="G351" i="2"/>
  <c r="G582" i="2"/>
  <c r="G813" i="2"/>
  <c r="G1044" i="2"/>
  <c r="G1275" i="2"/>
  <c r="G1506" i="2"/>
  <c r="G1737" i="2"/>
  <c r="G1968" i="2"/>
  <c r="G2199" i="2"/>
  <c r="G2430" i="2"/>
  <c r="G2661" i="2"/>
  <c r="G2892" i="2"/>
  <c r="G3123" i="2"/>
  <c r="G3354" i="2"/>
  <c r="G3585" i="2"/>
  <c r="G3816" i="2"/>
  <c r="G4047" i="2"/>
  <c r="G4278" i="2"/>
  <c r="G4509" i="2"/>
  <c r="G4740" i="2"/>
  <c r="G121" i="2"/>
  <c r="G352" i="2"/>
  <c r="G583" i="2"/>
  <c r="G814" i="2"/>
  <c r="G1045" i="2"/>
  <c r="G1276" i="2"/>
  <c r="G1507" i="2"/>
  <c r="G1738" i="2"/>
  <c r="G1969" i="2"/>
  <c r="G2200" i="2"/>
  <c r="G2431" i="2"/>
  <c r="G2662" i="2"/>
  <c r="G2893" i="2"/>
  <c r="G3124" i="2"/>
  <c r="G3355" i="2"/>
  <c r="G3586" i="2"/>
  <c r="G3817" i="2"/>
  <c r="G4048" i="2"/>
  <c r="G4279" i="2"/>
  <c r="G4510" i="2"/>
  <c r="G4741" i="2"/>
  <c r="G122" i="2"/>
  <c r="G353" i="2"/>
  <c r="G584" i="2"/>
  <c r="G815" i="2"/>
  <c r="G1046" i="2"/>
  <c r="G1277" i="2"/>
  <c r="G1508" i="2"/>
  <c r="G1739" i="2"/>
  <c r="G1970" i="2"/>
  <c r="G2201" i="2"/>
  <c r="G2432" i="2"/>
  <c r="G2663" i="2"/>
  <c r="G2894" i="2"/>
  <c r="G3125" i="2"/>
  <c r="G3356" i="2"/>
  <c r="G3587" i="2"/>
  <c r="G3818" i="2"/>
  <c r="G4049" i="2"/>
  <c r="G4280" i="2"/>
  <c r="G4511" i="2"/>
  <c r="G4742" i="2"/>
  <c r="G123" i="2"/>
  <c r="G354" i="2"/>
  <c r="G585" i="2"/>
  <c r="G816" i="2"/>
  <c r="G1047" i="2"/>
  <c r="G1278" i="2"/>
  <c r="G1509" i="2"/>
  <c r="G1740" i="2"/>
  <c r="G1971" i="2"/>
  <c r="G2202" i="2"/>
  <c r="G2433" i="2"/>
  <c r="G2664" i="2"/>
  <c r="G2895" i="2"/>
  <c r="G3126" i="2"/>
  <c r="G3357" i="2"/>
  <c r="G3588" i="2"/>
  <c r="G3819" i="2"/>
  <c r="G4050" i="2"/>
  <c r="G4281" i="2"/>
  <c r="G4512" i="2"/>
  <c r="G4743" i="2"/>
  <c r="G124" i="2"/>
  <c r="G355" i="2"/>
  <c r="G586" i="2"/>
  <c r="G817" i="2"/>
  <c r="G1048" i="2"/>
  <c r="G1279" i="2"/>
  <c r="G1510" i="2"/>
  <c r="G1741" i="2"/>
  <c r="G1972" i="2"/>
  <c r="G2203" i="2"/>
  <c r="G2434" i="2"/>
  <c r="G2665" i="2"/>
  <c r="G2896" i="2"/>
  <c r="G3127" i="2"/>
  <c r="G3358" i="2"/>
  <c r="G3589" i="2"/>
  <c r="G3820" i="2"/>
  <c r="G4051" i="2"/>
  <c r="G4282" i="2"/>
  <c r="G4513" i="2"/>
  <c r="G4744" i="2"/>
  <c r="G125" i="2"/>
  <c r="G356" i="2"/>
  <c r="G587" i="2"/>
  <c r="G818" i="2"/>
  <c r="G1049" i="2"/>
  <c r="G1280" i="2"/>
  <c r="G1511" i="2"/>
  <c r="G1742" i="2"/>
  <c r="G1973" i="2"/>
  <c r="G2204" i="2"/>
  <c r="G2435" i="2"/>
  <c r="G2666" i="2"/>
  <c r="G2897" i="2"/>
  <c r="G3128" i="2"/>
  <c r="G3359" i="2"/>
  <c r="G3590" i="2"/>
  <c r="G3821" i="2"/>
  <c r="G4052" i="2"/>
  <c r="G4283" i="2"/>
  <c r="G4514" i="2"/>
  <c r="G4745" i="2"/>
  <c r="G126" i="2"/>
  <c r="G357" i="2"/>
  <c r="G588" i="2"/>
  <c r="G819" i="2"/>
  <c r="G1050" i="2"/>
  <c r="G1281" i="2"/>
  <c r="G1512" i="2"/>
  <c r="G1743" i="2"/>
  <c r="G1974" i="2"/>
  <c r="G2205" i="2"/>
  <c r="G2436" i="2"/>
  <c r="G2667" i="2"/>
  <c r="G2898" i="2"/>
  <c r="G3129" i="2"/>
  <c r="G3360" i="2"/>
  <c r="G3591" i="2"/>
  <c r="G3822" i="2"/>
  <c r="G4053" i="2"/>
  <c r="G4284" i="2"/>
  <c r="G4515" i="2"/>
  <c r="G4746" i="2"/>
  <c r="G127" i="2"/>
  <c r="G358" i="2"/>
  <c r="G589" i="2"/>
  <c r="G820" i="2"/>
  <c r="G1051" i="2"/>
  <c r="G1282" i="2"/>
  <c r="G1513" i="2"/>
  <c r="G1744" i="2"/>
  <c r="G1975" i="2"/>
  <c r="G2206" i="2"/>
  <c r="G2437" i="2"/>
  <c r="G2668" i="2"/>
  <c r="G2899" i="2"/>
  <c r="G3130" i="2"/>
  <c r="G3361" i="2"/>
  <c r="G3592" i="2"/>
  <c r="G3823" i="2"/>
  <c r="G4054" i="2"/>
  <c r="G4285" i="2"/>
  <c r="G4516" i="2"/>
  <c r="G4747" i="2"/>
  <c r="G128" i="2"/>
  <c r="G359" i="2"/>
  <c r="G590" i="2"/>
  <c r="G821" i="2"/>
  <c r="G1052" i="2"/>
  <c r="G1283" i="2"/>
  <c r="G1514" i="2"/>
  <c r="G1745" i="2"/>
  <c r="G1976" i="2"/>
  <c r="G2207" i="2"/>
  <c r="G2438" i="2"/>
  <c r="G2669" i="2"/>
  <c r="G2900" i="2"/>
  <c r="G3131" i="2"/>
  <c r="G3362" i="2"/>
  <c r="G3593" i="2"/>
  <c r="G3824" i="2"/>
  <c r="G4055" i="2"/>
  <c r="G4286" i="2"/>
  <c r="G4517" i="2"/>
  <c r="G4748" i="2"/>
  <c r="G129" i="2"/>
  <c r="G360" i="2"/>
  <c r="G591" i="2"/>
  <c r="G822" i="2"/>
  <c r="G1053" i="2"/>
  <c r="G1284" i="2"/>
  <c r="G1515" i="2"/>
  <c r="G1746" i="2"/>
  <c r="G1977" i="2"/>
  <c r="G2208" i="2"/>
  <c r="G2439" i="2"/>
  <c r="G2670" i="2"/>
  <c r="G2901" i="2"/>
  <c r="G3132" i="2"/>
  <c r="G3363" i="2"/>
  <c r="G3594" i="2"/>
  <c r="G3825" i="2"/>
  <c r="G4056" i="2"/>
  <c r="G4287" i="2"/>
  <c r="G4518" i="2"/>
  <c r="G4749" i="2"/>
  <c r="G130" i="2"/>
  <c r="G361" i="2"/>
  <c r="G592" i="2"/>
  <c r="G823" i="2"/>
  <c r="G1054" i="2"/>
  <c r="G1285" i="2"/>
  <c r="G1516" i="2"/>
  <c r="G1747" i="2"/>
  <c r="G1978" i="2"/>
  <c r="G2209" i="2"/>
  <c r="G2440" i="2"/>
  <c r="G2671" i="2"/>
  <c r="G2902" i="2"/>
  <c r="G3133" i="2"/>
  <c r="G3364" i="2"/>
  <c r="G3595" i="2"/>
  <c r="G3826" i="2"/>
  <c r="G4057" i="2"/>
  <c r="G4288" i="2"/>
  <c r="G4519" i="2"/>
  <c r="G4750" i="2"/>
  <c r="G131" i="2"/>
  <c r="G362" i="2"/>
  <c r="G593" i="2"/>
  <c r="G824" i="2"/>
  <c r="G1055" i="2"/>
  <c r="G1286" i="2"/>
  <c r="G1517" i="2"/>
  <c r="G1748" i="2"/>
  <c r="G1979" i="2"/>
  <c r="G2210" i="2"/>
  <c r="G2441" i="2"/>
  <c r="G2672" i="2"/>
  <c r="G2903" i="2"/>
  <c r="G3134" i="2"/>
  <c r="G3365" i="2"/>
  <c r="G3596" i="2"/>
  <c r="G3827" i="2"/>
  <c r="G4058" i="2"/>
  <c r="G4289" i="2"/>
  <c r="G4520" i="2"/>
  <c r="G4751" i="2"/>
  <c r="G132" i="2"/>
  <c r="G363" i="2"/>
  <c r="G594" i="2"/>
  <c r="G825" i="2"/>
  <c r="G1056" i="2"/>
  <c r="G1287" i="2"/>
  <c r="G1518" i="2"/>
  <c r="G1749" i="2"/>
  <c r="G1980" i="2"/>
  <c r="G2211" i="2"/>
  <c r="G2442" i="2"/>
  <c r="G2673" i="2"/>
  <c r="G2904" i="2"/>
  <c r="G3135" i="2"/>
  <c r="G3366" i="2"/>
  <c r="G3597" i="2"/>
  <c r="G3828" i="2"/>
  <c r="G4059" i="2"/>
  <c r="G4290" i="2"/>
  <c r="G4521" i="2"/>
  <c r="G4752" i="2"/>
  <c r="G133" i="2"/>
  <c r="G364" i="2"/>
  <c r="G595" i="2"/>
  <c r="G826" i="2"/>
  <c r="G1057" i="2"/>
  <c r="G1288" i="2"/>
  <c r="G1519" i="2"/>
  <c r="G1750" i="2"/>
  <c r="G1981" i="2"/>
  <c r="G2212" i="2"/>
  <c r="G2443" i="2"/>
  <c r="G2674" i="2"/>
  <c r="G2905" i="2"/>
  <c r="G3136" i="2"/>
  <c r="G3367" i="2"/>
  <c r="G3598" i="2"/>
  <c r="G3829" i="2"/>
  <c r="G4060" i="2"/>
  <c r="G4291" i="2"/>
  <c r="G4522" i="2"/>
  <c r="G4753" i="2"/>
  <c r="G134" i="2"/>
  <c r="G365" i="2"/>
  <c r="G596" i="2"/>
  <c r="G827" i="2"/>
  <c r="G1058" i="2"/>
  <c r="G1289" i="2"/>
  <c r="G1520" i="2"/>
  <c r="G1751" i="2"/>
  <c r="G1982" i="2"/>
  <c r="G2213" i="2"/>
  <c r="G2444" i="2"/>
  <c r="G2675" i="2"/>
  <c r="G2906" i="2"/>
  <c r="G3137" i="2"/>
  <c r="G3368" i="2"/>
  <c r="G3599" i="2"/>
  <c r="G3830" i="2"/>
  <c r="G4061" i="2"/>
  <c r="G4292" i="2"/>
  <c r="G4523" i="2"/>
  <c r="G4754" i="2"/>
  <c r="G135" i="2"/>
  <c r="G366" i="2"/>
  <c r="G597" i="2"/>
  <c r="G828" i="2"/>
  <c r="G1059" i="2"/>
  <c r="G1290" i="2"/>
  <c r="G1521" i="2"/>
  <c r="G1752" i="2"/>
  <c r="G1983" i="2"/>
  <c r="G2214" i="2"/>
  <c r="G2445" i="2"/>
  <c r="G2676" i="2"/>
  <c r="G2907" i="2"/>
  <c r="G3138" i="2"/>
  <c r="G3369" i="2"/>
  <c r="G3600" i="2"/>
  <c r="G3831" i="2"/>
  <c r="G4062" i="2"/>
  <c r="G4293" i="2"/>
  <c r="G4524" i="2"/>
  <c r="G4755" i="2"/>
  <c r="G136" i="2"/>
  <c r="G367" i="2"/>
  <c r="G598" i="2"/>
  <c r="G829" i="2"/>
  <c r="G1060" i="2"/>
  <c r="G1291" i="2"/>
  <c r="G1522" i="2"/>
  <c r="G1753" i="2"/>
  <c r="G1984" i="2"/>
  <c r="G2215" i="2"/>
  <c r="G2446" i="2"/>
  <c r="G2677" i="2"/>
  <c r="G2908" i="2"/>
  <c r="G3139" i="2"/>
  <c r="G3370" i="2"/>
  <c r="G3601" i="2"/>
  <c r="G3832" i="2"/>
  <c r="G4063" i="2"/>
  <c r="G4294" i="2"/>
  <c r="G4525" i="2"/>
  <c r="G4756" i="2"/>
  <c r="G137" i="2"/>
  <c r="G368" i="2"/>
  <c r="G599" i="2"/>
  <c r="G830" i="2"/>
  <c r="G1061" i="2"/>
  <c r="G1292" i="2"/>
  <c r="G1523" i="2"/>
  <c r="G1754" i="2"/>
  <c r="G1985" i="2"/>
  <c r="G2216" i="2"/>
  <c r="G2447" i="2"/>
  <c r="G2678" i="2"/>
  <c r="G2909" i="2"/>
  <c r="G3140" i="2"/>
  <c r="G3371" i="2"/>
  <c r="G3602" i="2"/>
  <c r="G3833" i="2"/>
  <c r="G4064" i="2"/>
  <c r="G4295" i="2"/>
  <c r="G4526" i="2"/>
  <c r="G4757" i="2"/>
  <c r="G138" i="2"/>
  <c r="G369" i="2"/>
  <c r="G600" i="2"/>
  <c r="G831" i="2"/>
  <c r="G1062" i="2"/>
  <c r="G1293" i="2"/>
  <c r="G1524" i="2"/>
  <c r="G1755" i="2"/>
  <c r="G1986" i="2"/>
  <c r="G2217" i="2"/>
  <c r="G2448" i="2"/>
  <c r="G2679" i="2"/>
  <c r="G2910" i="2"/>
  <c r="G3141" i="2"/>
  <c r="G3372" i="2"/>
  <c r="G3603" i="2"/>
  <c r="G3834" i="2"/>
  <c r="G4065" i="2"/>
  <c r="G4296" i="2"/>
  <c r="G4527" i="2"/>
  <c r="G4758" i="2"/>
  <c r="G139" i="2"/>
  <c r="G370" i="2"/>
  <c r="G601" i="2"/>
  <c r="G832" i="2"/>
  <c r="G1063" i="2"/>
  <c r="G1294" i="2"/>
  <c r="G1525" i="2"/>
  <c r="G1756" i="2"/>
  <c r="G1987" i="2"/>
  <c r="G2218" i="2"/>
  <c r="G2449" i="2"/>
  <c r="G2680" i="2"/>
  <c r="G2911" i="2"/>
  <c r="G3142" i="2"/>
  <c r="G3373" i="2"/>
  <c r="G3604" i="2"/>
  <c r="G3835" i="2"/>
  <c r="G4066" i="2"/>
  <c r="G4297" i="2"/>
  <c r="G4528" i="2"/>
  <c r="G4759" i="2"/>
  <c r="G140" i="2"/>
  <c r="G371" i="2"/>
  <c r="G602" i="2"/>
  <c r="G833" i="2"/>
  <c r="G1064" i="2"/>
  <c r="G1295" i="2"/>
  <c r="G1526" i="2"/>
  <c r="G1757" i="2"/>
  <c r="G1988" i="2"/>
  <c r="G2219" i="2"/>
  <c r="G2450" i="2"/>
  <c r="G2681" i="2"/>
  <c r="G2912" i="2"/>
  <c r="G3143" i="2"/>
  <c r="G3374" i="2"/>
  <c r="G3605" i="2"/>
  <c r="G3836" i="2"/>
  <c r="G4067" i="2"/>
  <c r="G4298" i="2"/>
  <c r="G4529" i="2"/>
  <c r="G4760" i="2"/>
  <c r="G141" i="2"/>
  <c r="G372" i="2"/>
  <c r="G603" i="2"/>
  <c r="G834" i="2"/>
  <c r="G1065" i="2"/>
  <c r="G1296" i="2"/>
  <c r="G1527" i="2"/>
  <c r="G1758" i="2"/>
  <c r="G1989" i="2"/>
  <c r="G2220" i="2"/>
  <c r="G2451" i="2"/>
  <c r="G2682" i="2"/>
  <c r="G2913" i="2"/>
  <c r="G3144" i="2"/>
  <c r="G3375" i="2"/>
  <c r="G3606" i="2"/>
  <c r="G3837" i="2"/>
  <c r="G4068" i="2"/>
  <c r="G4299" i="2"/>
  <c r="G4530" i="2"/>
  <c r="G4761" i="2"/>
  <c r="G142" i="2"/>
  <c r="G373" i="2"/>
  <c r="G604" i="2"/>
  <c r="G835" i="2"/>
  <c r="G1066" i="2"/>
  <c r="G1297" i="2"/>
  <c r="G1528" i="2"/>
  <c r="G1759" i="2"/>
  <c r="G1990" i="2"/>
  <c r="G2221" i="2"/>
  <c r="G2452" i="2"/>
  <c r="G2683" i="2"/>
  <c r="G2914" i="2"/>
  <c r="G3145" i="2"/>
  <c r="G3376" i="2"/>
  <c r="G3607" i="2"/>
  <c r="G3838" i="2"/>
  <c r="G4069" i="2"/>
  <c r="G4300" i="2"/>
  <c r="G4531" i="2"/>
  <c r="G4762" i="2"/>
  <c r="G143" i="2"/>
  <c r="G374" i="2"/>
  <c r="G605" i="2"/>
  <c r="G836" i="2"/>
  <c r="G1067" i="2"/>
  <c r="G1298" i="2"/>
  <c r="G1529" i="2"/>
  <c r="G1760" i="2"/>
  <c r="G1991" i="2"/>
  <c r="G2222" i="2"/>
  <c r="G2453" i="2"/>
  <c r="G2684" i="2"/>
  <c r="G2915" i="2"/>
  <c r="G3146" i="2"/>
  <c r="G3377" i="2"/>
  <c r="G3608" i="2"/>
  <c r="G3839" i="2"/>
  <c r="G4070" i="2"/>
  <c r="G4301" i="2"/>
  <c r="G4532" i="2"/>
  <c r="G4763" i="2"/>
  <c r="G144" i="2"/>
  <c r="G375" i="2"/>
  <c r="G606" i="2"/>
  <c r="G837" i="2"/>
  <c r="G1068" i="2"/>
  <c r="G1299" i="2"/>
  <c r="G1530" i="2"/>
  <c r="G1761" i="2"/>
  <c r="G1992" i="2"/>
  <c r="G2223" i="2"/>
  <c r="G2454" i="2"/>
  <c r="G2685" i="2"/>
  <c r="G2916" i="2"/>
  <c r="G3147" i="2"/>
  <c r="G3378" i="2"/>
  <c r="G3609" i="2"/>
  <c r="G3840" i="2"/>
  <c r="G4071" i="2"/>
  <c r="G4302" i="2"/>
  <c r="G4533" i="2"/>
  <c r="G4764" i="2"/>
  <c r="G145" i="2"/>
  <c r="G376" i="2"/>
  <c r="G607" i="2"/>
  <c r="G838" i="2"/>
  <c r="G1069" i="2"/>
  <c r="G1300" i="2"/>
  <c r="G1531" i="2"/>
  <c r="G1762" i="2"/>
  <c r="G1993" i="2"/>
  <c r="G2224" i="2"/>
  <c r="G2455" i="2"/>
  <c r="G2686" i="2"/>
  <c r="G2917" i="2"/>
  <c r="G3148" i="2"/>
  <c r="G3379" i="2"/>
  <c r="G3610" i="2"/>
  <c r="G3841" i="2"/>
  <c r="G4072" i="2"/>
  <c r="G4303" i="2"/>
  <c r="G4534" i="2"/>
  <c r="G4765" i="2"/>
  <c r="G146" i="2"/>
  <c r="G377" i="2"/>
  <c r="G608" i="2"/>
  <c r="G839" i="2"/>
  <c r="G1070" i="2"/>
  <c r="G1301" i="2"/>
  <c r="G1532" i="2"/>
  <c r="G1763" i="2"/>
  <c r="G1994" i="2"/>
  <c r="G2225" i="2"/>
  <c r="G2456" i="2"/>
  <c r="G2687" i="2"/>
  <c r="G2918" i="2"/>
  <c r="G3149" i="2"/>
  <c r="G3380" i="2"/>
  <c r="G3611" i="2"/>
  <c r="G3842" i="2"/>
  <c r="G4073" i="2"/>
  <c r="G4304" i="2"/>
  <c r="G4535" i="2"/>
  <c r="G4766" i="2"/>
  <c r="G147" i="2"/>
  <c r="G378" i="2"/>
  <c r="G609" i="2"/>
  <c r="G840" i="2"/>
  <c r="G1071" i="2"/>
  <c r="G1302" i="2"/>
  <c r="G1533" i="2"/>
  <c r="G1764" i="2"/>
  <c r="G1995" i="2"/>
  <c r="G2226" i="2"/>
  <c r="G2457" i="2"/>
  <c r="G2688" i="2"/>
  <c r="G2919" i="2"/>
  <c r="G3150" i="2"/>
  <c r="G3381" i="2"/>
  <c r="G3612" i="2"/>
  <c r="G3843" i="2"/>
  <c r="G4074" i="2"/>
  <c r="G4305" i="2"/>
  <c r="G4536" i="2"/>
  <c r="G4767" i="2"/>
  <c r="G148" i="2"/>
  <c r="G379" i="2"/>
  <c r="G610" i="2"/>
  <c r="G841" i="2"/>
  <c r="G1072" i="2"/>
  <c r="G1303" i="2"/>
  <c r="G1534" i="2"/>
  <c r="G1765" i="2"/>
  <c r="G1996" i="2"/>
  <c r="G2227" i="2"/>
  <c r="G2458" i="2"/>
  <c r="G2689" i="2"/>
  <c r="G2920" i="2"/>
  <c r="G3151" i="2"/>
  <c r="G3382" i="2"/>
  <c r="G3613" i="2"/>
  <c r="G3844" i="2"/>
  <c r="G4075" i="2"/>
  <c r="G4306" i="2"/>
  <c r="G4537" i="2"/>
  <c r="G4768" i="2"/>
  <c r="G149" i="2"/>
  <c r="G380" i="2"/>
  <c r="G611" i="2"/>
  <c r="G842" i="2"/>
  <c r="G1073" i="2"/>
  <c r="G1304" i="2"/>
  <c r="G1535" i="2"/>
  <c r="G1766" i="2"/>
  <c r="G1997" i="2"/>
  <c r="G2228" i="2"/>
  <c r="G2459" i="2"/>
  <c r="G2690" i="2"/>
  <c r="G2921" i="2"/>
  <c r="G3152" i="2"/>
  <c r="G3383" i="2"/>
  <c r="G3614" i="2"/>
  <c r="G3845" i="2"/>
  <c r="G4076" i="2"/>
  <c r="G4307" i="2"/>
  <c r="G4538" i="2"/>
  <c r="G4769" i="2"/>
  <c r="G150" i="2"/>
  <c r="G381" i="2"/>
  <c r="G612" i="2"/>
  <c r="G843" i="2"/>
  <c r="G1074" i="2"/>
  <c r="G1305" i="2"/>
  <c r="G1536" i="2"/>
  <c r="G1767" i="2"/>
  <c r="G1998" i="2"/>
  <c r="G2229" i="2"/>
  <c r="G2460" i="2"/>
  <c r="G2691" i="2"/>
  <c r="G2922" i="2"/>
  <c r="G3153" i="2"/>
  <c r="G3384" i="2"/>
  <c r="G3615" i="2"/>
  <c r="G3846" i="2"/>
  <c r="G4077" i="2"/>
  <c r="G4308" i="2"/>
  <c r="G4539" i="2"/>
  <c r="G4770" i="2"/>
  <c r="G151" i="2"/>
  <c r="G382" i="2"/>
  <c r="G613" i="2"/>
  <c r="G844" i="2"/>
  <c r="G1075" i="2"/>
  <c r="G1306" i="2"/>
  <c r="G1537" i="2"/>
  <c r="G1768" i="2"/>
  <c r="G1999" i="2"/>
  <c r="G2230" i="2"/>
  <c r="G2461" i="2"/>
  <c r="G2692" i="2"/>
  <c r="G2923" i="2"/>
  <c r="G3154" i="2"/>
  <c r="G3385" i="2"/>
  <c r="G3616" i="2"/>
  <c r="G3847" i="2"/>
  <c r="G4078" i="2"/>
  <c r="G4309" i="2"/>
  <c r="G4540" i="2"/>
  <c r="G4771" i="2"/>
  <c r="G152" i="2"/>
  <c r="G383" i="2"/>
  <c r="G614" i="2"/>
  <c r="G845" i="2"/>
  <c r="G1076" i="2"/>
  <c r="G1307" i="2"/>
  <c r="G1538" i="2"/>
  <c r="G1769" i="2"/>
  <c r="G2000" i="2"/>
  <c r="G2231" i="2"/>
  <c r="G2462" i="2"/>
  <c r="G2693" i="2"/>
  <c r="G2924" i="2"/>
  <c r="G3155" i="2"/>
  <c r="G3386" i="2"/>
  <c r="G3617" i="2"/>
  <c r="G3848" i="2"/>
  <c r="G4079" i="2"/>
  <c r="G4310" i="2"/>
  <c r="G4541" i="2"/>
  <c r="G4772" i="2"/>
  <c r="G153" i="2"/>
  <c r="G384" i="2"/>
  <c r="G615" i="2"/>
  <c r="G846" i="2"/>
  <c r="G1077" i="2"/>
  <c r="G1308" i="2"/>
  <c r="G1539" i="2"/>
  <c r="G1770" i="2"/>
  <c r="G2001" i="2"/>
  <c r="G2232" i="2"/>
  <c r="G2463" i="2"/>
  <c r="G2694" i="2"/>
  <c r="G2925" i="2"/>
  <c r="G3156" i="2"/>
  <c r="G3387" i="2"/>
  <c r="G3618" i="2"/>
  <c r="G3849" i="2"/>
  <c r="G4080" i="2"/>
  <c r="G4311" i="2"/>
  <c r="G4542" i="2"/>
  <c r="G4773" i="2"/>
  <c r="G154" i="2"/>
  <c r="G385" i="2"/>
  <c r="G616" i="2"/>
  <c r="G847" i="2"/>
  <c r="G1078" i="2"/>
  <c r="G1309" i="2"/>
  <c r="G1540" i="2"/>
  <c r="G1771" i="2"/>
  <c r="G2002" i="2"/>
  <c r="G2233" i="2"/>
  <c r="G2464" i="2"/>
  <c r="G2695" i="2"/>
  <c r="G2926" i="2"/>
  <c r="G3157" i="2"/>
  <c r="G3388" i="2"/>
  <c r="G3619" i="2"/>
  <c r="G3850" i="2"/>
  <c r="G4081" i="2"/>
  <c r="G4312" i="2"/>
  <c r="G4543" i="2"/>
  <c r="G4774" i="2"/>
  <c r="G155" i="2"/>
  <c r="G386" i="2"/>
  <c r="G617" i="2"/>
  <c r="G848" i="2"/>
  <c r="G1079" i="2"/>
  <c r="G1310" i="2"/>
  <c r="G1541" i="2"/>
  <c r="G1772" i="2"/>
  <c r="G2003" i="2"/>
  <c r="G2234" i="2"/>
  <c r="G2465" i="2"/>
  <c r="G2696" i="2"/>
  <c r="G2927" i="2"/>
  <c r="G3158" i="2"/>
  <c r="G3389" i="2"/>
  <c r="G3620" i="2"/>
  <c r="G3851" i="2"/>
  <c r="G4082" i="2"/>
  <c r="G4313" i="2"/>
  <c r="G4544" i="2"/>
  <c r="G4775" i="2"/>
  <c r="G156" i="2"/>
  <c r="G387" i="2"/>
  <c r="G618" i="2"/>
  <c r="G849" i="2"/>
  <c r="G1080" i="2"/>
  <c r="G1311" i="2"/>
  <c r="G1542" i="2"/>
  <c r="G1773" i="2"/>
  <c r="G2004" i="2"/>
  <c r="G2235" i="2"/>
  <c r="G2466" i="2"/>
  <c r="G2697" i="2"/>
  <c r="G2928" i="2"/>
  <c r="G3159" i="2"/>
  <c r="G3390" i="2"/>
  <c r="G3621" i="2"/>
  <c r="G3852" i="2"/>
  <c r="G4083" i="2"/>
  <c r="G4314" i="2"/>
  <c r="G4545" i="2"/>
  <c r="G4776" i="2"/>
  <c r="G157" i="2"/>
  <c r="G388" i="2"/>
  <c r="G619" i="2"/>
  <c r="G850" i="2"/>
  <c r="G1081" i="2"/>
  <c r="G1312" i="2"/>
  <c r="G1543" i="2"/>
  <c r="G1774" i="2"/>
  <c r="G2005" i="2"/>
  <c r="G2236" i="2"/>
  <c r="G2467" i="2"/>
  <c r="G2698" i="2"/>
  <c r="G2929" i="2"/>
  <c r="G3160" i="2"/>
  <c r="G3391" i="2"/>
  <c r="G3622" i="2"/>
  <c r="G3853" i="2"/>
  <c r="G4084" i="2"/>
  <c r="G4315" i="2"/>
  <c r="G4546" i="2"/>
  <c r="G4777" i="2"/>
  <c r="G158" i="2"/>
  <c r="G389" i="2"/>
  <c r="G620" i="2"/>
  <c r="G851" i="2"/>
  <c r="G1082" i="2"/>
  <c r="G1313" i="2"/>
  <c r="G1544" i="2"/>
  <c r="G1775" i="2"/>
  <c r="G2006" i="2"/>
  <c r="G2237" i="2"/>
  <c r="G2468" i="2"/>
  <c r="G2699" i="2"/>
  <c r="G2930" i="2"/>
  <c r="G3161" i="2"/>
  <c r="G3392" i="2"/>
  <c r="G3623" i="2"/>
  <c r="G3854" i="2"/>
  <c r="G4085" i="2"/>
  <c r="G4316" i="2"/>
  <c r="G4547" i="2"/>
  <c r="G4778" i="2"/>
  <c r="G159" i="2"/>
  <c r="G390" i="2"/>
  <c r="G621" i="2"/>
  <c r="G852" i="2"/>
  <c r="G1083" i="2"/>
  <c r="G1314" i="2"/>
  <c r="G1545" i="2"/>
  <c r="G1776" i="2"/>
  <c r="G2007" i="2"/>
  <c r="G2238" i="2"/>
  <c r="G2469" i="2"/>
  <c r="G2700" i="2"/>
  <c r="G2931" i="2"/>
  <c r="G3162" i="2"/>
  <c r="G3393" i="2"/>
  <c r="G3624" i="2"/>
  <c r="G3855" i="2"/>
  <c r="G4086" i="2"/>
  <c r="G4317" i="2"/>
  <c r="G4548" i="2"/>
  <c r="G4779" i="2"/>
  <c r="G160" i="2"/>
  <c r="G391" i="2"/>
  <c r="G622" i="2"/>
  <c r="G853" i="2"/>
  <c r="G1084" i="2"/>
  <c r="G1315" i="2"/>
  <c r="G1546" i="2"/>
  <c r="G1777" i="2"/>
  <c r="G2008" i="2"/>
  <c r="G2239" i="2"/>
  <c r="G2470" i="2"/>
  <c r="G2701" i="2"/>
  <c r="G2932" i="2"/>
  <c r="G3163" i="2"/>
  <c r="G3394" i="2"/>
  <c r="G3625" i="2"/>
  <c r="G3856" i="2"/>
  <c r="G4087" i="2"/>
  <c r="G4318" i="2"/>
  <c r="G4549" i="2"/>
  <c r="G4780" i="2"/>
  <c r="G161" i="2"/>
  <c r="G392" i="2"/>
  <c r="G623" i="2"/>
  <c r="G854" i="2"/>
  <c r="G1085" i="2"/>
  <c r="G1316" i="2"/>
  <c r="G1547" i="2"/>
  <c r="G1778" i="2"/>
  <c r="G2009" i="2"/>
  <c r="G2240" i="2"/>
  <c r="G2471" i="2"/>
  <c r="G2702" i="2"/>
  <c r="G2933" i="2"/>
  <c r="G3164" i="2"/>
  <c r="G3395" i="2"/>
  <c r="G3626" i="2"/>
  <c r="G3857" i="2"/>
  <c r="G4088" i="2"/>
  <c r="G4319" i="2"/>
  <c r="G4550" i="2"/>
  <c r="G4781" i="2"/>
  <c r="G162" i="2"/>
  <c r="G393" i="2"/>
  <c r="G624" i="2"/>
  <c r="G855" i="2"/>
  <c r="G1086" i="2"/>
  <c r="G1317" i="2"/>
  <c r="G1548" i="2"/>
  <c r="G1779" i="2"/>
  <c r="G2010" i="2"/>
  <c r="G2241" i="2"/>
  <c r="G2472" i="2"/>
  <c r="G2703" i="2"/>
  <c r="G2934" i="2"/>
  <c r="G3165" i="2"/>
  <c r="G3396" i="2"/>
  <c r="G3627" i="2"/>
  <c r="G3858" i="2"/>
  <c r="G4089" i="2"/>
  <c r="G4320" i="2"/>
  <c r="G4551" i="2"/>
  <c r="G4782" i="2"/>
  <c r="G163" i="2"/>
  <c r="G394" i="2"/>
  <c r="G625" i="2"/>
  <c r="G856" i="2"/>
  <c r="G1087" i="2"/>
  <c r="G1318" i="2"/>
  <c r="G1549" i="2"/>
  <c r="G1780" i="2"/>
  <c r="G2011" i="2"/>
  <c r="G2242" i="2"/>
  <c r="G2473" i="2"/>
  <c r="G2704" i="2"/>
  <c r="G2935" i="2"/>
  <c r="G3166" i="2"/>
  <c r="G3397" i="2"/>
  <c r="G3628" i="2"/>
  <c r="G3859" i="2"/>
  <c r="G4090" i="2"/>
  <c r="G4321" i="2"/>
  <c r="G4552" i="2"/>
  <c r="G4783" i="2"/>
  <c r="G164" i="2"/>
  <c r="G395" i="2"/>
  <c r="G626" i="2"/>
  <c r="G857" i="2"/>
  <c r="G1088" i="2"/>
  <c r="G1319" i="2"/>
  <c r="G1550" i="2"/>
  <c r="G1781" i="2"/>
  <c r="G2012" i="2"/>
  <c r="G2243" i="2"/>
  <c r="G2474" i="2"/>
  <c r="G2705" i="2"/>
  <c r="G2936" i="2"/>
  <c r="G3167" i="2"/>
  <c r="G3398" i="2"/>
  <c r="G3629" i="2"/>
  <c r="G3860" i="2"/>
  <c r="G4091" i="2"/>
  <c r="G4322" i="2"/>
  <c r="G4553" i="2"/>
  <c r="G4784" i="2"/>
  <c r="G165" i="2"/>
  <c r="G396" i="2"/>
  <c r="G627" i="2"/>
  <c r="G858" i="2"/>
  <c r="G1089" i="2"/>
  <c r="G1320" i="2"/>
  <c r="G1551" i="2"/>
  <c r="G1782" i="2"/>
  <c r="G2013" i="2"/>
  <c r="G2244" i="2"/>
  <c r="G2475" i="2"/>
  <c r="G2706" i="2"/>
  <c r="G2937" i="2"/>
  <c r="G3168" i="2"/>
  <c r="G3399" i="2"/>
  <c r="G3630" i="2"/>
  <c r="G3861" i="2"/>
  <c r="G4092" i="2"/>
  <c r="G4323" i="2"/>
  <c r="G4554" i="2"/>
  <c r="G4785" i="2"/>
  <c r="G166" i="2"/>
  <c r="G397" i="2"/>
  <c r="G628" i="2"/>
  <c r="G859" i="2"/>
  <c r="G1090" i="2"/>
  <c r="G1321" i="2"/>
  <c r="G1552" i="2"/>
  <c r="G1783" i="2"/>
  <c r="G2014" i="2"/>
  <c r="G2245" i="2"/>
  <c r="G2476" i="2"/>
  <c r="G2707" i="2"/>
  <c r="G2938" i="2"/>
  <c r="G3169" i="2"/>
  <c r="G3400" i="2"/>
  <c r="G3631" i="2"/>
  <c r="G3862" i="2"/>
  <c r="G4093" i="2"/>
  <c r="G4324" i="2"/>
  <c r="G4555" i="2"/>
  <c r="G4786" i="2"/>
  <c r="G167" i="2"/>
  <c r="G398" i="2"/>
  <c r="G629" i="2"/>
  <c r="G860" i="2"/>
  <c r="G1091" i="2"/>
  <c r="G1322" i="2"/>
  <c r="G1553" i="2"/>
  <c r="G1784" i="2"/>
  <c r="G2015" i="2"/>
  <c r="G2246" i="2"/>
  <c r="G2477" i="2"/>
  <c r="G2708" i="2"/>
  <c r="G2939" i="2"/>
  <c r="G3170" i="2"/>
  <c r="G3401" i="2"/>
  <c r="G3632" i="2"/>
  <c r="G3863" i="2"/>
  <c r="G4094" i="2"/>
  <c r="G4325" i="2"/>
  <c r="G4556" i="2"/>
  <c r="G4787" i="2"/>
  <c r="G168" i="2"/>
  <c r="G399" i="2"/>
  <c r="G630" i="2"/>
  <c r="G861" i="2"/>
  <c r="G1092" i="2"/>
  <c r="G1323" i="2"/>
  <c r="G1554" i="2"/>
  <c r="G1785" i="2"/>
  <c r="G2016" i="2"/>
  <c r="G2247" i="2"/>
  <c r="G2478" i="2"/>
  <c r="G2709" i="2"/>
  <c r="G2940" i="2"/>
  <c r="G3171" i="2"/>
  <c r="G3402" i="2"/>
  <c r="G3633" i="2"/>
  <c r="G3864" i="2"/>
  <c r="G4095" i="2"/>
  <c r="G4326" i="2"/>
  <c r="G4557" i="2"/>
  <c r="G4788" i="2"/>
  <c r="G169" i="2"/>
  <c r="G400" i="2"/>
  <c r="G631" i="2"/>
  <c r="G862" i="2"/>
  <c r="G1093" i="2"/>
  <c r="G1324" i="2"/>
  <c r="G1555" i="2"/>
  <c r="G1786" i="2"/>
  <c r="G2017" i="2"/>
  <c r="G2248" i="2"/>
  <c r="G2479" i="2"/>
  <c r="G2710" i="2"/>
  <c r="G2941" i="2"/>
  <c r="G3172" i="2"/>
  <c r="G3403" i="2"/>
  <c r="G3634" i="2"/>
  <c r="G3865" i="2"/>
  <c r="G4096" i="2"/>
  <c r="G4327" i="2"/>
  <c r="G4558" i="2"/>
  <c r="G4789" i="2"/>
  <c r="G170" i="2"/>
  <c r="G401" i="2"/>
  <c r="G632" i="2"/>
  <c r="G863" i="2"/>
  <c r="G1094" i="2"/>
  <c r="G1325" i="2"/>
  <c r="G1556" i="2"/>
  <c r="G1787" i="2"/>
  <c r="G2018" i="2"/>
  <c r="G2249" i="2"/>
  <c r="G2480" i="2"/>
  <c r="G2711" i="2"/>
  <c r="G2942" i="2"/>
  <c r="G3173" i="2"/>
  <c r="G3404" i="2"/>
  <c r="G3635" i="2"/>
  <c r="G3866" i="2"/>
  <c r="G4097" i="2"/>
  <c r="G4328" i="2"/>
  <c r="G4559" i="2"/>
  <c r="G4790" i="2"/>
  <c r="G171" i="2"/>
  <c r="G402" i="2"/>
  <c r="G633" i="2"/>
  <c r="G864" i="2"/>
  <c r="G1095" i="2"/>
  <c r="G1326" i="2"/>
  <c r="G1557" i="2"/>
  <c r="G1788" i="2"/>
  <c r="G2019" i="2"/>
  <c r="G2250" i="2"/>
  <c r="G2481" i="2"/>
  <c r="G2712" i="2"/>
  <c r="G2943" i="2"/>
  <c r="G3174" i="2"/>
  <c r="G3405" i="2"/>
  <c r="G3636" i="2"/>
  <c r="G3867" i="2"/>
  <c r="G4098" i="2"/>
  <c r="G4329" i="2"/>
  <c r="G4560" i="2"/>
  <c r="G4791" i="2"/>
  <c r="G172" i="2"/>
  <c r="G403" i="2"/>
  <c r="G634" i="2"/>
  <c r="G865" i="2"/>
  <c r="G1096" i="2"/>
  <c r="G1327" i="2"/>
  <c r="G1558" i="2"/>
  <c r="G1789" i="2"/>
  <c r="G2020" i="2"/>
  <c r="G2251" i="2"/>
  <c r="G2482" i="2"/>
  <c r="G2713" i="2"/>
  <c r="G2944" i="2"/>
  <c r="G3175" i="2"/>
  <c r="G3406" i="2"/>
  <c r="G3637" i="2"/>
  <c r="G3868" i="2"/>
  <c r="G4099" i="2"/>
  <c r="G4330" i="2"/>
  <c r="G4561" i="2"/>
  <c r="G4792" i="2"/>
  <c r="G173" i="2"/>
  <c r="G404" i="2"/>
  <c r="G635" i="2"/>
  <c r="G866" i="2"/>
  <c r="G1097" i="2"/>
  <c r="G1328" i="2"/>
  <c r="G1559" i="2"/>
  <c r="G1790" i="2"/>
  <c r="G2021" i="2"/>
  <c r="G2252" i="2"/>
  <c r="G2483" i="2"/>
  <c r="G2714" i="2"/>
  <c r="G2945" i="2"/>
  <c r="G3176" i="2"/>
  <c r="G3407" i="2"/>
  <c r="G3638" i="2"/>
  <c r="G3869" i="2"/>
  <c r="G4100" i="2"/>
  <c r="G4331" i="2"/>
  <c r="G4562" i="2"/>
  <c r="G4793" i="2"/>
  <c r="G174" i="2"/>
  <c r="G405" i="2"/>
  <c r="G636" i="2"/>
  <c r="G867" i="2"/>
  <c r="G1098" i="2"/>
  <c r="G1329" i="2"/>
  <c r="G1560" i="2"/>
  <c r="G1791" i="2"/>
  <c r="G2022" i="2"/>
  <c r="G2253" i="2"/>
  <c r="G2484" i="2"/>
  <c r="G2715" i="2"/>
  <c r="G2946" i="2"/>
  <c r="G3177" i="2"/>
  <c r="G3408" i="2"/>
  <c r="G3639" i="2"/>
  <c r="G3870" i="2"/>
  <c r="G4101" i="2"/>
  <c r="G4332" i="2"/>
  <c r="G4563" i="2"/>
  <c r="G4794" i="2"/>
  <c r="G175" i="2"/>
  <c r="G406" i="2"/>
  <c r="G637" i="2"/>
  <c r="G868" i="2"/>
  <c r="G1099" i="2"/>
  <c r="G1330" i="2"/>
  <c r="G1561" i="2"/>
  <c r="G1792" i="2"/>
  <c r="G2023" i="2"/>
  <c r="G2254" i="2"/>
  <c r="G2485" i="2"/>
  <c r="G2716" i="2"/>
  <c r="G2947" i="2"/>
  <c r="G3178" i="2"/>
  <c r="G3409" i="2"/>
  <c r="G3640" i="2"/>
  <c r="G3871" i="2"/>
  <c r="G4102" i="2"/>
  <c r="G4333" i="2"/>
  <c r="G4564" i="2"/>
  <c r="G4795" i="2"/>
  <c r="G176" i="2"/>
  <c r="G407" i="2"/>
  <c r="G638" i="2"/>
  <c r="G869" i="2"/>
  <c r="G1100" i="2"/>
  <c r="G1331" i="2"/>
  <c r="G1562" i="2"/>
  <c r="G1793" i="2"/>
  <c r="G2024" i="2"/>
  <c r="G2255" i="2"/>
  <c r="G2486" i="2"/>
  <c r="G2717" i="2"/>
  <c r="G2948" i="2"/>
  <c r="G3179" i="2"/>
  <c r="G3410" i="2"/>
  <c r="G3641" i="2"/>
  <c r="G3872" i="2"/>
  <c r="G4103" i="2"/>
  <c r="G4334" i="2"/>
  <c r="G4565" i="2"/>
  <c r="G4796" i="2"/>
  <c r="G177" i="2"/>
  <c r="G408" i="2"/>
  <c r="G639" i="2"/>
  <c r="G870" i="2"/>
  <c r="G1101" i="2"/>
  <c r="G1332" i="2"/>
  <c r="G1563" i="2"/>
  <c r="G1794" i="2"/>
  <c r="G2025" i="2"/>
  <c r="G2256" i="2"/>
  <c r="G2487" i="2"/>
  <c r="G2718" i="2"/>
  <c r="G2949" i="2"/>
  <c r="G3180" i="2"/>
  <c r="G3411" i="2"/>
  <c r="G3642" i="2"/>
  <c r="G3873" i="2"/>
  <c r="G4104" i="2"/>
  <c r="G4335" i="2"/>
  <c r="G4566" i="2"/>
  <c r="G4797" i="2"/>
  <c r="G178" i="2"/>
  <c r="G409" i="2"/>
  <c r="G640" i="2"/>
  <c r="G871" i="2"/>
  <c r="G1102" i="2"/>
  <c r="G1333" i="2"/>
  <c r="G1564" i="2"/>
  <c r="G1795" i="2"/>
  <c r="G2026" i="2"/>
  <c r="G2257" i="2"/>
  <c r="G2488" i="2"/>
  <c r="G2719" i="2"/>
  <c r="G2950" i="2"/>
  <c r="G3181" i="2"/>
  <c r="G3412" i="2"/>
  <c r="G3643" i="2"/>
  <c r="G3874" i="2"/>
  <c r="G4105" i="2"/>
  <c r="G4336" i="2"/>
  <c r="G4567" i="2"/>
  <c r="G4798" i="2"/>
  <c r="G179" i="2"/>
  <c r="G410" i="2"/>
  <c r="G641" i="2"/>
  <c r="G872" i="2"/>
  <c r="G1103" i="2"/>
  <c r="G1334" i="2"/>
  <c r="G1565" i="2"/>
  <c r="G1796" i="2"/>
  <c r="G2027" i="2"/>
  <c r="G2258" i="2"/>
  <c r="G2489" i="2"/>
  <c r="G2720" i="2"/>
  <c r="G2951" i="2"/>
  <c r="G3182" i="2"/>
  <c r="G3413" i="2"/>
  <c r="G3644" i="2"/>
  <c r="G3875" i="2"/>
  <c r="G4106" i="2"/>
  <c r="G4337" i="2"/>
  <c r="G4568" i="2"/>
  <c r="G4799" i="2"/>
  <c r="G180" i="2"/>
  <c r="G411" i="2"/>
  <c r="G642" i="2"/>
  <c r="G873" i="2"/>
  <c r="G1104" i="2"/>
  <c r="G1335" i="2"/>
  <c r="G1566" i="2"/>
  <c r="G1797" i="2"/>
  <c r="G2028" i="2"/>
  <c r="G2259" i="2"/>
  <c r="G2490" i="2"/>
  <c r="G2721" i="2"/>
  <c r="G2952" i="2"/>
  <c r="G3183" i="2"/>
  <c r="G3414" i="2"/>
  <c r="G3645" i="2"/>
  <c r="G3876" i="2"/>
  <c r="G4107" i="2"/>
  <c r="G4338" i="2"/>
  <c r="G4569" i="2"/>
  <c r="G4800" i="2"/>
  <c r="G181" i="2"/>
  <c r="G412" i="2"/>
  <c r="G643" i="2"/>
  <c r="G874" i="2"/>
  <c r="G1105" i="2"/>
  <c r="G1336" i="2"/>
  <c r="G1567" i="2"/>
  <c r="G1798" i="2"/>
  <c r="G2029" i="2"/>
  <c r="G2260" i="2"/>
  <c r="G2491" i="2"/>
  <c r="G2722" i="2"/>
  <c r="G2953" i="2"/>
  <c r="G3184" i="2"/>
  <c r="G3415" i="2"/>
  <c r="G3646" i="2"/>
  <c r="G3877" i="2"/>
  <c r="G4108" i="2"/>
  <c r="G4339" i="2"/>
  <c r="G4570" i="2"/>
  <c r="G4801" i="2"/>
  <c r="G182" i="2"/>
  <c r="G413" i="2"/>
  <c r="G644" i="2"/>
  <c r="G875" i="2"/>
  <c r="G1106" i="2"/>
  <c r="G1337" i="2"/>
  <c r="G1568" i="2"/>
  <c r="G1799" i="2"/>
  <c r="G2030" i="2"/>
  <c r="G2261" i="2"/>
  <c r="G2492" i="2"/>
  <c r="G2723" i="2"/>
  <c r="G2954" i="2"/>
  <c r="G3185" i="2"/>
  <c r="G3416" i="2"/>
  <c r="G3647" i="2"/>
  <c r="G3878" i="2"/>
  <c r="G4109" i="2"/>
  <c r="G4340" i="2"/>
  <c r="G4571" i="2"/>
  <c r="G4802" i="2"/>
  <c r="G183" i="2"/>
  <c r="G414" i="2"/>
  <c r="G645" i="2"/>
  <c r="G876" i="2"/>
  <c r="G1107" i="2"/>
  <c r="G1338" i="2"/>
  <c r="G1569" i="2"/>
  <c r="G1800" i="2"/>
  <c r="G2031" i="2"/>
  <c r="G2262" i="2"/>
  <c r="G2493" i="2"/>
  <c r="G2724" i="2"/>
  <c r="G2955" i="2"/>
  <c r="G3186" i="2"/>
  <c r="G3417" i="2"/>
  <c r="G3648" i="2"/>
  <c r="G3879" i="2"/>
  <c r="G4110" i="2"/>
  <c r="G4341" i="2"/>
  <c r="G4572" i="2"/>
  <c r="G4803" i="2"/>
  <c r="G184" i="2"/>
  <c r="G415" i="2"/>
  <c r="G646" i="2"/>
  <c r="G877" i="2"/>
  <c r="G1108" i="2"/>
  <c r="G1339" i="2"/>
  <c r="G1570" i="2"/>
  <c r="G1801" i="2"/>
  <c r="G2032" i="2"/>
  <c r="G2263" i="2"/>
  <c r="G2494" i="2"/>
  <c r="G2725" i="2"/>
  <c r="G2956" i="2"/>
  <c r="G3187" i="2"/>
  <c r="G3418" i="2"/>
  <c r="G3649" i="2"/>
  <c r="G3880" i="2"/>
  <c r="G4111" i="2"/>
  <c r="G4342" i="2"/>
  <c r="G4573" i="2"/>
  <c r="G4804" i="2"/>
  <c r="G185" i="2"/>
  <c r="G416" i="2"/>
  <c r="G647" i="2"/>
  <c r="G878" i="2"/>
  <c r="G1109" i="2"/>
  <c r="G1340" i="2"/>
  <c r="G1571" i="2"/>
  <c r="G1802" i="2"/>
  <c r="G2033" i="2"/>
  <c r="G2264" i="2"/>
  <c r="G2495" i="2"/>
  <c r="G2726" i="2"/>
  <c r="G2957" i="2"/>
  <c r="G3188" i="2"/>
  <c r="G3419" i="2"/>
  <c r="G3650" i="2"/>
  <c r="G3881" i="2"/>
  <c r="G4112" i="2"/>
  <c r="G4343" i="2"/>
  <c r="G4574" i="2"/>
  <c r="G4805" i="2"/>
  <c r="G186" i="2"/>
  <c r="G417" i="2"/>
  <c r="G648" i="2"/>
  <c r="G879" i="2"/>
  <c r="G1110" i="2"/>
  <c r="G1341" i="2"/>
  <c r="G1572" i="2"/>
  <c r="G1803" i="2"/>
  <c r="G2034" i="2"/>
  <c r="G2265" i="2"/>
  <c r="G2496" i="2"/>
  <c r="G2727" i="2"/>
  <c r="G2958" i="2"/>
  <c r="G3189" i="2"/>
  <c r="G3420" i="2"/>
  <c r="G3651" i="2"/>
  <c r="G3882" i="2"/>
  <c r="G4113" i="2"/>
  <c r="G4344" i="2"/>
  <c r="G4575" i="2"/>
  <c r="G4806" i="2"/>
  <c r="G187" i="2"/>
  <c r="G418" i="2"/>
  <c r="G649" i="2"/>
  <c r="G880" i="2"/>
  <c r="G1111" i="2"/>
  <c r="G1342" i="2"/>
  <c r="G1573" i="2"/>
  <c r="G1804" i="2"/>
  <c r="G2035" i="2"/>
  <c r="G2266" i="2"/>
  <c r="G2497" i="2"/>
  <c r="G2728" i="2"/>
  <c r="G2959" i="2"/>
  <c r="G3190" i="2"/>
  <c r="G3421" i="2"/>
  <c r="G3652" i="2"/>
  <c r="G3883" i="2"/>
  <c r="G4114" i="2"/>
  <c r="G4345" i="2"/>
  <c r="G4576" i="2"/>
  <c r="G4807" i="2"/>
  <c r="G188" i="2"/>
  <c r="G419" i="2"/>
  <c r="G650" i="2"/>
  <c r="G881" i="2"/>
  <c r="G1112" i="2"/>
  <c r="G1343" i="2"/>
  <c r="G1574" i="2"/>
  <c r="G1805" i="2"/>
  <c r="G2036" i="2"/>
  <c r="G2267" i="2"/>
  <c r="G2498" i="2"/>
  <c r="G2729" i="2"/>
  <c r="G2960" i="2"/>
  <c r="G3191" i="2"/>
  <c r="G3422" i="2"/>
  <c r="G3653" i="2"/>
  <c r="G3884" i="2"/>
  <c r="G4115" i="2"/>
  <c r="G4346" i="2"/>
  <c r="G4577" i="2"/>
  <c r="G4808" i="2"/>
  <c r="G189" i="2"/>
  <c r="G420" i="2"/>
  <c r="G651" i="2"/>
  <c r="G882" i="2"/>
  <c r="G1113" i="2"/>
  <c r="G1344" i="2"/>
  <c r="G1575" i="2"/>
  <c r="G1806" i="2"/>
  <c r="G2037" i="2"/>
  <c r="G2268" i="2"/>
  <c r="G2499" i="2"/>
  <c r="G2730" i="2"/>
  <c r="G2961" i="2"/>
  <c r="G3192" i="2"/>
  <c r="G3423" i="2"/>
  <c r="G3654" i="2"/>
  <c r="G3885" i="2"/>
  <c r="G4116" i="2"/>
  <c r="G4347" i="2"/>
  <c r="G4578" i="2"/>
  <c r="G4809" i="2"/>
  <c r="G190" i="2"/>
  <c r="G421" i="2"/>
  <c r="G652" i="2"/>
  <c r="G883" i="2"/>
  <c r="G1114" i="2"/>
  <c r="G1345" i="2"/>
  <c r="G1576" i="2"/>
  <c r="G1807" i="2"/>
  <c r="G2038" i="2"/>
  <c r="G2269" i="2"/>
  <c r="G2500" i="2"/>
  <c r="G2731" i="2"/>
  <c r="G2962" i="2"/>
  <c r="G3193" i="2"/>
  <c r="G3424" i="2"/>
  <c r="G3655" i="2"/>
  <c r="G3886" i="2"/>
  <c r="G4117" i="2"/>
  <c r="G4348" i="2"/>
  <c r="G4579" i="2"/>
  <c r="G4810" i="2"/>
  <c r="G191" i="2"/>
  <c r="G422" i="2"/>
  <c r="G653" i="2"/>
  <c r="G884" i="2"/>
  <c r="G1115" i="2"/>
  <c r="G1346" i="2"/>
  <c r="G1577" i="2"/>
  <c r="G1808" i="2"/>
  <c r="G2039" i="2"/>
  <c r="G2270" i="2"/>
  <c r="G2501" i="2"/>
  <c r="G2732" i="2"/>
  <c r="G2963" i="2"/>
  <c r="G3194" i="2"/>
  <c r="G3425" i="2"/>
  <c r="G3656" i="2"/>
  <c r="G3887" i="2"/>
  <c r="G4118" i="2"/>
  <c r="G4349" i="2"/>
  <c r="G4580" i="2"/>
  <c r="G4811" i="2"/>
  <c r="G192" i="2"/>
  <c r="G423" i="2"/>
  <c r="G654" i="2"/>
  <c r="G885" i="2"/>
  <c r="G1116" i="2"/>
  <c r="G1347" i="2"/>
  <c r="G1578" i="2"/>
  <c r="G1809" i="2"/>
  <c r="G2040" i="2"/>
  <c r="G2271" i="2"/>
  <c r="G2502" i="2"/>
  <c r="G2733" i="2"/>
  <c r="G2964" i="2"/>
  <c r="G3195" i="2"/>
  <c r="G3426" i="2"/>
  <c r="G3657" i="2"/>
  <c r="G3888" i="2"/>
  <c r="G4119" i="2"/>
  <c r="G4350" i="2"/>
  <c r="G4581" i="2"/>
  <c r="G4812" i="2"/>
  <c r="G193" i="2"/>
  <c r="G424" i="2"/>
  <c r="G655" i="2"/>
  <c r="G886" i="2"/>
  <c r="G1117" i="2"/>
  <c r="G1348" i="2"/>
  <c r="G1579" i="2"/>
  <c r="G1810" i="2"/>
  <c r="G2041" i="2"/>
  <c r="G2272" i="2"/>
  <c r="G2503" i="2"/>
  <c r="G2734" i="2"/>
  <c r="G2965" i="2"/>
  <c r="G3196" i="2"/>
  <c r="G3427" i="2"/>
  <c r="G3658" i="2"/>
  <c r="G3889" i="2"/>
  <c r="G4120" i="2"/>
  <c r="G4351" i="2"/>
  <c r="G4582" i="2"/>
  <c r="G4813" i="2"/>
  <c r="G194" i="2"/>
  <c r="G425" i="2"/>
  <c r="G656" i="2"/>
  <c r="G887" i="2"/>
  <c r="G1118" i="2"/>
  <c r="G1349" i="2"/>
  <c r="G1580" i="2"/>
  <c r="G1811" i="2"/>
  <c r="G2042" i="2"/>
  <c r="G2273" i="2"/>
  <c r="G2504" i="2"/>
  <c r="G2735" i="2"/>
  <c r="G2966" i="2"/>
  <c r="G3197" i="2"/>
  <c r="G3428" i="2"/>
  <c r="G3659" i="2"/>
  <c r="G3890" i="2"/>
  <c r="G4121" i="2"/>
  <c r="G4352" i="2"/>
  <c r="G4583" i="2"/>
  <c r="G4814" i="2"/>
  <c r="G195" i="2"/>
  <c r="G426" i="2"/>
  <c r="G657" i="2"/>
  <c r="G888" i="2"/>
  <c r="G1119" i="2"/>
  <c r="G1350" i="2"/>
  <c r="G1581" i="2"/>
  <c r="G1812" i="2"/>
  <c r="G2043" i="2"/>
  <c r="G2274" i="2"/>
  <c r="G2505" i="2"/>
  <c r="G2736" i="2"/>
  <c r="G2967" i="2"/>
  <c r="G3198" i="2"/>
  <c r="G3429" i="2"/>
  <c r="G3660" i="2"/>
  <c r="G3891" i="2"/>
  <c r="G4122" i="2"/>
  <c r="G4353" i="2"/>
  <c r="G4584" i="2"/>
  <c r="G4815" i="2"/>
  <c r="G196" i="2"/>
  <c r="G427" i="2"/>
  <c r="G658" i="2"/>
  <c r="G889" i="2"/>
  <c r="G1120" i="2"/>
  <c r="G1351" i="2"/>
  <c r="G1582" i="2"/>
  <c r="G1813" i="2"/>
  <c r="G2044" i="2"/>
  <c r="G2275" i="2"/>
  <c r="G2506" i="2"/>
  <c r="G2737" i="2"/>
  <c r="G2968" i="2"/>
  <c r="G3199" i="2"/>
  <c r="G3430" i="2"/>
  <c r="G3661" i="2"/>
  <c r="G3892" i="2"/>
  <c r="G4123" i="2"/>
  <c r="G4354" i="2"/>
  <c r="G4585" i="2"/>
  <c r="G4816" i="2"/>
  <c r="G197" i="2"/>
  <c r="G428" i="2"/>
  <c r="G659" i="2"/>
  <c r="G890" i="2"/>
  <c r="G1121" i="2"/>
  <c r="G1352" i="2"/>
  <c r="G1583" i="2"/>
  <c r="G1814" i="2"/>
  <c r="G2045" i="2"/>
  <c r="G2276" i="2"/>
  <c r="G2507" i="2"/>
  <c r="G2738" i="2"/>
  <c r="G2969" i="2"/>
  <c r="G3200" i="2"/>
  <c r="G3431" i="2"/>
  <c r="G3662" i="2"/>
  <c r="G3893" i="2"/>
  <c r="G4124" i="2"/>
  <c r="G4355" i="2"/>
  <c r="G4586" i="2"/>
  <c r="G4817" i="2"/>
  <c r="G198" i="2"/>
  <c r="G429" i="2"/>
  <c r="G660" i="2"/>
  <c r="G891" i="2"/>
  <c r="G1122" i="2"/>
  <c r="G1353" i="2"/>
  <c r="G1584" i="2"/>
  <c r="G1815" i="2"/>
  <c r="G2046" i="2"/>
  <c r="G2277" i="2"/>
  <c r="G2508" i="2"/>
  <c r="G2739" i="2"/>
  <c r="G2970" i="2"/>
  <c r="G3201" i="2"/>
  <c r="G3432" i="2"/>
  <c r="G3663" i="2"/>
  <c r="G3894" i="2"/>
  <c r="G4125" i="2"/>
  <c r="G4356" i="2"/>
  <c r="G4587" i="2"/>
  <c r="G4818" i="2"/>
  <c r="G199" i="2"/>
  <c r="G430" i="2"/>
  <c r="G661" i="2"/>
  <c r="G892" i="2"/>
  <c r="G1123" i="2"/>
  <c r="G1354" i="2"/>
  <c r="G1585" i="2"/>
  <c r="G1816" i="2"/>
  <c r="G2047" i="2"/>
  <c r="G2278" i="2"/>
  <c r="G2509" i="2"/>
  <c r="G2740" i="2"/>
  <c r="G2971" i="2"/>
  <c r="G3202" i="2"/>
  <c r="G3433" i="2"/>
  <c r="G3664" i="2"/>
  <c r="G3895" i="2"/>
  <c r="G4126" i="2"/>
  <c r="G4357" i="2"/>
  <c r="G4588" i="2"/>
  <c r="G4819" i="2"/>
  <c r="G200" i="2"/>
  <c r="G431" i="2"/>
  <c r="G662" i="2"/>
  <c r="G893" i="2"/>
  <c r="G1124" i="2"/>
  <c r="G1355" i="2"/>
  <c r="G1586" i="2"/>
  <c r="G1817" i="2"/>
  <c r="G2048" i="2"/>
  <c r="G2279" i="2"/>
  <c r="G2510" i="2"/>
  <c r="G2741" i="2"/>
  <c r="G2972" i="2"/>
  <c r="G3203" i="2"/>
  <c r="G3434" i="2"/>
  <c r="G3665" i="2"/>
  <c r="G3896" i="2"/>
  <c r="G4127" i="2"/>
  <c r="G4358" i="2"/>
  <c r="G4589" i="2"/>
  <c r="G4820" i="2"/>
  <c r="G201" i="2"/>
  <c r="G432" i="2"/>
  <c r="G663" i="2"/>
  <c r="G894" i="2"/>
  <c r="G1125" i="2"/>
  <c r="G1356" i="2"/>
  <c r="G1587" i="2"/>
  <c r="G1818" i="2"/>
  <c r="G2049" i="2"/>
  <c r="G2280" i="2"/>
  <c r="G2511" i="2"/>
  <c r="G2742" i="2"/>
  <c r="G2973" i="2"/>
  <c r="G3204" i="2"/>
  <c r="G3435" i="2"/>
  <c r="G3666" i="2"/>
  <c r="G3897" i="2"/>
  <c r="G4128" i="2"/>
  <c r="G4359" i="2"/>
  <c r="G4590" i="2"/>
  <c r="G4821" i="2"/>
  <c r="G202" i="2"/>
  <c r="G433" i="2"/>
  <c r="G664" i="2"/>
  <c r="G895" i="2"/>
  <c r="G1126" i="2"/>
  <c r="G1357" i="2"/>
  <c r="G1588" i="2"/>
  <c r="G1819" i="2"/>
  <c r="G2050" i="2"/>
  <c r="G2281" i="2"/>
  <c r="G2512" i="2"/>
  <c r="G2743" i="2"/>
  <c r="G2974" i="2"/>
  <c r="G3205" i="2"/>
  <c r="G3436" i="2"/>
  <c r="G3667" i="2"/>
  <c r="G3898" i="2"/>
  <c r="G4129" i="2"/>
  <c r="G4360" i="2"/>
  <c r="G4591" i="2"/>
  <c r="G4822" i="2"/>
  <c r="G203" i="2"/>
  <c r="G434" i="2"/>
  <c r="G665" i="2"/>
  <c r="G896" i="2"/>
  <c r="G1127" i="2"/>
  <c r="G1358" i="2"/>
  <c r="G1589" i="2"/>
  <c r="G1820" i="2"/>
  <c r="G2051" i="2"/>
  <c r="G2282" i="2"/>
  <c r="G2513" i="2"/>
  <c r="G2744" i="2"/>
  <c r="G2975" i="2"/>
  <c r="G3206" i="2"/>
  <c r="G3437" i="2"/>
  <c r="G3668" i="2"/>
  <c r="G3899" i="2"/>
  <c r="G4130" i="2"/>
  <c r="G4361" i="2"/>
  <c r="G4592" i="2"/>
  <c r="G4823" i="2"/>
  <c r="G204" i="2"/>
  <c r="G435" i="2"/>
  <c r="G666" i="2"/>
  <c r="G897" i="2"/>
  <c r="G1128" i="2"/>
  <c r="G1359" i="2"/>
  <c r="G1590" i="2"/>
  <c r="G1821" i="2"/>
  <c r="G2052" i="2"/>
  <c r="G2283" i="2"/>
  <c r="G2514" i="2"/>
  <c r="G2745" i="2"/>
  <c r="G2976" i="2"/>
  <c r="G3207" i="2"/>
  <c r="G3438" i="2"/>
  <c r="G3669" i="2"/>
  <c r="G3900" i="2"/>
  <c r="G4131" i="2"/>
  <c r="G4362" i="2"/>
  <c r="G4593" i="2"/>
  <c r="G4824" i="2"/>
  <c r="G205" i="2"/>
  <c r="G436" i="2"/>
  <c r="G667" i="2"/>
  <c r="G898" i="2"/>
  <c r="G1129" i="2"/>
  <c r="G1360" i="2"/>
  <c r="G1591" i="2"/>
  <c r="G1822" i="2"/>
  <c r="G2053" i="2"/>
  <c r="G2284" i="2"/>
  <c r="G2515" i="2"/>
  <c r="G2746" i="2"/>
  <c r="G2977" i="2"/>
  <c r="G3208" i="2"/>
  <c r="G3439" i="2"/>
  <c r="G3670" i="2"/>
  <c r="G3901" i="2"/>
  <c r="G4132" i="2"/>
  <c r="G4363" i="2"/>
  <c r="G4594" i="2"/>
  <c r="G4825" i="2"/>
  <c r="G206" i="2"/>
  <c r="G437" i="2"/>
  <c r="G668" i="2"/>
  <c r="G899" i="2"/>
  <c r="G1130" i="2"/>
  <c r="G1361" i="2"/>
  <c r="G1592" i="2"/>
  <c r="G1823" i="2"/>
  <c r="G2054" i="2"/>
  <c r="G2285" i="2"/>
  <c r="G2516" i="2"/>
  <c r="G2747" i="2"/>
  <c r="G2978" i="2"/>
  <c r="G3209" i="2"/>
  <c r="G3440" i="2"/>
  <c r="G3671" i="2"/>
  <c r="G3902" i="2"/>
  <c r="G4133" i="2"/>
  <c r="G4364" i="2"/>
  <c r="G4595" i="2"/>
  <c r="G4826" i="2"/>
  <c r="G207" i="2"/>
  <c r="G438" i="2"/>
  <c r="G669" i="2"/>
  <c r="G900" i="2"/>
  <c r="G1131" i="2"/>
  <c r="G1362" i="2"/>
  <c r="G1593" i="2"/>
  <c r="G1824" i="2"/>
  <c r="G2055" i="2"/>
  <c r="G2286" i="2"/>
  <c r="G2517" i="2"/>
  <c r="G2748" i="2"/>
  <c r="G2979" i="2"/>
  <c r="G3210" i="2"/>
  <c r="G3441" i="2"/>
  <c r="G3672" i="2"/>
  <c r="G3903" i="2"/>
  <c r="G4134" i="2"/>
  <c r="G4365" i="2"/>
  <c r="G4596" i="2"/>
  <c r="G4827" i="2"/>
  <c r="G208" i="2"/>
  <c r="G439" i="2"/>
  <c r="G670" i="2"/>
  <c r="G901" i="2"/>
  <c r="G1132" i="2"/>
  <c r="G1363" i="2"/>
  <c r="G1594" i="2"/>
  <c r="G1825" i="2"/>
  <c r="G2056" i="2"/>
  <c r="G2287" i="2"/>
  <c r="G2518" i="2"/>
  <c r="G2749" i="2"/>
  <c r="G2980" i="2"/>
  <c r="G3211" i="2"/>
  <c r="G3442" i="2"/>
  <c r="G3673" i="2"/>
  <c r="G3904" i="2"/>
  <c r="G4135" i="2"/>
  <c r="G4366" i="2"/>
  <c r="G4597" i="2"/>
  <c r="G4828" i="2"/>
  <c r="G209" i="2"/>
  <c r="G440" i="2"/>
  <c r="G671" i="2"/>
  <c r="G902" i="2"/>
  <c r="G1133" i="2"/>
  <c r="G1364" i="2"/>
  <c r="G1595" i="2"/>
  <c r="G1826" i="2"/>
  <c r="G2057" i="2"/>
  <c r="G2288" i="2"/>
  <c r="G2519" i="2"/>
  <c r="G2750" i="2"/>
  <c r="G2981" i="2"/>
  <c r="G3212" i="2"/>
  <c r="G3443" i="2"/>
  <c r="G3674" i="2"/>
  <c r="G3905" i="2"/>
  <c r="G4136" i="2"/>
  <c r="G4367" i="2"/>
  <c r="G4598" i="2"/>
  <c r="G4829" i="2"/>
  <c r="G210" i="2"/>
  <c r="G441" i="2"/>
  <c r="G672" i="2"/>
  <c r="G903" i="2"/>
  <c r="G1134" i="2"/>
  <c r="G1365" i="2"/>
  <c r="G1596" i="2"/>
  <c r="G1827" i="2"/>
  <c r="G2058" i="2"/>
  <c r="G2289" i="2"/>
  <c r="G2520" i="2"/>
  <c r="G2751" i="2"/>
  <c r="G2982" i="2"/>
  <c r="G3213" i="2"/>
  <c r="G3444" i="2"/>
  <c r="G3675" i="2"/>
  <c r="G3906" i="2"/>
  <c r="G4137" i="2"/>
  <c r="G4368" i="2"/>
  <c r="G4599" i="2"/>
  <c r="G4830" i="2"/>
  <c r="G211" i="2"/>
  <c r="G442" i="2"/>
  <c r="G673" i="2"/>
  <c r="G904" i="2"/>
  <c r="G1135" i="2"/>
  <c r="G1366" i="2"/>
  <c r="G1597" i="2"/>
  <c r="G1828" i="2"/>
  <c r="G2059" i="2"/>
  <c r="G2290" i="2"/>
  <c r="G2521" i="2"/>
  <c r="G2752" i="2"/>
  <c r="G2983" i="2"/>
  <c r="G3214" i="2"/>
  <c r="G3445" i="2"/>
  <c r="G3676" i="2"/>
  <c r="G3907" i="2"/>
  <c r="G4138" i="2"/>
  <c r="G4369" i="2"/>
  <c r="G4600" i="2"/>
  <c r="G4831" i="2"/>
  <c r="G212" i="2"/>
  <c r="G443" i="2"/>
  <c r="G674" i="2"/>
  <c r="G905" i="2"/>
  <c r="G1136" i="2"/>
  <c r="G1367" i="2"/>
  <c r="G1598" i="2"/>
  <c r="G1829" i="2"/>
  <c r="G2060" i="2"/>
  <c r="G2291" i="2"/>
  <c r="G2522" i="2"/>
  <c r="G2753" i="2"/>
  <c r="G2984" i="2"/>
  <c r="G3215" i="2"/>
  <c r="G3446" i="2"/>
  <c r="G3677" i="2"/>
  <c r="G3908" i="2"/>
  <c r="G4139" i="2"/>
  <c r="G4370" i="2"/>
  <c r="G4601" i="2"/>
  <c r="G4832" i="2"/>
  <c r="G213" i="2"/>
  <c r="G444" i="2"/>
  <c r="G675" i="2"/>
  <c r="G906" i="2"/>
  <c r="G1137" i="2"/>
  <c r="G1368" i="2"/>
  <c r="G1599" i="2"/>
  <c r="G1830" i="2"/>
  <c r="G2061" i="2"/>
  <c r="G2292" i="2"/>
  <c r="G2523" i="2"/>
  <c r="G2754" i="2"/>
  <c r="G2985" i="2"/>
  <c r="G3216" i="2"/>
  <c r="G3447" i="2"/>
  <c r="G3678" i="2"/>
  <c r="G3909" i="2"/>
  <c r="G4140" i="2"/>
  <c r="G4371" i="2"/>
  <c r="G4602" i="2"/>
  <c r="G4833" i="2"/>
  <c r="G214" i="2"/>
  <c r="G445" i="2"/>
  <c r="G676" i="2"/>
  <c r="G907" i="2"/>
  <c r="G1138" i="2"/>
  <c r="G1369" i="2"/>
  <c r="G1600" i="2"/>
  <c r="G1831" i="2"/>
  <c r="G2062" i="2"/>
  <c r="G2293" i="2"/>
  <c r="G2524" i="2"/>
  <c r="G2755" i="2"/>
  <c r="G2986" i="2"/>
  <c r="G3217" i="2"/>
  <c r="G3448" i="2"/>
  <c r="G3679" i="2"/>
  <c r="G3910" i="2"/>
  <c r="G4141" i="2"/>
  <c r="G4372" i="2"/>
  <c r="G4603" i="2"/>
  <c r="G4834" i="2"/>
  <c r="G215" i="2"/>
  <c r="G446" i="2"/>
  <c r="G677" i="2"/>
  <c r="G908" i="2"/>
  <c r="G1139" i="2"/>
  <c r="G1370" i="2"/>
  <c r="G1601" i="2"/>
  <c r="G1832" i="2"/>
  <c r="G2063" i="2"/>
  <c r="G2294" i="2"/>
  <c r="G2525" i="2"/>
  <c r="G2756" i="2"/>
  <c r="G2987" i="2"/>
  <c r="G3218" i="2"/>
  <c r="G3449" i="2"/>
  <c r="G3680" i="2"/>
  <c r="G3911" i="2"/>
  <c r="G4142" i="2"/>
  <c r="G4373" i="2"/>
  <c r="G4604" i="2"/>
  <c r="G4835" i="2"/>
  <c r="G216" i="2"/>
  <c r="G447" i="2"/>
  <c r="G678" i="2"/>
  <c r="G909" i="2"/>
  <c r="G1140" i="2"/>
  <c r="G1371" i="2"/>
  <c r="G1602" i="2"/>
  <c r="G1833" i="2"/>
  <c r="G2064" i="2"/>
  <c r="G2295" i="2"/>
  <c r="G2526" i="2"/>
  <c r="G2757" i="2"/>
  <c r="G2988" i="2"/>
  <c r="G3219" i="2"/>
  <c r="G3450" i="2"/>
  <c r="G3681" i="2"/>
  <c r="G3912" i="2"/>
  <c r="G4143" i="2"/>
  <c r="G4374" i="2"/>
  <c r="G4605" i="2"/>
  <c r="G4836" i="2"/>
  <c r="G217" i="2"/>
  <c r="G448" i="2"/>
  <c r="G679" i="2"/>
  <c r="G910" i="2"/>
  <c r="G1141" i="2"/>
  <c r="G1372" i="2"/>
  <c r="G1603" i="2"/>
  <c r="G1834" i="2"/>
  <c r="G2065" i="2"/>
  <c r="G2296" i="2"/>
  <c r="G2527" i="2"/>
  <c r="G2758" i="2"/>
  <c r="G2989" i="2"/>
  <c r="G3220" i="2"/>
  <c r="G3451" i="2"/>
  <c r="G3682" i="2"/>
  <c r="G3913" i="2"/>
  <c r="G4144" i="2"/>
  <c r="G4375" i="2"/>
  <c r="G4606" i="2"/>
  <c r="G4837" i="2"/>
  <c r="G218" i="2"/>
  <c r="G449" i="2"/>
  <c r="G680" i="2"/>
  <c r="G911" i="2"/>
  <c r="G1142" i="2"/>
  <c r="G1373" i="2"/>
  <c r="G1604" i="2"/>
  <c r="G1835" i="2"/>
  <c r="G2066" i="2"/>
  <c r="G2297" i="2"/>
  <c r="G2528" i="2"/>
  <c r="G2759" i="2"/>
  <c r="G2990" i="2"/>
  <c r="G3221" i="2"/>
  <c r="G3452" i="2"/>
  <c r="G3683" i="2"/>
  <c r="G3914" i="2"/>
  <c r="G4145" i="2"/>
  <c r="G4376" i="2"/>
  <c r="G4607" i="2"/>
  <c r="G4838" i="2"/>
  <c r="G219" i="2"/>
  <c r="G450" i="2"/>
  <c r="G681" i="2"/>
  <c r="G912" i="2"/>
  <c r="G1143" i="2"/>
  <c r="G1374" i="2"/>
  <c r="G1605" i="2"/>
  <c r="G1836" i="2"/>
  <c r="G2067" i="2"/>
  <c r="G2298" i="2"/>
  <c r="G2529" i="2"/>
  <c r="G2760" i="2"/>
  <c r="G2991" i="2"/>
  <c r="G3222" i="2"/>
  <c r="G3453" i="2"/>
  <c r="G3684" i="2"/>
  <c r="G3915" i="2"/>
  <c r="G4146" i="2"/>
  <c r="G4377" i="2"/>
  <c r="G4608" i="2"/>
  <c r="G4839" i="2"/>
  <c r="G220" i="2"/>
  <c r="G451" i="2"/>
  <c r="G682" i="2"/>
  <c r="G913" i="2"/>
  <c r="G1144" i="2"/>
  <c r="G1375" i="2"/>
  <c r="G1606" i="2"/>
  <c r="G1837" i="2"/>
  <c r="G2068" i="2"/>
  <c r="G2299" i="2"/>
  <c r="G2530" i="2"/>
  <c r="G2761" i="2"/>
  <c r="G2992" i="2"/>
  <c r="G3223" i="2"/>
  <c r="G3454" i="2"/>
  <c r="G3685" i="2"/>
  <c r="G3916" i="2"/>
  <c r="G4147" i="2"/>
  <c r="G4378" i="2"/>
  <c r="G4609" i="2"/>
  <c r="G4840" i="2"/>
  <c r="G221" i="2"/>
  <c r="G452" i="2"/>
  <c r="G683" i="2"/>
  <c r="G914" i="2"/>
  <c r="G1145" i="2"/>
  <c r="G1376" i="2"/>
  <c r="G1607" i="2"/>
  <c r="G1838" i="2"/>
  <c r="G2069" i="2"/>
  <c r="G2300" i="2"/>
  <c r="G2531" i="2"/>
  <c r="G2762" i="2"/>
  <c r="G2993" i="2"/>
  <c r="G3224" i="2"/>
  <c r="G3455" i="2"/>
  <c r="G3686" i="2"/>
  <c r="G3917" i="2"/>
  <c r="G4148" i="2"/>
  <c r="G4379" i="2"/>
  <c r="G4610" i="2"/>
  <c r="G4841" i="2"/>
  <c r="G222" i="2"/>
  <c r="G453" i="2"/>
  <c r="G684" i="2"/>
  <c r="G915" i="2"/>
  <c r="G1146" i="2"/>
  <c r="G1377" i="2"/>
  <c r="G1608" i="2"/>
  <c r="G1839" i="2"/>
  <c r="G2070" i="2"/>
  <c r="G2301" i="2"/>
  <c r="G2532" i="2"/>
  <c r="G2763" i="2"/>
  <c r="G2994" i="2"/>
  <c r="G3225" i="2"/>
  <c r="G3456" i="2"/>
  <c r="G3687" i="2"/>
  <c r="G3918" i="2"/>
  <c r="G4149" i="2"/>
  <c r="G4380" i="2"/>
  <c r="G4611" i="2"/>
  <c r="G4842" i="2"/>
  <c r="G223" i="2"/>
  <c r="G454" i="2"/>
  <c r="G685" i="2"/>
  <c r="G916" i="2"/>
  <c r="G1147" i="2"/>
  <c r="G1378" i="2"/>
  <c r="G1609" i="2"/>
  <c r="G1840" i="2"/>
  <c r="G2071" i="2"/>
  <c r="G2302" i="2"/>
  <c r="G2533" i="2"/>
  <c r="G2764" i="2"/>
  <c r="G2995" i="2"/>
  <c r="G3226" i="2"/>
  <c r="G3457" i="2"/>
  <c r="G3688" i="2"/>
  <c r="G3919" i="2"/>
  <c r="G4150" i="2"/>
  <c r="G4381" i="2"/>
  <c r="G4612" i="2"/>
  <c r="G4843" i="2"/>
  <c r="G224" i="2"/>
  <c r="G455" i="2"/>
  <c r="G686" i="2"/>
  <c r="G917" i="2"/>
  <c r="G1148" i="2"/>
  <c r="G1379" i="2"/>
  <c r="G1610" i="2"/>
  <c r="G1841" i="2"/>
  <c r="G2072" i="2"/>
  <c r="G2303" i="2"/>
  <c r="G2534" i="2"/>
  <c r="G2765" i="2"/>
  <c r="G2996" i="2"/>
  <c r="G3227" i="2"/>
  <c r="G3458" i="2"/>
  <c r="G3689" i="2"/>
  <c r="G3920" i="2"/>
  <c r="G4151" i="2"/>
  <c r="G4382" i="2"/>
  <c r="G4613" i="2"/>
  <c r="G4844" i="2"/>
  <c r="G225" i="2"/>
  <c r="G456" i="2"/>
  <c r="G687" i="2"/>
  <c r="G918" i="2"/>
  <c r="G1149" i="2"/>
  <c r="G1380" i="2"/>
  <c r="G1611" i="2"/>
  <c r="G1842" i="2"/>
  <c r="G2073" i="2"/>
  <c r="G2304" i="2"/>
  <c r="G2535" i="2"/>
  <c r="G2766" i="2"/>
  <c r="G2997" i="2"/>
  <c r="G3228" i="2"/>
  <c r="G3459" i="2"/>
  <c r="G3690" i="2"/>
  <c r="G3921" i="2"/>
  <c r="G4152" i="2"/>
  <c r="G4383" i="2"/>
  <c r="G4614" i="2"/>
  <c r="G4845" i="2"/>
  <c r="G226" i="2"/>
  <c r="G457" i="2"/>
  <c r="G688" i="2"/>
  <c r="G919" i="2"/>
  <c r="G1150" i="2"/>
  <c r="G1381" i="2"/>
  <c r="G1612" i="2"/>
  <c r="G1843" i="2"/>
  <c r="G2074" i="2"/>
  <c r="G2305" i="2"/>
  <c r="G2536" i="2"/>
  <c r="G2767" i="2"/>
  <c r="G2998" i="2"/>
  <c r="G3229" i="2"/>
  <c r="G3460" i="2"/>
  <c r="G3691" i="2"/>
  <c r="G3922" i="2"/>
  <c r="G4153" i="2"/>
  <c r="G4384" i="2"/>
  <c r="G4615" i="2"/>
  <c r="G4846" i="2"/>
  <c r="G227" i="2"/>
  <c r="G458" i="2"/>
  <c r="G689" i="2"/>
  <c r="G920" i="2"/>
  <c r="G1151" i="2"/>
  <c r="G1382" i="2"/>
  <c r="G1613" i="2"/>
  <c r="G1844" i="2"/>
  <c r="G2075" i="2"/>
  <c r="G2306" i="2"/>
  <c r="G2537" i="2"/>
  <c r="G2768" i="2"/>
  <c r="G2999" i="2"/>
  <c r="G3230" i="2"/>
  <c r="G3461" i="2"/>
  <c r="G3692" i="2"/>
  <c r="G3923" i="2"/>
  <c r="G4154" i="2"/>
  <c r="G4385" i="2"/>
  <c r="G4616" i="2"/>
  <c r="G4847" i="2"/>
  <c r="G228" i="2"/>
  <c r="G459" i="2"/>
  <c r="G690" i="2"/>
  <c r="G921" i="2"/>
  <c r="G1152" i="2"/>
  <c r="G1383" i="2"/>
  <c r="G1614" i="2"/>
  <c r="G1845" i="2"/>
  <c r="G2076" i="2"/>
  <c r="G2307" i="2"/>
  <c r="G2538" i="2"/>
  <c r="G2769" i="2"/>
  <c r="G3000" i="2"/>
  <c r="G3231" i="2"/>
  <c r="G3462" i="2"/>
  <c r="G3693" i="2"/>
  <c r="G3924" i="2"/>
  <c r="G4155" i="2"/>
  <c r="G4386" i="2"/>
  <c r="G4617" i="2"/>
  <c r="G4848" i="2"/>
  <c r="G229" i="2"/>
  <c r="G460" i="2"/>
  <c r="G691" i="2"/>
  <c r="G922" i="2"/>
  <c r="G1153" i="2"/>
  <c r="G1384" i="2"/>
  <c r="G1615" i="2"/>
  <c r="G1846" i="2"/>
  <c r="G2077" i="2"/>
  <c r="G2308" i="2"/>
  <c r="G2539" i="2"/>
  <c r="G2770" i="2"/>
  <c r="G3001" i="2"/>
  <c r="G3232" i="2"/>
  <c r="G3463" i="2"/>
  <c r="G3694" i="2"/>
  <c r="G3925" i="2"/>
  <c r="G4156" i="2"/>
  <c r="G4387" i="2"/>
  <c r="G4618" i="2"/>
  <c r="G4849" i="2"/>
  <c r="G230" i="2"/>
  <c r="G461" i="2"/>
  <c r="G692" i="2"/>
  <c r="G923" i="2"/>
  <c r="G1154" i="2"/>
  <c r="G1385" i="2"/>
  <c r="G1616" i="2"/>
  <c r="G1847" i="2"/>
  <c r="G2078" i="2"/>
  <c r="G2309" i="2"/>
  <c r="G2540" i="2"/>
  <c r="G2771" i="2"/>
  <c r="G3002" i="2"/>
  <c r="G3233" i="2"/>
  <c r="G3464" i="2"/>
  <c r="G3695" i="2"/>
  <c r="G3926" i="2"/>
  <c r="G4157" i="2"/>
  <c r="G4388" i="2"/>
  <c r="G4619" i="2"/>
  <c r="G4850" i="2"/>
  <c r="G231" i="2"/>
  <c r="G462" i="2"/>
  <c r="G693" i="2"/>
  <c r="G924" i="2"/>
  <c r="G1155" i="2"/>
  <c r="G1386" i="2"/>
  <c r="G1617" i="2"/>
  <c r="G1848" i="2"/>
  <c r="G2079" i="2"/>
  <c r="G2310" i="2"/>
  <c r="G2541" i="2"/>
  <c r="G2772" i="2"/>
  <c r="G3003" i="2"/>
  <c r="G3234" i="2"/>
  <c r="G3465" i="2"/>
  <c r="G3696" i="2"/>
  <c r="G3927" i="2"/>
  <c r="G4158" i="2"/>
  <c r="G4389" i="2"/>
  <c r="G4620" i="2"/>
  <c r="G4851" i="2"/>
  <c r="G232" i="2"/>
  <c r="G463" i="2"/>
  <c r="G694" i="2"/>
  <c r="G925" i="2"/>
  <c r="G1156" i="2"/>
  <c r="G1387" i="2"/>
  <c r="G1618" i="2"/>
  <c r="G1849" i="2"/>
  <c r="G2080" i="2"/>
  <c r="G2311" i="2"/>
  <c r="G2542" i="2"/>
  <c r="G2773" i="2"/>
  <c r="G3004" i="2"/>
  <c r="G3235" i="2"/>
  <c r="G3466" i="2"/>
  <c r="G3697" i="2"/>
  <c r="G3928" i="2"/>
  <c r="G4159" i="2"/>
  <c r="G4390" i="2"/>
  <c r="G4621" i="2"/>
  <c r="G4852" i="2"/>
  <c r="G233" i="2"/>
  <c r="G464" i="2"/>
  <c r="G695" i="2"/>
  <c r="G926" i="2"/>
  <c r="G1157" i="2"/>
  <c r="G1388" i="2"/>
  <c r="G1619" i="2"/>
  <c r="G1850" i="2"/>
  <c r="G2081" i="2"/>
  <c r="G2312" i="2"/>
  <c r="G2543" i="2"/>
  <c r="G2774" i="2"/>
  <c r="G3005" i="2"/>
  <c r="G3236" i="2"/>
  <c r="G3467" i="2"/>
  <c r="G3698" i="2"/>
  <c r="G3929" i="2"/>
  <c r="G4160" i="2"/>
  <c r="G4391" i="2"/>
  <c r="G4622" i="2"/>
  <c r="G4853" i="2"/>
  <c r="H3" i="2"/>
  <c r="H234" i="2"/>
  <c r="H465" i="2"/>
  <c r="H696" i="2"/>
  <c r="H927" i="2"/>
  <c r="H1158" i="2"/>
  <c r="H1389" i="2"/>
  <c r="H1620" i="2"/>
  <c r="H1851" i="2"/>
  <c r="H2082" i="2"/>
  <c r="H2313" i="2"/>
  <c r="H2544" i="2"/>
  <c r="H2775" i="2"/>
  <c r="H3006" i="2"/>
  <c r="H3237" i="2"/>
  <c r="H3468" i="2"/>
  <c r="H3699" i="2"/>
  <c r="H3930" i="2"/>
  <c r="H4161" i="2"/>
  <c r="H4392" i="2"/>
  <c r="H4623" i="2"/>
  <c r="H4" i="2"/>
  <c r="H235" i="2"/>
  <c r="H466" i="2"/>
  <c r="H697" i="2"/>
  <c r="H928" i="2"/>
  <c r="H1159" i="2"/>
  <c r="H1390" i="2"/>
  <c r="H1621" i="2"/>
  <c r="H1852" i="2"/>
  <c r="H2083" i="2"/>
  <c r="H2314" i="2"/>
  <c r="H2545" i="2"/>
  <c r="H2776" i="2"/>
  <c r="H3007" i="2"/>
  <c r="H3238" i="2"/>
  <c r="H3469" i="2"/>
  <c r="H3700" i="2"/>
  <c r="H3931" i="2"/>
  <c r="H4162" i="2"/>
  <c r="H4393" i="2"/>
  <c r="H4624" i="2"/>
  <c r="H5" i="2"/>
  <c r="H236" i="2"/>
  <c r="H467" i="2"/>
  <c r="H698" i="2"/>
  <c r="H929" i="2"/>
  <c r="H1160" i="2"/>
  <c r="H1391" i="2"/>
  <c r="H1622" i="2"/>
  <c r="H1853" i="2"/>
  <c r="H2084" i="2"/>
  <c r="H2315" i="2"/>
  <c r="H2546" i="2"/>
  <c r="H2777" i="2"/>
  <c r="H3008" i="2"/>
  <c r="H3239" i="2"/>
  <c r="H3470" i="2"/>
  <c r="H3701" i="2"/>
  <c r="H3932" i="2"/>
  <c r="H4163" i="2"/>
  <c r="H4394" i="2"/>
  <c r="H4625" i="2"/>
  <c r="H6" i="2"/>
  <c r="H237" i="2"/>
  <c r="H468" i="2"/>
  <c r="H699" i="2"/>
  <c r="H930" i="2"/>
  <c r="H1161" i="2"/>
  <c r="H1392" i="2"/>
  <c r="H1623" i="2"/>
  <c r="H1854" i="2"/>
  <c r="H2085" i="2"/>
  <c r="H2316" i="2"/>
  <c r="H2547" i="2"/>
  <c r="H2778" i="2"/>
  <c r="H3009" i="2"/>
  <c r="H3240" i="2"/>
  <c r="H3471" i="2"/>
  <c r="H3702" i="2"/>
  <c r="H3933" i="2"/>
  <c r="H4164" i="2"/>
  <c r="H4395" i="2"/>
  <c r="H4626" i="2"/>
  <c r="H7" i="2"/>
  <c r="H238" i="2"/>
  <c r="H469" i="2"/>
  <c r="H700" i="2"/>
  <c r="H931" i="2"/>
  <c r="H1162" i="2"/>
  <c r="H1393" i="2"/>
  <c r="H1624" i="2"/>
  <c r="H1855" i="2"/>
  <c r="H2086" i="2"/>
  <c r="H2317" i="2"/>
  <c r="H2548" i="2"/>
  <c r="H2779" i="2"/>
  <c r="H3010" i="2"/>
  <c r="H3241" i="2"/>
  <c r="H3472" i="2"/>
  <c r="H3703" i="2"/>
  <c r="H3934" i="2"/>
  <c r="H4165" i="2"/>
  <c r="H4396" i="2"/>
  <c r="H4627" i="2"/>
  <c r="H8" i="2"/>
  <c r="H239" i="2"/>
  <c r="H470" i="2"/>
  <c r="H701" i="2"/>
  <c r="H932" i="2"/>
  <c r="H1163" i="2"/>
  <c r="H1394" i="2"/>
  <c r="H1625" i="2"/>
  <c r="H1856" i="2"/>
  <c r="H2087" i="2"/>
  <c r="H2318" i="2"/>
  <c r="H2549" i="2"/>
  <c r="H2780" i="2"/>
  <c r="H3011" i="2"/>
  <c r="H3242" i="2"/>
  <c r="H3473" i="2"/>
  <c r="H3704" i="2"/>
  <c r="H3935" i="2"/>
  <c r="H4166" i="2"/>
  <c r="H4397" i="2"/>
  <c r="H4628" i="2"/>
  <c r="H9" i="2"/>
  <c r="H240" i="2"/>
  <c r="H471" i="2"/>
  <c r="H702" i="2"/>
  <c r="H933" i="2"/>
  <c r="H1164" i="2"/>
  <c r="H1395" i="2"/>
  <c r="H1626" i="2"/>
  <c r="H1857" i="2"/>
  <c r="H2088" i="2"/>
  <c r="H2319" i="2"/>
  <c r="H2550" i="2"/>
  <c r="H2781" i="2"/>
  <c r="H3012" i="2"/>
  <c r="H3243" i="2"/>
  <c r="H3474" i="2"/>
  <c r="H3705" i="2"/>
  <c r="H3936" i="2"/>
  <c r="H4167" i="2"/>
  <c r="H4398" i="2"/>
  <c r="H4629" i="2"/>
  <c r="H10" i="2"/>
  <c r="H241" i="2"/>
  <c r="H472" i="2"/>
  <c r="H703" i="2"/>
  <c r="H934" i="2"/>
  <c r="H1165" i="2"/>
  <c r="H1396" i="2"/>
  <c r="H1627" i="2"/>
  <c r="H1858" i="2"/>
  <c r="H2089" i="2"/>
  <c r="H2320" i="2"/>
  <c r="H2551" i="2"/>
  <c r="H2782" i="2"/>
  <c r="H3013" i="2"/>
  <c r="H3244" i="2"/>
  <c r="H3475" i="2"/>
  <c r="H3706" i="2"/>
  <c r="H3937" i="2"/>
  <c r="H4168" i="2"/>
  <c r="H4399" i="2"/>
  <c r="H4630" i="2"/>
  <c r="H11" i="2"/>
  <c r="H242" i="2"/>
  <c r="H473" i="2"/>
  <c r="H704" i="2"/>
  <c r="H935" i="2"/>
  <c r="H1166" i="2"/>
  <c r="H1397" i="2"/>
  <c r="H1628" i="2"/>
  <c r="H1859" i="2"/>
  <c r="H2090" i="2"/>
  <c r="H2321" i="2"/>
  <c r="H2552" i="2"/>
  <c r="H2783" i="2"/>
  <c r="H3014" i="2"/>
  <c r="H3245" i="2"/>
  <c r="H3476" i="2"/>
  <c r="H3707" i="2"/>
  <c r="H3938" i="2"/>
  <c r="H4169" i="2"/>
  <c r="H4400" i="2"/>
  <c r="H4631" i="2"/>
  <c r="H12" i="2"/>
  <c r="H243" i="2"/>
  <c r="H474" i="2"/>
  <c r="H705" i="2"/>
  <c r="H936" i="2"/>
  <c r="H1167" i="2"/>
  <c r="H1398" i="2"/>
  <c r="H1629" i="2"/>
  <c r="H1860" i="2"/>
  <c r="H2091" i="2"/>
  <c r="H2322" i="2"/>
  <c r="H2553" i="2"/>
  <c r="H2784" i="2"/>
  <c r="H3015" i="2"/>
  <c r="H3246" i="2"/>
  <c r="H3477" i="2"/>
  <c r="H3708" i="2"/>
  <c r="H3939" i="2"/>
  <c r="H4170" i="2"/>
  <c r="H4401" i="2"/>
  <c r="H4632" i="2"/>
  <c r="H13" i="2"/>
  <c r="H244" i="2"/>
  <c r="H475" i="2"/>
  <c r="H706" i="2"/>
  <c r="H937" i="2"/>
  <c r="H1168" i="2"/>
  <c r="H1399" i="2"/>
  <c r="H1630" i="2"/>
  <c r="H1861" i="2"/>
  <c r="H2092" i="2"/>
  <c r="H2323" i="2"/>
  <c r="H2554" i="2"/>
  <c r="H2785" i="2"/>
  <c r="H3016" i="2"/>
  <c r="H3247" i="2"/>
  <c r="H3478" i="2"/>
  <c r="H3709" i="2"/>
  <c r="H3940" i="2"/>
  <c r="H4171" i="2"/>
  <c r="H4402" i="2"/>
  <c r="H4633" i="2"/>
  <c r="H14" i="2"/>
  <c r="H245" i="2"/>
  <c r="H476" i="2"/>
  <c r="H707" i="2"/>
  <c r="H938" i="2"/>
  <c r="H1169" i="2"/>
  <c r="H1400" i="2"/>
  <c r="H1631" i="2"/>
  <c r="H1862" i="2"/>
  <c r="H2093" i="2"/>
  <c r="H2324" i="2"/>
  <c r="H2555" i="2"/>
  <c r="H2786" i="2"/>
  <c r="H3017" i="2"/>
  <c r="H3248" i="2"/>
  <c r="H3479" i="2"/>
  <c r="H3710" i="2"/>
  <c r="H3941" i="2"/>
  <c r="H4172" i="2"/>
  <c r="H4403" i="2"/>
  <c r="H4634" i="2"/>
  <c r="H15" i="2"/>
  <c r="H246" i="2"/>
  <c r="H477" i="2"/>
  <c r="H708" i="2"/>
  <c r="H939" i="2"/>
  <c r="H1170" i="2"/>
  <c r="H1401" i="2"/>
  <c r="H1632" i="2"/>
  <c r="H1863" i="2"/>
  <c r="H2094" i="2"/>
  <c r="H2325" i="2"/>
  <c r="H2556" i="2"/>
  <c r="H2787" i="2"/>
  <c r="H3018" i="2"/>
  <c r="H3249" i="2"/>
  <c r="H3480" i="2"/>
  <c r="H3711" i="2"/>
  <c r="H3942" i="2"/>
  <c r="H4173" i="2"/>
  <c r="H4404" i="2"/>
  <c r="H4635" i="2"/>
  <c r="H16" i="2"/>
  <c r="H247" i="2"/>
  <c r="H478" i="2"/>
  <c r="H709" i="2"/>
  <c r="H940" i="2"/>
  <c r="H1171" i="2"/>
  <c r="H1402" i="2"/>
  <c r="H1633" i="2"/>
  <c r="H1864" i="2"/>
  <c r="H2095" i="2"/>
  <c r="H2326" i="2"/>
  <c r="H2557" i="2"/>
  <c r="H2788" i="2"/>
  <c r="H3019" i="2"/>
  <c r="H3250" i="2"/>
  <c r="H3481" i="2"/>
  <c r="H3712" i="2"/>
  <c r="H3943" i="2"/>
  <c r="H4174" i="2"/>
  <c r="H4405" i="2"/>
  <c r="H4636" i="2"/>
  <c r="H17" i="2"/>
  <c r="H248" i="2"/>
  <c r="H479" i="2"/>
  <c r="H710" i="2"/>
  <c r="H941" i="2"/>
  <c r="H1172" i="2"/>
  <c r="H1403" i="2"/>
  <c r="H1634" i="2"/>
  <c r="H1865" i="2"/>
  <c r="H2096" i="2"/>
  <c r="H2327" i="2"/>
  <c r="H2558" i="2"/>
  <c r="H2789" i="2"/>
  <c r="H3020" i="2"/>
  <c r="H3251" i="2"/>
  <c r="H3482" i="2"/>
  <c r="H3713" i="2"/>
  <c r="H3944" i="2"/>
  <c r="H4175" i="2"/>
  <c r="H4406" i="2"/>
  <c r="H4637" i="2"/>
  <c r="H18" i="2"/>
  <c r="H249" i="2"/>
  <c r="H480" i="2"/>
  <c r="H711" i="2"/>
  <c r="H942" i="2"/>
  <c r="H1173" i="2"/>
  <c r="H1404" i="2"/>
  <c r="H1635" i="2"/>
  <c r="H1866" i="2"/>
  <c r="H2097" i="2"/>
  <c r="H2328" i="2"/>
  <c r="H2559" i="2"/>
  <c r="H2790" i="2"/>
  <c r="H3021" i="2"/>
  <c r="H3252" i="2"/>
  <c r="H3483" i="2"/>
  <c r="H3714" i="2"/>
  <c r="H3945" i="2"/>
  <c r="H4176" i="2"/>
  <c r="H4407" i="2"/>
  <c r="H4638" i="2"/>
  <c r="H19" i="2"/>
  <c r="H250" i="2"/>
  <c r="H481" i="2"/>
  <c r="H712" i="2"/>
  <c r="H943" i="2"/>
  <c r="H1174" i="2"/>
  <c r="H1405" i="2"/>
  <c r="H1636" i="2"/>
  <c r="H1867" i="2"/>
  <c r="H2098" i="2"/>
  <c r="H2329" i="2"/>
  <c r="H2560" i="2"/>
  <c r="H2791" i="2"/>
  <c r="H3022" i="2"/>
  <c r="H3253" i="2"/>
  <c r="H3484" i="2"/>
  <c r="H3715" i="2"/>
  <c r="H3946" i="2"/>
  <c r="H4177" i="2"/>
  <c r="H4408" i="2"/>
  <c r="H4639" i="2"/>
  <c r="H20" i="2"/>
  <c r="H251" i="2"/>
  <c r="H482" i="2"/>
  <c r="H713" i="2"/>
  <c r="H944" i="2"/>
  <c r="H1175" i="2"/>
  <c r="H1406" i="2"/>
  <c r="H1637" i="2"/>
  <c r="H1868" i="2"/>
  <c r="H2099" i="2"/>
  <c r="H2330" i="2"/>
  <c r="H2561" i="2"/>
  <c r="H2792" i="2"/>
  <c r="H3023" i="2"/>
  <c r="H3254" i="2"/>
  <c r="H3485" i="2"/>
  <c r="H3716" i="2"/>
  <c r="H3947" i="2"/>
  <c r="H4178" i="2"/>
  <c r="H4409" i="2"/>
  <c r="H4640" i="2"/>
  <c r="H21" i="2"/>
  <c r="H252" i="2"/>
  <c r="H483" i="2"/>
  <c r="H714" i="2"/>
  <c r="H945" i="2"/>
  <c r="H1176" i="2"/>
  <c r="H1407" i="2"/>
  <c r="H1638" i="2"/>
  <c r="H1869" i="2"/>
  <c r="H2100" i="2"/>
  <c r="H2331" i="2"/>
  <c r="H2562" i="2"/>
  <c r="H2793" i="2"/>
  <c r="H3024" i="2"/>
  <c r="H3255" i="2"/>
  <c r="H3486" i="2"/>
  <c r="H3717" i="2"/>
  <c r="H3948" i="2"/>
  <c r="H4179" i="2"/>
  <c r="H4410" i="2"/>
  <c r="H4641" i="2"/>
  <c r="H22" i="2"/>
  <c r="H253" i="2"/>
  <c r="H484" i="2"/>
  <c r="H715" i="2"/>
  <c r="H946" i="2"/>
  <c r="H1177" i="2"/>
  <c r="H1408" i="2"/>
  <c r="H1639" i="2"/>
  <c r="H1870" i="2"/>
  <c r="H2101" i="2"/>
  <c r="H2332" i="2"/>
  <c r="H2563" i="2"/>
  <c r="H2794" i="2"/>
  <c r="H3025" i="2"/>
  <c r="H3256" i="2"/>
  <c r="H3487" i="2"/>
  <c r="H3718" i="2"/>
  <c r="H3949" i="2"/>
  <c r="H4180" i="2"/>
  <c r="H4411" i="2"/>
  <c r="H4642" i="2"/>
  <c r="H23" i="2"/>
  <c r="H254" i="2"/>
  <c r="H485" i="2"/>
  <c r="H716" i="2"/>
  <c r="H947" i="2"/>
  <c r="H1178" i="2"/>
  <c r="H1409" i="2"/>
  <c r="H1640" i="2"/>
  <c r="H1871" i="2"/>
  <c r="H2102" i="2"/>
  <c r="H2333" i="2"/>
  <c r="H2564" i="2"/>
  <c r="H2795" i="2"/>
  <c r="H3026" i="2"/>
  <c r="H3257" i="2"/>
  <c r="H3488" i="2"/>
  <c r="H3719" i="2"/>
  <c r="H3950" i="2"/>
  <c r="H4181" i="2"/>
  <c r="H4412" i="2"/>
  <c r="H4643" i="2"/>
  <c r="H24" i="2"/>
  <c r="H255" i="2"/>
  <c r="H486" i="2"/>
  <c r="H717" i="2"/>
  <c r="H948" i="2"/>
  <c r="H1179" i="2"/>
  <c r="H1410" i="2"/>
  <c r="H1641" i="2"/>
  <c r="H1872" i="2"/>
  <c r="H2103" i="2"/>
  <c r="H2334" i="2"/>
  <c r="H2565" i="2"/>
  <c r="H2796" i="2"/>
  <c r="H3027" i="2"/>
  <c r="H3258" i="2"/>
  <c r="H3489" i="2"/>
  <c r="H3720" i="2"/>
  <c r="H3951" i="2"/>
  <c r="H4182" i="2"/>
  <c r="H4413" i="2"/>
  <c r="H4644" i="2"/>
  <c r="H25" i="2"/>
  <c r="H256" i="2"/>
  <c r="H487" i="2"/>
  <c r="H718" i="2"/>
  <c r="H949" i="2"/>
  <c r="H1180" i="2"/>
  <c r="H1411" i="2"/>
  <c r="H1642" i="2"/>
  <c r="H1873" i="2"/>
  <c r="H2104" i="2"/>
  <c r="H2335" i="2"/>
  <c r="H2566" i="2"/>
  <c r="H2797" i="2"/>
  <c r="H3028" i="2"/>
  <c r="H3259" i="2"/>
  <c r="H3490" i="2"/>
  <c r="H3721" i="2"/>
  <c r="H3952" i="2"/>
  <c r="H4183" i="2"/>
  <c r="H4414" i="2"/>
  <c r="H4645" i="2"/>
  <c r="H26" i="2"/>
  <c r="H257" i="2"/>
  <c r="H488" i="2"/>
  <c r="H719" i="2"/>
  <c r="H950" i="2"/>
  <c r="H1181" i="2"/>
  <c r="H1412" i="2"/>
  <c r="H1643" i="2"/>
  <c r="H1874" i="2"/>
  <c r="H2105" i="2"/>
  <c r="H2336" i="2"/>
  <c r="H2567" i="2"/>
  <c r="H2798" i="2"/>
  <c r="H3029" i="2"/>
  <c r="H3260" i="2"/>
  <c r="H3491" i="2"/>
  <c r="H3722" i="2"/>
  <c r="H3953" i="2"/>
  <c r="H4184" i="2"/>
  <c r="H4415" i="2"/>
  <c r="H4646" i="2"/>
  <c r="H27" i="2"/>
  <c r="H258" i="2"/>
  <c r="H489" i="2"/>
  <c r="H720" i="2"/>
  <c r="H951" i="2"/>
  <c r="H1182" i="2"/>
  <c r="H1413" i="2"/>
  <c r="H1644" i="2"/>
  <c r="H1875" i="2"/>
  <c r="H2106" i="2"/>
  <c r="H2337" i="2"/>
  <c r="H2568" i="2"/>
  <c r="H2799" i="2"/>
  <c r="H3030" i="2"/>
  <c r="H3261" i="2"/>
  <c r="H3492" i="2"/>
  <c r="H3723" i="2"/>
  <c r="H3954" i="2"/>
  <c r="H4185" i="2"/>
  <c r="H4416" i="2"/>
  <c r="H4647" i="2"/>
  <c r="H28" i="2"/>
  <c r="H259" i="2"/>
  <c r="H490" i="2"/>
  <c r="H721" i="2"/>
  <c r="H952" i="2"/>
  <c r="H1183" i="2"/>
  <c r="H1414" i="2"/>
  <c r="H1645" i="2"/>
  <c r="H1876" i="2"/>
  <c r="H2107" i="2"/>
  <c r="H2338" i="2"/>
  <c r="H2569" i="2"/>
  <c r="H2800" i="2"/>
  <c r="H3031" i="2"/>
  <c r="H3262" i="2"/>
  <c r="H3493" i="2"/>
  <c r="H3724" i="2"/>
  <c r="H3955" i="2"/>
  <c r="H4186" i="2"/>
  <c r="H4417" i="2"/>
  <c r="H4648" i="2"/>
  <c r="H29" i="2"/>
  <c r="H260" i="2"/>
  <c r="H491" i="2"/>
  <c r="H722" i="2"/>
  <c r="H953" i="2"/>
  <c r="H1184" i="2"/>
  <c r="H1415" i="2"/>
  <c r="H1646" i="2"/>
  <c r="H1877" i="2"/>
  <c r="H2108" i="2"/>
  <c r="H2339" i="2"/>
  <c r="H2570" i="2"/>
  <c r="H2801" i="2"/>
  <c r="H3032" i="2"/>
  <c r="H3263" i="2"/>
  <c r="H3494" i="2"/>
  <c r="H3725" i="2"/>
  <c r="H3956" i="2"/>
  <c r="H4187" i="2"/>
  <c r="H4418" i="2"/>
  <c r="H4649" i="2"/>
  <c r="H30" i="2"/>
  <c r="H261" i="2"/>
  <c r="H492" i="2"/>
  <c r="H723" i="2"/>
  <c r="H954" i="2"/>
  <c r="H1185" i="2"/>
  <c r="H1416" i="2"/>
  <c r="H1647" i="2"/>
  <c r="H1878" i="2"/>
  <c r="H2109" i="2"/>
  <c r="H2340" i="2"/>
  <c r="H2571" i="2"/>
  <c r="H2802" i="2"/>
  <c r="H3033" i="2"/>
  <c r="H3264" i="2"/>
  <c r="H3495" i="2"/>
  <c r="H3726" i="2"/>
  <c r="H3957" i="2"/>
  <c r="H4188" i="2"/>
  <c r="H4419" i="2"/>
  <c r="H4650" i="2"/>
  <c r="H31" i="2"/>
  <c r="H262" i="2"/>
  <c r="H493" i="2"/>
  <c r="H724" i="2"/>
  <c r="H955" i="2"/>
  <c r="H1186" i="2"/>
  <c r="H1417" i="2"/>
  <c r="H1648" i="2"/>
  <c r="H1879" i="2"/>
  <c r="H2110" i="2"/>
  <c r="H2341" i="2"/>
  <c r="H2572" i="2"/>
  <c r="H2803" i="2"/>
  <c r="H3034" i="2"/>
  <c r="H3265" i="2"/>
  <c r="H3496" i="2"/>
  <c r="H3727" i="2"/>
  <c r="H3958" i="2"/>
  <c r="H4189" i="2"/>
  <c r="H4420" i="2"/>
  <c r="H4651" i="2"/>
  <c r="H32" i="2"/>
  <c r="H263" i="2"/>
  <c r="H494" i="2"/>
  <c r="H725" i="2"/>
  <c r="H956" i="2"/>
  <c r="H1187" i="2"/>
  <c r="H1418" i="2"/>
  <c r="H1649" i="2"/>
  <c r="H1880" i="2"/>
  <c r="H2111" i="2"/>
  <c r="H2342" i="2"/>
  <c r="H2573" i="2"/>
  <c r="H2804" i="2"/>
  <c r="H3035" i="2"/>
  <c r="H3266" i="2"/>
  <c r="H3497" i="2"/>
  <c r="H3728" i="2"/>
  <c r="H3959" i="2"/>
  <c r="H4190" i="2"/>
  <c r="H4421" i="2"/>
  <c r="H4652" i="2"/>
  <c r="H33" i="2"/>
  <c r="H264" i="2"/>
  <c r="H495" i="2"/>
  <c r="H726" i="2"/>
  <c r="H957" i="2"/>
  <c r="H1188" i="2"/>
  <c r="H1419" i="2"/>
  <c r="H1650" i="2"/>
  <c r="H1881" i="2"/>
  <c r="H2112" i="2"/>
  <c r="H2343" i="2"/>
  <c r="H2574" i="2"/>
  <c r="H2805" i="2"/>
  <c r="H3036" i="2"/>
  <c r="H3267" i="2"/>
  <c r="H3498" i="2"/>
  <c r="H3729" i="2"/>
  <c r="H3960" i="2"/>
  <c r="H4191" i="2"/>
  <c r="H4422" i="2"/>
  <c r="H4653" i="2"/>
  <c r="H34" i="2"/>
  <c r="H265" i="2"/>
  <c r="H496" i="2"/>
  <c r="H727" i="2"/>
  <c r="H958" i="2"/>
  <c r="H1189" i="2"/>
  <c r="H1420" i="2"/>
  <c r="H1651" i="2"/>
  <c r="H1882" i="2"/>
  <c r="H2113" i="2"/>
  <c r="H2344" i="2"/>
  <c r="H2575" i="2"/>
  <c r="H2806" i="2"/>
  <c r="H3037" i="2"/>
  <c r="H3268" i="2"/>
  <c r="H3499" i="2"/>
  <c r="H3730" i="2"/>
  <c r="H3961" i="2"/>
  <c r="H4192" i="2"/>
  <c r="H4423" i="2"/>
  <c r="H4654" i="2"/>
  <c r="H35" i="2"/>
  <c r="H266" i="2"/>
  <c r="H497" i="2"/>
  <c r="H728" i="2"/>
  <c r="H959" i="2"/>
  <c r="H1190" i="2"/>
  <c r="H1421" i="2"/>
  <c r="H1652" i="2"/>
  <c r="H1883" i="2"/>
  <c r="H2114" i="2"/>
  <c r="H2345" i="2"/>
  <c r="H2576" i="2"/>
  <c r="H2807" i="2"/>
  <c r="H3038" i="2"/>
  <c r="H3269" i="2"/>
  <c r="H3500" i="2"/>
  <c r="H3731" i="2"/>
  <c r="H3962" i="2"/>
  <c r="H4193" i="2"/>
  <c r="H4424" i="2"/>
  <c r="H4655" i="2"/>
  <c r="H36" i="2"/>
  <c r="H267" i="2"/>
  <c r="H498" i="2"/>
  <c r="H729" i="2"/>
  <c r="H960" i="2"/>
  <c r="H1191" i="2"/>
  <c r="H1422" i="2"/>
  <c r="H1653" i="2"/>
  <c r="H1884" i="2"/>
  <c r="H2115" i="2"/>
  <c r="H2346" i="2"/>
  <c r="H2577" i="2"/>
  <c r="H2808" i="2"/>
  <c r="H3039" i="2"/>
  <c r="H3270" i="2"/>
  <c r="H3501" i="2"/>
  <c r="H3732" i="2"/>
  <c r="H3963" i="2"/>
  <c r="H4194" i="2"/>
  <c r="H4425" i="2"/>
  <c r="H4656" i="2"/>
  <c r="H37" i="2"/>
  <c r="H268" i="2"/>
  <c r="H499" i="2"/>
  <c r="H730" i="2"/>
  <c r="H961" i="2"/>
  <c r="H1192" i="2"/>
  <c r="H1423" i="2"/>
  <c r="H1654" i="2"/>
  <c r="H1885" i="2"/>
  <c r="H2116" i="2"/>
  <c r="H2347" i="2"/>
  <c r="H2578" i="2"/>
  <c r="H2809" i="2"/>
  <c r="H3040" i="2"/>
  <c r="H3271" i="2"/>
  <c r="H3502" i="2"/>
  <c r="H3733" i="2"/>
  <c r="H3964" i="2"/>
  <c r="H4195" i="2"/>
  <c r="H4426" i="2"/>
  <c r="H4657" i="2"/>
  <c r="H38" i="2"/>
  <c r="H269" i="2"/>
  <c r="H500" i="2"/>
  <c r="H731" i="2"/>
  <c r="H962" i="2"/>
  <c r="H1193" i="2"/>
  <c r="H1424" i="2"/>
  <c r="H1655" i="2"/>
  <c r="H1886" i="2"/>
  <c r="H2117" i="2"/>
  <c r="H2348" i="2"/>
  <c r="H2579" i="2"/>
  <c r="H2810" i="2"/>
  <c r="H3041" i="2"/>
  <c r="H3272" i="2"/>
  <c r="H3503" i="2"/>
  <c r="H3734" i="2"/>
  <c r="H3965" i="2"/>
  <c r="H4196" i="2"/>
  <c r="H4427" i="2"/>
  <c r="H4658" i="2"/>
  <c r="H39" i="2"/>
  <c r="H270" i="2"/>
  <c r="H501" i="2"/>
  <c r="H732" i="2"/>
  <c r="H963" i="2"/>
  <c r="H1194" i="2"/>
  <c r="H1425" i="2"/>
  <c r="H1656" i="2"/>
  <c r="H1887" i="2"/>
  <c r="H2118" i="2"/>
  <c r="H2349" i="2"/>
  <c r="H2580" i="2"/>
  <c r="H2811" i="2"/>
  <c r="H3042" i="2"/>
  <c r="H3273" i="2"/>
  <c r="H3504" i="2"/>
  <c r="H3735" i="2"/>
  <c r="H3966" i="2"/>
  <c r="H4197" i="2"/>
  <c r="H4428" i="2"/>
  <c r="H4659" i="2"/>
  <c r="H40" i="2"/>
  <c r="H271" i="2"/>
  <c r="H502" i="2"/>
  <c r="H733" i="2"/>
  <c r="H964" i="2"/>
  <c r="H1195" i="2"/>
  <c r="H1426" i="2"/>
  <c r="H1657" i="2"/>
  <c r="H1888" i="2"/>
  <c r="H2119" i="2"/>
  <c r="H2350" i="2"/>
  <c r="H2581" i="2"/>
  <c r="H2812" i="2"/>
  <c r="H3043" i="2"/>
  <c r="H3274" i="2"/>
  <c r="H3505" i="2"/>
  <c r="H3736" i="2"/>
  <c r="H3967" i="2"/>
  <c r="H4198" i="2"/>
  <c r="H4429" i="2"/>
  <c r="H4660" i="2"/>
  <c r="H41" i="2"/>
  <c r="H272" i="2"/>
  <c r="H503" i="2"/>
  <c r="H734" i="2"/>
  <c r="H965" i="2"/>
  <c r="H1196" i="2"/>
  <c r="H1427" i="2"/>
  <c r="H1658" i="2"/>
  <c r="H1889" i="2"/>
  <c r="H2120" i="2"/>
  <c r="H2351" i="2"/>
  <c r="H2582" i="2"/>
  <c r="H2813" i="2"/>
  <c r="H3044" i="2"/>
  <c r="H3275" i="2"/>
  <c r="H3506" i="2"/>
  <c r="H3737" i="2"/>
  <c r="H3968" i="2"/>
  <c r="H4199" i="2"/>
  <c r="H4430" i="2"/>
  <c r="H4661" i="2"/>
  <c r="H42" i="2"/>
  <c r="H273" i="2"/>
  <c r="H504" i="2"/>
  <c r="H735" i="2"/>
  <c r="H966" i="2"/>
  <c r="H1197" i="2"/>
  <c r="H1428" i="2"/>
  <c r="H1659" i="2"/>
  <c r="H1890" i="2"/>
  <c r="H2121" i="2"/>
  <c r="H2352" i="2"/>
  <c r="H2583" i="2"/>
  <c r="H2814" i="2"/>
  <c r="H3045" i="2"/>
  <c r="H3276" i="2"/>
  <c r="H3507" i="2"/>
  <c r="H3738" i="2"/>
  <c r="H3969" i="2"/>
  <c r="H4200" i="2"/>
  <c r="H4431" i="2"/>
  <c r="H4662" i="2"/>
  <c r="H43" i="2"/>
  <c r="H274" i="2"/>
  <c r="H505" i="2"/>
  <c r="H736" i="2"/>
  <c r="H967" i="2"/>
  <c r="H1198" i="2"/>
  <c r="H1429" i="2"/>
  <c r="H1660" i="2"/>
  <c r="H1891" i="2"/>
  <c r="H2122" i="2"/>
  <c r="H2353" i="2"/>
  <c r="H2584" i="2"/>
  <c r="H2815" i="2"/>
  <c r="H3046" i="2"/>
  <c r="H3277" i="2"/>
  <c r="H3508" i="2"/>
  <c r="H3739" i="2"/>
  <c r="H3970" i="2"/>
  <c r="H4201" i="2"/>
  <c r="H4432" i="2"/>
  <c r="H4663" i="2"/>
  <c r="H44" i="2"/>
  <c r="H275" i="2"/>
  <c r="H506" i="2"/>
  <c r="H737" i="2"/>
  <c r="H968" i="2"/>
  <c r="H1199" i="2"/>
  <c r="H1430" i="2"/>
  <c r="H1661" i="2"/>
  <c r="H1892" i="2"/>
  <c r="H2123" i="2"/>
  <c r="H2354" i="2"/>
  <c r="H2585" i="2"/>
  <c r="H2816" i="2"/>
  <c r="H3047" i="2"/>
  <c r="H3278" i="2"/>
  <c r="H3509" i="2"/>
  <c r="H3740" i="2"/>
  <c r="H3971" i="2"/>
  <c r="H4202" i="2"/>
  <c r="H4433" i="2"/>
  <c r="H4664" i="2"/>
  <c r="H45" i="2"/>
  <c r="H276" i="2"/>
  <c r="H507" i="2"/>
  <c r="H738" i="2"/>
  <c r="H969" i="2"/>
  <c r="H1200" i="2"/>
  <c r="H1431" i="2"/>
  <c r="H1662" i="2"/>
  <c r="H1893" i="2"/>
  <c r="H2124" i="2"/>
  <c r="H2355" i="2"/>
  <c r="H2586" i="2"/>
  <c r="H2817" i="2"/>
  <c r="H3048" i="2"/>
  <c r="H3279" i="2"/>
  <c r="H3510" i="2"/>
  <c r="H3741" i="2"/>
  <c r="H3972" i="2"/>
  <c r="H4203" i="2"/>
  <c r="H4434" i="2"/>
  <c r="H4665" i="2"/>
  <c r="H46" i="2"/>
  <c r="H277" i="2"/>
  <c r="H508" i="2"/>
  <c r="H739" i="2"/>
  <c r="H970" i="2"/>
  <c r="H1201" i="2"/>
  <c r="H1432" i="2"/>
  <c r="H1663" i="2"/>
  <c r="H1894" i="2"/>
  <c r="H2125" i="2"/>
  <c r="H2356" i="2"/>
  <c r="H2587" i="2"/>
  <c r="H2818" i="2"/>
  <c r="H3049" i="2"/>
  <c r="H3280" i="2"/>
  <c r="H3511" i="2"/>
  <c r="H3742" i="2"/>
  <c r="H3973" i="2"/>
  <c r="H4204" i="2"/>
  <c r="H4435" i="2"/>
  <c r="H4666" i="2"/>
  <c r="H47" i="2"/>
  <c r="H278" i="2"/>
  <c r="H509" i="2"/>
  <c r="H740" i="2"/>
  <c r="H971" i="2"/>
  <c r="H1202" i="2"/>
  <c r="H1433" i="2"/>
  <c r="H1664" i="2"/>
  <c r="H1895" i="2"/>
  <c r="H2126" i="2"/>
  <c r="H2357" i="2"/>
  <c r="H2588" i="2"/>
  <c r="H2819" i="2"/>
  <c r="H3050" i="2"/>
  <c r="H3281" i="2"/>
  <c r="H3512" i="2"/>
  <c r="H3743" i="2"/>
  <c r="H3974" i="2"/>
  <c r="H4205" i="2"/>
  <c r="H4436" i="2"/>
  <c r="H4667" i="2"/>
  <c r="H48" i="2"/>
  <c r="H279" i="2"/>
  <c r="H510" i="2"/>
  <c r="H741" i="2"/>
  <c r="H972" i="2"/>
  <c r="H1203" i="2"/>
  <c r="H1434" i="2"/>
  <c r="H1665" i="2"/>
  <c r="H1896" i="2"/>
  <c r="H2127" i="2"/>
  <c r="H2358" i="2"/>
  <c r="H2589" i="2"/>
  <c r="H2820" i="2"/>
  <c r="H3051" i="2"/>
  <c r="H3282" i="2"/>
  <c r="H3513" i="2"/>
  <c r="H3744" i="2"/>
  <c r="H3975" i="2"/>
  <c r="H4206" i="2"/>
  <c r="H4437" i="2"/>
  <c r="H4668" i="2"/>
  <c r="H49" i="2"/>
  <c r="H280" i="2"/>
  <c r="H511" i="2"/>
  <c r="H742" i="2"/>
  <c r="H973" i="2"/>
  <c r="H1204" i="2"/>
  <c r="H1435" i="2"/>
  <c r="H1666" i="2"/>
  <c r="H1897" i="2"/>
  <c r="H2128" i="2"/>
  <c r="H2359" i="2"/>
  <c r="H2590" i="2"/>
  <c r="H2821" i="2"/>
  <c r="H3052" i="2"/>
  <c r="H3283" i="2"/>
  <c r="H3514" i="2"/>
  <c r="H3745" i="2"/>
  <c r="H3976" i="2"/>
  <c r="H4207" i="2"/>
  <c r="H4438" i="2"/>
  <c r="H4669" i="2"/>
  <c r="H50" i="2"/>
  <c r="H281" i="2"/>
  <c r="H512" i="2"/>
  <c r="H743" i="2"/>
  <c r="H974" i="2"/>
  <c r="H1205" i="2"/>
  <c r="H1436" i="2"/>
  <c r="H1667" i="2"/>
  <c r="H1898" i="2"/>
  <c r="H2129" i="2"/>
  <c r="H2360" i="2"/>
  <c r="H2591" i="2"/>
  <c r="H2822" i="2"/>
  <c r="H3053" i="2"/>
  <c r="H3284" i="2"/>
  <c r="H3515" i="2"/>
  <c r="H3746" i="2"/>
  <c r="H3977" i="2"/>
  <c r="H4208" i="2"/>
  <c r="H4439" i="2"/>
  <c r="H4670" i="2"/>
  <c r="H51" i="2"/>
  <c r="H282" i="2"/>
  <c r="H513" i="2"/>
  <c r="H744" i="2"/>
  <c r="H975" i="2"/>
  <c r="H1206" i="2"/>
  <c r="H1437" i="2"/>
  <c r="H1668" i="2"/>
  <c r="H1899" i="2"/>
  <c r="H2130" i="2"/>
  <c r="H2361" i="2"/>
  <c r="H2592" i="2"/>
  <c r="H2823" i="2"/>
  <c r="H3054" i="2"/>
  <c r="H3285" i="2"/>
  <c r="H3516" i="2"/>
  <c r="H3747" i="2"/>
  <c r="H3978" i="2"/>
  <c r="H4209" i="2"/>
  <c r="H4440" i="2"/>
  <c r="H4671" i="2"/>
  <c r="H52" i="2"/>
  <c r="H283" i="2"/>
  <c r="H514" i="2"/>
  <c r="H745" i="2"/>
  <c r="H976" i="2"/>
  <c r="H1207" i="2"/>
  <c r="H1438" i="2"/>
  <c r="H1669" i="2"/>
  <c r="H1900" i="2"/>
  <c r="H2131" i="2"/>
  <c r="H2362" i="2"/>
  <c r="H2593" i="2"/>
  <c r="H2824" i="2"/>
  <c r="H3055" i="2"/>
  <c r="H3286" i="2"/>
  <c r="H3517" i="2"/>
  <c r="H3748" i="2"/>
  <c r="H3979" i="2"/>
  <c r="H4210" i="2"/>
  <c r="H4441" i="2"/>
  <c r="H4672" i="2"/>
  <c r="H53" i="2"/>
  <c r="H284" i="2"/>
  <c r="H515" i="2"/>
  <c r="H746" i="2"/>
  <c r="H977" i="2"/>
  <c r="H1208" i="2"/>
  <c r="H1439" i="2"/>
  <c r="H1670" i="2"/>
  <c r="H1901" i="2"/>
  <c r="H2132" i="2"/>
  <c r="H2363" i="2"/>
  <c r="H2594" i="2"/>
  <c r="H2825" i="2"/>
  <c r="H3056" i="2"/>
  <c r="H3287" i="2"/>
  <c r="H3518" i="2"/>
  <c r="H3749" i="2"/>
  <c r="H3980" i="2"/>
  <c r="H4211" i="2"/>
  <c r="H4442" i="2"/>
  <c r="H4673" i="2"/>
  <c r="H54" i="2"/>
  <c r="H285" i="2"/>
  <c r="H516" i="2"/>
  <c r="H747" i="2"/>
  <c r="H978" i="2"/>
  <c r="H1209" i="2"/>
  <c r="H1440" i="2"/>
  <c r="H1671" i="2"/>
  <c r="H1902" i="2"/>
  <c r="H2133" i="2"/>
  <c r="H2364" i="2"/>
  <c r="H2595" i="2"/>
  <c r="H2826" i="2"/>
  <c r="H3057" i="2"/>
  <c r="H3288" i="2"/>
  <c r="H3519" i="2"/>
  <c r="H3750" i="2"/>
  <c r="H3981" i="2"/>
  <c r="H4212" i="2"/>
  <c r="H4443" i="2"/>
  <c r="H4674" i="2"/>
  <c r="H55" i="2"/>
  <c r="H286" i="2"/>
  <c r="H517" i="2"/>
  <c r="H748" i="2"/>
  <c r="H979" i="2"/>
  <c r="H1210" i="2"/>
  <c r="H1441" i="2"/>
  <c r="H1672" i="2"/>
  <c r="H1903" i="2"/>
  <c r="H2134" i="2"/>
  <c r="H2365" i="2"/>
  <c r="H2596" i="2"/>
  <c r="H2827" i="2"/>
  <c r="H3058" i="2"/>
  <c r="H3289" i="2"/>
  <c r="H3520" i="2"/>
  <c r="H3751" i="2"/>
  <c r="H3982" i="2"/>
  <c r="H4213" i="2"/>
  <c r="H4444" i="2"/>
  <c r="H4675" i="2"/>
  <c r="H56" i="2"/>
  <c r="H287" i="2"/>
  <c r="H518" i="2"/>
  <c r="H749" i="2"/>
  <c r="H980" i="2"/>
  <c r="H1211" i="2"/>
  <c r="H1442" i="2"/>
  <c r="H1673" i="2"/>
  <c r="H1904" i="2"/>
  <c r="H2135" i="2"/>
  <c r="H2366" i="2"/>
  <c r="H2597" i="2"/>
  <c r="H2828" i="2"/>
  <c r="H3059" i="2"/>
  <c r="H3290" i="2"/>
  <c r="H3521" i="2"/>
  <c r="H3752" i="2"/>
  <c r="H3983" i="2"/>
  <c r="H4214" i="2"/>
  <c r="H4445" i="2"/>
  <c r="H4676" i="2"/>
  <c r="H57" i="2"/>
  <c r="H288" i="2"/>
  <c r="H519" i="2"/>
  <c r="H750" i="2"/>
  <c r="H981" i="2"/>
  <c r="H1212" i="2"/>
  <c r="H1443" i="2"/>
  <c r="H1674" i="2"/>
  <c r="H1905" i="2"/>
  <c r="H2136" i="2"/>
  <c r="H2367" i="2"/>
  <c r="H2598" i="2"/>
  <c r="H2829" i="2"/>
  <c r="H3060" i="2"/>
  <c r="H3291" i="2"/>
  <c r="H3522" i="2"/>
  <c r="H3753" i="2"/>
  <c r="H3984" i="2"/>
  <c r="H4215" i="2"/>
  <c r="H4446" i="2"/>
  <c r="H4677" i="2"/>
  <c r="H58" i="2"/>
  <c r="H289" i="2"/>
  <c r="H520" i="2"/>
  <c r="H751" i="2"/>
  <c r="H982" i="2"/>
  <c r="H1213" i="2"/>
  <c r="H1444" i="2"/>
  <c r="H1675" i="2"/>
  <c r="H1906" i="2"/>
  <c r="H2137" i="2"/>
  <c r="H2368" i="2"/>
  <c r="H2599" i="2"/>
  <c r="H2830" i="2"/>
  <c r="H3061" i="2"/>
  <c r="H3292" i="2"/>
  <c r="H3523" i="2"/>
  <c r="H3754" i="2"/>
  <c r="H3985" i="2"/>
  <c r="H4216" i="2"/>
  <c r="H4447" i="2"/>
  <c r="H4678" i="2"/>
  <c r="H59" i="2"/>
  <c r="H290" i="2"/>
  <c r="H521" i="2"/>
  <c r="H752" i="2"/>
  <c r="H983" i="2"/>
  <c r="H1214" i="2"/>
  <c r="H1445" i="2"/>
  <c r="H1676" i="2"/>
  <c r="H1907" i="2"/>
  <c r="H2138" i="2"/>
  <c r="H2369" i="2"/>
  <c r="H2600" i="2"/>
  <c r="H2831" i="2"/>
  <c r="H3062" i="2"/>
  <c r="H3293" i="2"/>
  <c r="H3524" i="2"/>
  <c r="H3755" i="2"/>
  <c r="H3986" i="2"/>
  <c r="H4217" i="2"/>
  <c r="H4448" i="2"/>
  <c r="H4679" i="2"/>
  <c r="H60" i="2"/>
  <c r="H291" i="2"/>
  <c r="H522" i="2"/>
  <c r="H753" i="2"/>
  <c r="H984" i="2"/>
  <c r="H1215" i="2"/>
  <c r="H1446" i="2"/>
  <c r="H1677" i="2"/>
  <c r="H1908" i="2"/>
  <c r="H2139" i="2"/>
  <c r="H2370" i="2"/>
  <c r="H2601" i="2"/>
  <c r="H2832" i="2"/>
  <c r="H3063" i="2"/>
  <c r="H3294" i="2"/>
  <c r="H3525" i="2"/>
  <c r="H3756" i="2"/>
  <c r="H3987" i="2"/>
  <c r="H4218" i="2"/>
  <c r="H4449" i="2"/>
  <c r="H4680" i="2"/>
  <c r="H61" i="2"/>
  <c r="H292" i="2"/>
  <c r="H523" i="2"/>
  <c r="H754" i="2"/>
  <c r="H985" i="2"/>
  <c r="H1216" i="2"/>
  <c r="H1447" i="2"/>
  <c r="H1678" i="2"/>
  <c r="H1909" i="2"/>
  <c r="H2140" i="2"/>
  <c r="H2371" i="2"/>
  <c r="H2602" i="2"/>
  <c r="H2833" i="2"/>
  <c r="H3064" i="2"/>
  <c r="H3295" i="2"/>
  <c r="H3526" i="2"/>
  <c r="H3757" i="2"/>
  <c r="H3988" i="2"/>
  <c r="H4219" i="2"/>
  <c r="H4450" i="2"/>
  <c r="H4681" i="2"/>
  <c r="H62" i="2"/>
  <c r="H293" i="2"/>
  <c r="H524" i="2"/>
  <c r="H755" i="2"/>
  <c r="H986" i="2"/>
  <c r="H1217" i="2"/>
  <c r="H1448" i="2"/>
  <c r="H1679" i="2"/>
  <c r="H1910" i="2"/>
  <c r="H2141" i="2"/>
  <c r="H2372" i="2"/>
  <c r="H2603" i="2"/>
  <c r="H2834" i="2"/>
  <c r="H3065" i="2"/>
  <c r="H3296" i="2"/>
  <c r="H3527" i="2"/>
  <c r="H3758" i="2"/>
  <c r="H3989" i="2"/>
  <c r="H4220" i="2"/>
  <c r="H4451" i="2"/>
  <c r="H4682" i="2"/>
  <c r="H63" i="2"/>
  <c r="H294" i="2"/>
  <c r="H525" i="2"/>
  <c r="H756" i="2"/>
  <c r="H987" i="2"/>
  <c r="H1218" i="2"/>
  <c r="H1449" i="2"/>
  <c r="H1680" i="2"/>
  <c r="H1911" i="2"/>
  <c r="H2142" i="2"/>
  <c r="H2373" i="2"/>
  <c r="H2604" i="2"/>
  <c r="H2835" i="2"/>
  <c r="H3066" i="2"/>
  <c r="H3297" i="2"/>
  <c r="H3528" i="2"/>
  <c r="H3759" i="2"/>
  <c r="H3990" i="2"/>
  <c r="H4221" i="2"/>
  <c r="H4452" i="2"/>
  <c r="H4683" i="2"/>
  <c r="H64" i="2"/>
  <c r="H295" i="2"/>
  <c r="H526" i="2"/>
  <c r="H757" i="2"/>
  <c r="H988" i="2"/>
  <c r="H1219" i="2"/>
  <c r="H1450" i="2"/>
  <c r="H1681" i="2"/>
  <c r="H1912" i="2"/>
  <c r="H2143" i="2"/>
  <c r="H2374" i="2"/>
  <c r="H2605" i="2"/>
  <c r="H2836" i="2"/>
  <c r="H3067" i="2"/>
  <c r="H3298" i="2"/>
  <c r="H3529" i="2"/>
  <c r="H3760" i="2"/>
  <c r="H3991" i="2"/>
  <c r="H4222" i="2"/>
  <c r="H4453" i="2"/>
  <c r="H4684" i="2"/>
  <c r="H65" i="2"/>
  <c r="H296" i="2"/>
  <c r="H527" i="2"/>
  <c r="H758" i="2"/>
  <c r="H989" i="2"/>
  <c r="H1220" i="2"/>
  <c r="H1451" i="2"/>
  <c r="H1682" i="2"/>
  <c r="H1913" i="2"/>
  <c r="H2144" i="2"/>
  <c r="H2375" i="2"/>
  <c r="H2606" i="2"/>
  <c r="H2837" i="2"/>
  <c r="H3068" i="2"/>
  <c r="H3299" i="2"/>
  <c r="H3530" i="2"/>
  <c r="H3761" i="2"/>
  <c r="H3992" i="2"/>
  <c r="H4223" i="2"/>
  <c r="H4454" i="2"/>
  <c r="H4685" i="2"/>
  <c r="H66" i="2"/>
  <c r="H297" i="2"/>
  <c r="H528" i="2"/>
  <c r="H759" i="2"/>
  <c r="H990" i="2"/>
  <c r="H1221" i="2"/>
  <c r="H1452" i="2"/>
  <c r="H1683" i="2"/>
  <c r="H1914" i="2"/>
  <c r="H2145" i="2"/>
  <c r="H2376" i="2"/>
  <c r="H2607" i="2"/>
  <c r="H2838" i="2"/>
  <c r="H3069" i="2"/>
  <c r="H3300" i="2"/>
  <c r="H3531" i="2"/>
  <c r="H3762" i="2"/>
  <c r="H3993" i="2"/>
  <c r="H4224" i="2"/>
  <c r="H4455" i="2"/>
  <c r="H4686" i="2"/>
  <c r="H67" i="2"/>
  <c r="H298" i="2"/>
  <c r="H529" i="2"/>
  <c r="H760" i="2"/>
  <c r="H991" i="2"/>
  <c r="H1222" i="2"/>
  <c r="H1453" i="2"/>
  <c r="H1684" i="2"/>
  <c r="H1915" i="2"/>
  <c r="H2146" i="2"/>
  <c r="H2377" i="2"/>
  <c r="H2608" i="2"/>
  <c r="H2839" i="2"/>
  <c r="H3070" i="2"/>
  <c r="H3301" i="2"/>
  <c r="H3532" i="2"/>
  <c r="H3763" i="2"/>
  <c r="H3994" i="2"/>
  <c r="H4225" i="2"/>
  <c r="H4456" i="2"/>
  <c r="H4687" i="2"/>
  <c r="H68" i="2"/>
  <c r="H299" i="2"/>
  <c r="H530" i="2"/>
  <c r="H761" i="2"/>
  <c r="H992" i="2"/>
  <c r="H1223" i="2"/>
  <c r="H1454" i="2"/>
  <c r="H1685" i="2"/>
  <c r="H1916" i="2"/>
  <c r="H2147" i="2"/>
  <c r="H2378" i="2"/>
  <c r="H2609" i="2"/>
  <c r="H2840" i="2"/>
  <c r="H3071" i="2"/>
  <c r="H3302" i="2"/>
  <c r="H3533" i="2"/>
  <c r="H3764" i="2"/>
  <c r="H3995" i="2"/>
  <c r="H4226" i="2"/>
  <c r="H4457" i="2"/>
  <c r="H4688" i="2"/>
  <c r="H69" i="2"/>
  <c r="H300" i="2"/>
  <c r="H531" i="2"/>
  <c r="H762" i="2"/>
  <c r="H993" i="2"/>
  <c r="H1224" i="2"/>
  <c r="H1455" i="2"/>
  <c r="H1686" i="2"/>
  <c r="H1917" i="2"/>
  <c r="H2148" i="2"/>
  <c r="H2379" i="2"/>
  <c r="H2610" i="2"/>
  <c r="H2841" i="2"/>
  <c r="H3072" i="2"/>
  <c r="H3303" i="2"/>
  <c r="H3534" i="2"/>
  <c r="H3765" i="2"/>
  <c r="H3996" i="2"/>
  <c r="H4227" i="2"/>
  <c r="H4458" i="2"/>
  <c r="H4689" i="2"/>
  <c r="H70" i="2"/>
  <c r="H301" i="2"/>
  <c r="H532" i="2"/>
  <c r="H763" i="2"/>
  <c r="H994" i="2"/>
  <c r="H1225" i="2"/>
  <c r="H1456" i="2"/>
  <c r="H1687" i="2"/>
  <c r="H1918" i="2"/>
  <c r="H2149" i="2"/>
  <c r="H2380" i="2"/>
  <c r="H2611" i="2"/>
  <c r="H2842" i="2"/>
  <c r="H3073" i="2"/>
  <c r="H3304" i="2"/>
  <c r="H3535" i="2"/>
  <c r="H3766" i="2"/>
  <c r="H3997" i="2"/>
  <c r="H4228" i="2"/>
  <c r="H4459" i="2"/>
  <c r="H4690" i="2"/>
  <c r="H71" i="2"/>
  <c r="H302" i="2"/>
  <c r="H533" i="2"/>
  <c r="H764" i="2"/>
  <c r="H995" i="2"/>
  <c r="H1226" i="2"/>
  <c r="H1457" i="2"/>
  <c r="H1688" i="2"/>
  <c r="H1919" i="2"/>
  <c r="H2150" i="2"/>
  <c r="H2381" i="2"/>
  <c r="H2612" i="2"/>
  <c r="H2843" i="2"/>
  <c r="H3074" i="2"/>
  <c r="H3305" i="2"/>
  <c r="H3536" i="2"/>
  <c r="H3767" i="2"/>
  <c r="H3998" i="2"/>
  <c r="H4229" i="2"/>
  <c r="H4460" i="2"/>
  <c r="H4691" i="2"/>
  <c r="H72" i="2"/>
  <c r="H303" i="2"/>
  <c r="H534" i="2"/>
  <c r="H765" i="2"/>
  <c r="H996" i="2"/>
  <c r="H1227" i="2"/>
  <c r="H1458" i="2"/>
  <c r="H1689" i="2"/>
  <c r="H1920" i="2"/>
  <c r="H2151" i="2"/>
  <c r="H2382" i="2"/>
  <c r="H2613" i="2"/>
  <c r="H2844" i="2"/>
  <c r="H3075" i="2"/>
  <c r="H3306" i="2"/>
  <c r="H3537" i="2"/>
  <c r="H3768" i="2"/>
  <c r="H3999" i="2"/>
  <c r="H4230" i="2"/>
  <c r="H4461" i="2"/>
  <c r="H4692" i="2"/>
  <c r="H73" i="2"/>
  <c r="H304" i="2"/>
  <c r="H535" i="2"/>
  <c r="H766" i="2"/>
  <c r="H997" i="2"/>
  <c r="H1228" i="2"/>
  <c r="H1459" i="2"/>
  <c r="H1690" i="2"/>
  <c r="H1921" i="2"/>
  <c r="H2152" i="2"/>
  <c r="H2383" i="2"/>
  <c r="H2614" i="2"/>
  <c r="H2845" i="2"/>
  <c r="H3076" i="2"/>
  <c r="H3307" i="2"/>
  <c r="H3538" i="2"/>
  <c r="H3769" i="2"/>
  <c r="H4000" i="2"/>
  <c r="H4231" i="2"/>
  <c r="H4462" i="2"/>
  <c r="H4693" i="2"/>
  <c r="H74" i="2"/>
  <c r="H305" i="2"/>
  <c r="H536" i="2"/>
  <c r="H767" i="2"/>
  <c r="H998" i="2"/>
  <c r="H1229" i="2"/>
  <c r="H1460" i="2"/>
  <c r="H1691" i="2"/>
  <c r="H1922" i="2"/>
  <c r="H2153" i="2"/>
  <c r="H2384" i="2"/>
  <c r="H2615" i="2"/>
  <c r="H2846" i="2"/>
  <c r="H3077" i="2"/>
  <c r="H3308" i="2"/>
  <c r="H3539" i="2"/>
  <c r="H3770" i="2"/>
  <c r="H4001" i="2"/>
  <c r="H4232" i="2"/>
  <c r="H4463" i="2"/>
  <c r="H4694" i="2"/>
  <c r="H75" i="2"/>
  <c r="H306" i="2"/>
  <c r="H537" i="2"/>
  <c r="H768" i="2"/>
  <c r="H999" i="2"/>
  <c r="H1230" i="2"/>
  <c r="H1461" i="2"/>
  <c r="H1692" i="2"/>
  <c r="H1923" i="2"/>
  <c r="H2154" i="2"/>
  <c r="H2385" i="2"/>
  <c r="H2616" i="2"/>
  <c r="H2847" i="2"/>
  <c r="H3078" i="2"/>
  <c r="H3309" i="2"/>
  <c r="H3540" i="2"/>
  <c r="H3771" i="2"/>
  <c r="H4002" i="2"/>
  <c r="H4233" i="2"/>
  <c r="H4464" i="2"/>
  <c r="H4695" i="2"/>
  <c r="H76" i="2"/>
  <c r="H307" i="2"/>
  <c r="H538" i="2"/>
  <c r="H769" i="2"/>
  <c r="H1000" i="2"/>
  <c r="H1231" i="2"/>
  <c r="H1462" i="2"/>
  <c r="H1693" i="2"/>
  <c r="H1924" i="2"/>
  <c r="H2155" i="2"/>
  <c r="H2386" i="2"/>
  <c r="H2617" i="2"/>
  <c r="H2848" i="2"/>
  <c r="H3079" i="2"/>
  <c r="H3310" i="2"/>
  <c r="H3541" i="2"/>
  <c r="H3772" i="2"/>
  <c r="H4003" i="2"/>
  <c r="H4234" i="2"/>
  <c r="H4465" i="2"/>
  <c r="H4696" i="2"/>
  <c r="H77" i="2"/>
  <c r="H308" i="2"/>
  <c r="H539" i="2"/>
  <c r="H770" i="2"/>
  <c r="H1001" i="2"/>
  <c r="H1232" i="2"/>
  <c r="H1463" i="2"/>
  <c r="H1694" i="2"/>
  <c r="H1925" i="2"/>
  <c r="H2156" i="2"/>
  <c r="H2387" i="2"/>
  <c r="H2618" i="2"/>
  <c r="H2849" i="2"/>
  <c r="H3080" i="2"/>
  <c r="H3311" i="2"/>
  <c r="H3542" i="2"/>
  <c r="H3773" i="2"/>
  <c r="H4004" i="2"/>
  <c r="H4235" i="2"/>
  <c r="H4466" i="2"/>
  <c r="H4697" i="2"/>
  <c r="H78" i="2"/>
  <c r="H309" i="2"/>
  <c r="H540" i="2"/>
  <c r="H771" i="2"/>
  <c r="H1002" i="2"/>
  <c r="H1233" i="2"/>
  <c r="H1464" i="2"/>
  <c r="H1695" i="2"/>
  <c r="H1926" i="2"/>
  <c r="H2157" i="2"/>
  <c r="H2388" i="2"/>
  <c r="H2619" i="2"/>
  <c r="H2850" i="2"/>
  <c r="H3081" i="2"/>
  <c r="H3312" i="2"/>
  <c r="H3543" i="2"/>
  <c r="H3774" i="2"/>
  <c r="H4005" i="2"/>
  <c r="H4236" i="2"/>
  <c r="H4467" i="2"/>
  <c r="H4698" i="2"/>
  <c r="H79" i="2"/>
  <c r="H310" i="2"/>
  <c r="H541" i="2"/>
  <c r="H772" i="2"/>
  <c r="H1003" i="2"/>
  <c r="H1234" i="2"/>
  <c r="H1465" i="2"/>
  <c r="H1696" i="2"/>
  <c r="H1927" i="2"/>
  <c r="H2158" i="2"/>
  <c r="H2389" i="2"/>
  <c r="H2620" i="2"/>
  <c r="H2851" i="2"/>
  <c r="H3082" i="2"/>
  <c r="H3313" i="2"/>
  <c r="H3544" i="2"/>
  <c r="H3775" i="2"/>
  <c r="H4006" i="2"/>
  <c r="H4237" i="2"/>
  <c r="H4468" i="2"/>
  <c r="H4699" i="2"/>
  <c r="H80" i="2"/>
  <c r="H311" i="2"/>
  <c r="H542" i="2"/>
  <c r="H773" i="2"/>
  <c r="H1004" i="2"/>
  <c r="H1235" i="2"/>
  <c r="H1466" i="2"/>
  <c r="H1697" i="2"/>
  <c r="H1928" i="2"/>
  <c r="H2159" i="2"/>
  <c r="H2390" i="2"/>
  <c r="H2621" i="2"/>
  <c r="H2852" i="2"/>
  <c r="H3083" i="2"/>
  <c r="H3314" i="2"/>
  <c r="H3545" i="2"/>
  <c r="H3776" i="2"/>
  <c r="H4007" i="2"/>
  <c r="H4238" i="2"/>
  <c r="H4469" i="2"/>
  <c r="H4700" i="2"/>
  <c r="H81" i="2"/>
  <c r="H312" i="2"/>
  <c r="H543" i="2"/>
  <c r="H774" i="2"/>
  <c r="H1005" i="2"/>
  <c r="H1236" i="2"/>
  <c r="H1467" i="2"/>
  <c r="H1698" i="2"/>
  <c r="H1929" i="2"/>
  <c r="H2160" i="2"/>
  <c r="H2391" i="2"/>
  <c r="H2622" i="2"/>
  <c r="H2853" i="2"/>
  <c r="H3084" i="2"/>
  <c r="H3315" i="2"/>
  <c r="H3546" i="2"/>
  <c r="H3777" i="2"/>
  <c r="H4008" i="2"/>
  <c r="H4239" i="2"/>
  <c r="H4470" i="2"/>
  <c r="H4701" i="2"/>
  <c r="H82" i="2"/>
  <c r="H313" i="2"/>
  <c r="H544" i="2"/>
  <c r="H775" i="2"/>
  <c r="H1006" i="2"/>
  <c r="H1237" i="2"/>
  <c r="H1468" i="2"/>
  <c r="H1699" i="2"/>
  <c r="H1930" i="2"/>
  <c r="H2161" i="2"/>
  <c r="H2392" i="2"/>
  <c r="H2623" i="2"/>
  <c r="H2854" i="2"/>
  <c r="H3085" i="2"/>
  <c r="H3316" i="2"/>
  <c r="H3547" i="2"/>
  <c r="H3778" i="2"/>
  <c r="H4009" i="2"/>
  <c r="H4240" i="2"/>
  <c r="H4471" i="2"/>
  <c r="H4702" i="2"/>
  <c r="H83" i="2"/>
  <c r="H314" i="2"/>
  <c r="H545" i="2"/>
  <c r="H776" i="2"/>
  <c r="H1007" i="2"/>
  <c r="H1238" i="2"/>
  <c r="H1469" i="2"/>
  <c r="H1700" i="2"/>
  <c r="H1931" i="2"/>
  <c r="H2162" i="2"/>
  <c r="H2393" i="2"/>
  <c r="H2624" i="2"/>
  <c r="H2855" i="2"/>
  <c r="H3086" i="2"/>
  <c r="H3317" i="2"/>
  <c r="H3548" i="2"/>
  <c r="H3779" i="2"/>
  <c r="H4010" i="2"/>
  <c r="H4241" i="2"/>
  <c r="H4472" i="2"/>
  <c r="H4703" i="2"/>
  <c r="H84" i="2"/>
  <c r="H315" i="2"/>
  <c r="H546" i="2"/>
  <c r="H777" i="2"/>
  <c r="H1008" i="2"/>
  <c r="H1239" i="2"/>
  <c r="H1470" i="2"/>
  <c r="H1701" i="2"/>
  <c r="H1932" i="2"/>
  <c r="H2163" i="2"/>
  <c r="H2394" i="2"/>
  <c r="H2625" i="2"/>
  <c r="H2856" i="2"/>
  <c r="H3087" i="2"/>
  <c r="H3318" i="2"/>
  <c r="H3549" i="2"/>
  <c r="H3780" i="2"/>
  <c r="H4011" i="2"/>
  <c r="H4242" i="2"/>
  <c r="H4473" i="2"/>
  <c r="H4704" i="2"/>
  <c r="H85" i="2"/>
  <c r="H316" i="2"/>
  <c r="H547" i="2"/>
  <c r="H778" i="2"/>
  <c r="H1009" i="2"/>
  <c r="H1240" i="2"/>
  <c r="H1471" i="2"/>
  <c r="H1702" i="2"/>
  <c r="H1933" i="2"/>
  <c r="H2164" i="2"/>
  <c r="H2395" i="2"/>
  <c r="H2626" i="2"/>
  <c r="H2857" i="2"/>
  <c r="H3088" i="2"/>
  <c r="H3319" i="2"/>
  <c r="H3550" i="2"/>
  <c r="H3781" i="2"/>
  <c r="H4012" i="2"/>
  <c r="H4243" i="2"/>
  <c r="H4474" i="2"/>
  <c r="H4705" i="2"/>
  <c r="H86" i="2"/>
  <c r="H317" i="2"/>
  <c r="H548" i="2"/>
  <c r="H779" i="2"/>
  <c r="H1010" i="2"/>
  <c r="H1241" i="2"/>
  <c r="H1472" i="2"/>
  <c r="H1703" i="2"/>
  <c r="H1934" i="2"/>
  <c r="H2165" i="2"/>
  <c r="H2396" i="2"/>
  <c r="H2627" i="2"/>
  <c r="H2858" i="2"/>
  <c r="H3089" i="2"/>
  <c r="H3320" i="2"/>
  <c r="H3551" i="2"/>
  <c r="H3782" i="2"/>
  <c r="H4013" i="2"/>
  <c r="H4244" i="2"/>
  <c r="H4475" i="2"/>
  <c r="H4706" i="2"/>
  <c r="H87" i="2"/>
  <c r="H318" i="2"/>
  <c r="H549" i="2"/>
  <c r="H780" i="2"/>
  <c r="H1011" i="2"/>
  <c r="H1242" i="2"/>
  <c r="H1473" i="2"/>
  <c r="H1704" i="2"/>
  <c r="H1935" i="2"/>
  <c r="H2166" i="2"/>
  <c r="H2397" i="2"/>
  <c r="H2628" i="2"/>
  <c r="H2859" i="2"/>
  <c r="H3090" i="2"/>
  <c r="H3321" i="2"/>
  <c r="H3552" i="2"/>
  <c r="H3783" i="2"/>
  <c r="H4014" i="2"/>
  <c r="H4245" i="2"/>
  <c r="H4476" i="2"/>
  <c r="H4707" i="2"/>
  <c r="H88" i="2"/>
  <c r="H319" i="2"/>
  <c r="H550" i="2"/>
  <c r="H781" i="2"/>
  <c r="H1012" i="2"/>
  <c r="H1243" i="2"/>
  <c r="H1474" i="2"/>
  <c r="H1705" i="2"/>
  <c r="H1936" i="2"/>
  <c r="H2167" i="2"/>
  <c r="H2398" i="2"/>
  <c r="H2629" i="2"/>
  <c r="H2860" i="2"/>
  <c r="H3091" i="2"/>
  <c r="H3322" i="2"/>
  <c r="H3553" i="2"/>
  <c r="H3784" i="2"/>
  <c r="H4015" i="2"/>
  <c r="H4246" i="2"/>
  <c r="H4477" i="2"/>
  <c r="H4708" i="2"/>
  <c r="H89" i="2"/>
  <c r="H320" i="2"/>
  <c r="H551" i="2"/>
  <c r="H782" i="2"/>
  <c r="H1013" i="2"/>
  <c r="H1244" i="2"/>
  <c r="H1475" i="2"/>
  <c r="H1706" i="2"/>
  <c r="H1937" i="2"/>
  <c r="H2168" i="2"/>
  <c r="H2399" i="2"/>
  <c r="H2630" i="2"/>
  <c r="H2861" i="2"/>
  <c r="H3092" i="2"/>
  <c r="H3323" i="2"/>
  <c r="H3554" i="2"/>
  <c r="H3785" i="2"/>
  <c r="H4016" i="2"/>
  <c r="H4247" i="2"/>
  <c r="H4478" i="2"/>
  <c r="H4709" i="2"/>
  <c r="H90" i="2"/>
  <c r="H321" i="2"/>
  <c r="H552" i="2"/>
  <c r="H783" i="2"/>
  <c r="H1014" i="2"/>
  <c r="H1245" i="2"/>
  <c r="H1476" i="2"/>
  <c r="H1707" i="2"/>
  <c r="H1938" i="2"/>
  <c r="H2169" i="2"/>
  <c r="H2400" i="2"/>
  <c r="H2631" i="2"/>
  <c r="H2862" i="2"/>
  <c r="H3093" i="2"/>
  <c r="H3324" i="2"/>
  <c r="H3555" i="2"/>
  <c r="H3786" i="2"/>
  <c r="H4017" i="2"/>
  <c r="H4248" i="2"/>
  <c r="H4479" i="2"/>
  <c r="H4710" i="2"/>
  <c r="H91" i="2"/>
  <c r="H322" i="2"/>
  <c r="H553" i="2"/>
  <c r="H784" i="2"/>
  <c r="H1015" i="2"/>
  <c r="H1246" i="2"/>
  <c r="H1477" i="2"/>
  <c r="H1708" i="2"/>
  <c r="H1939" i="2"/>
  <c r="H2170" i="2"/>
  <c r="H2401" i="2"/>
  <c r="H2632" i="2"/>
  <c r="H2863" i="2"/>
  <c r="H3094" i="2"/>
  <c r="H3325" i="2"/>
  <c r="H3556" i="2"/>
  <c r="H3787" i="2"/>
  <c r="H4018" i="2"/>
  <c r="H4249" i="2"/>
  <c r="H4480" i="2"/>
  <c r="H4711" i="2"/>
  <c r="H92" i="2"/>
  <c r="H323" i="2"/>
  <c r="H554" i="2"/>
  <c r="H785" i="2"/>
  <c r="H1016" i="2"/>
  <c r="H1247" i="2"/>
  <c r="H1478" i="2"/>
  <c r="H1709" i="2"/>
  <c r="H1940" i="2"/>
  <c r="H2171" i="2"/>
  <c r="H2402" i="2"/>
  <c r="H2633" i="2"/>
  <c r="H2864" i="2"/>
  <c r="H3095" i="2"/>
  <c r="H3326" i="2"/>
  <c r="H3557" i="2"/>
  <c r="H3788" i="2"/>
  <c r="H4019" i="2"/>
  <c r="H4250" i="2"/>
  <c r="H4481" i="2"/>
  <c r="H4712" i="2"/>
  <c r="H93" i="2"/>
  <c r="H324" i="2"/>
  <c r="H555" i="2"/>
  <c r="H786" i="2"/>
  <c r="H1017" i="2"/>
  <c r="H1248" i="2"/>
  <c r="H1479" i="2"/>
  <c r="H1710" i="2"/>
  <c r="H1941" i="2"/>
  <c r="H2172" i="2"/>
  <c r="H2403" i="2"/>
  <c r="H2634" i="2"/>
  <c r="H2865" i="2"/>
  <c r="H3096" i="2"/>
  <c r="H3327" i="2"/>
  <c r="H3558" i="2"/>
  <c r="H3789" i="2"/>
  <c r="H4020" i="2"/>
  <c r="H4251" i="2"/>
  <c r="H4482" i="2"/>
  <c r="H4713" i="2"/>
  <c r="H94" i="2"/>
  <c r="H325" i="2"/>
  <c r="H556" i="2"/>
  <c r="H787" i="2"/>
  <c r="H1018" i="2"/>
  <c r="H1249" i="2"/>
  <c r="H1480" i="2"/>
  <c r="H1711" i="2"/>
  <c r="H1942" i="2"/>
  <c r="H2173" i="2"/>
  <c r="H2404" i="2"/>
  <c r="H2635" i="2"/>
  <c r="H2866" i="2"/>
  <c r="H3097" i="2"/>
  <c r="H3328" i="2"/>
  <c r="H3559" i="2"/>
  <c r="H3790" i="2"/>
  <c r="H4021" i="2"/>
  <c r="H4252" i="2"/>
  <c r="H4483" i="2"/>
  <c r="H4714" i="2"/>
  <c r="H95" i="2"/>
  <c r="H326" i="2"/>
  <c r="H557" i="2"/>
  <c r="H788" i="2"/>
  <c r="H1019" i="2"/>
  <c r="H1250" i="2"/>
  <c r="H1481" i="2"/>
  <c r="H1712" i="2"/>
  <c r="H1943" i="2"/>
  <c r="H2174" i="2"/>
  <c r="H2405" i="2"/>
  <c r="H2636" i="2"/>
  <c r="H2867" i="2"/>
  <c r="H3098" i="2"/>
  <c r="H3329" i="2"/>
  <c r="H3560" i="2"/>
  <c r="H3791" i="2"/>
  <c r="H4022" i="2"/>
  <c r="H4253" i="2"/>
  <c r="H4484" i="2"/>
  <c r="H4715" i="2"/>
  <c r="H96" i="2"/>
  <c r="H327" i="2"/>
  <c r="H558" i="2"/>
  <c r="H789" i="2"/>
  <c r="H1020" i="2"/>
  <c r="H1251" i="2"/>
  <c r="H1482" i="2"/>
  <c r="H1713" i="2"/>
  <c r="H1944" i="2"/>
  <c r="H2175" i="2"/>
  <c r="H2406" i="2"/>
  <c r="H2637" i="2"/>
  <c r="H2868" i="2"/>
  <c r="H3099" i="2"/>
  <c r="H3330" i="2"/>
  <c r="H3561" i="2"/>
  <c r="H3792" i="2"/>
  <c r="H4023" i="2"/>
  <c r="H4254" i="2"/>
  <c r="H4485" i="2"/>
  <c r="H4716" i="2"/>
  <c r="H97" i="2"/>
  <c r="H328" i="2"/>
  <c r="H559" i="2"/>
  <c r="H790" i="2"/>
  <c r="H1021" i="2"/>
  <c r="H1252" i="2"/>
  <c r="H1483" i="2"/>
  <c r="H1714" i="2"/>
  <c r="H1945" i="2"/>
  <c r="H2176" i="2"/>
  <c r="H2407" i="2"/>
  <c r="H2638" i="2"/>
  <c r="H2869" i="2"/>
  <c r="H3100" i="2"/>
  <c r="H3331" i="2"/>
  <c r="H3562" i="2"/>
  <c r="H3793" i="2"/>
  <c r="H4024" i="2"/>
  <c r="H4255" i="2"/>
  <c r="H4486" i="2"/>
  <c r="H4717" i="2"/>
  <c r="H98" i="2"/>
  <c r="H329" i="2"/>
  <c r="H560" i="2"/>
  <c r="H791" i="2"/>
  <c r="H1022" i="2"/>
  <c r="H1253" i="2"/>
  <c r="H1484" i="2"/>
  <c r="H1715" i="2"/>
  <c r="H1946" i="2"/>
  <c r="H2177" i="2"/>
  <c r="H2408" i="2"/>
  <c r="H2639" i="2"/>
  <c r="H2870" i="2"/>
  <c r="H3101" i="2"/>
  <c r="H3332" i="2"/>
  <c r="H3563" i="2"/>
  <c r="H3794" i="2"/>
  <c r="H4025" i="2"/>
  <c r="H4256" i="2"/>
  <c r="H4487" i="2"/>
  <c r="H4718" i="2"/>
  <c r="H99" i="2"/>
  <c r="H330" i="2"/>
  <c r="H561" i="2"/>
  <c r="H792" i="2"/>
  <c r="H1023" i="2"/>
  <c r="H1254" i="2"/>
  <c r="H1485" i="2"/>
  <c r="H1716" i="2"/>
  <c r="H1947" i="2"/>
  <c r="H2178" i="2"/>
  <c r="H2409" i="2"/>
  <c r="H2640" i="2"/>
  <c r="H2871" i="2"/>
  <c r="H3102" i="2"/>
  <c r="H3333" i="2"/>
  <c r="H3564" i="2"/>
  <c r="H3795" i="2"/>
  <c r="H4026" i="2"/>
  <c r="H4257" i="2"/>
  <c r="H4488" i="2"/>
  <c r="H4719" i="2"/>
  <c r="H100" i="2"/>
  <c r="H331" i="2"/>
  <c r="H562" i="2"/>
  <c r="H793" i="2"/>
  <c r="H1024" i="2"/>
  <c r="H1255" i="2"/>
  <c r="H1486" i="2"/>
  <c r="H1717" i="2"/>
  <c r="H1948" i="2"/>
  <c r="H2179" i="2"/>
  <c r="H2410" i="2"/>
  <c r="H2641" i="2"/>
  <c r="H2872" i="2"/>
  <c r="H3103" i="2"/>
  <c r="H3334" i="2"/>
  <c r="H3565" i="2"/>
  <c r="H3796" i="2"/>
  <c r="H4027" i="2"/>
  <c r="H4258" i="2"/>
  <c r="H4489" i="2"/>
  <c r="H4720" i="2"/>
  <c r="H101" i="2"/>
  <c r="H332" i="2"/>
  <c r="H563" i="2"/>
  <c r="H794" i="2"/>
  <c r="H1025" i="2"/>
  <c r="H1256" i="2"/>
  <c r="H1487" i="2"/>
  <c r="H1718" i="2"/>
  <c r="H1949" i="2"/>
  <c r="H2180" i="2"/>
  <c r="H2411" i="2"/>
  <c r="H2642" i="2"/>
  <c r="H2873" i="2"/>
  <c r="H3104" i="2"/>
  <c r="H3335" i="2"/>
  <c r="H3566" i="2"/>
  <c r="H3797" i="2"/>
  <c r="H4028" i="2"/>
  <c r="H4259" i="2"/>
  <c r="H4490" i="2"/>
  <c r="H4721" i="2"/>
  <c r="H102" i="2"/>
  <c r="H333" i="2"/>
  <c r="H564" i="2"/>
  <c r="H795" i="2"/>
  <c r="H1026" i="2"/>
  <c r="H1257" i="2"/>
  <c r="H1488" i="2"/>
  <c r="H1719" i="2"/>
  <c r="H1950" i="2"/>
  <c r="H2181" i="2"/>
  <c r="H2412" i="2"/>
  <c r="H2643" i="2"/>
  <c r="H2874" i="2"/>
  <c r="H3105" i="2"/>
  <c r="H3336" i="2"/>
  <c r="H3567" i="2"/>
  <c r="H3798" i="2"/>
  <c r="H4029" i="2"/>
  <c r="H4260" i="2"/>
  <c r="H4491" i="2"/>
  <c r="H4722" i="2"/>
  <c r="H103" i="2"/>
  <c r="H334" i="2"/>
  <c r="H565" i="2"/>
  <c r="H796" i="2"/>
  <c r="H1027" i="2"/>
  <c r="H1258" i="2"/>
  <c r="H1489" i="2"/>
  <c r="H1720" i="2"/>
  <c r="H1951" i="2"/>
  <c r="H2182" i="2"/>
  <c r="H2413" i="2"/>
  <c r="H2644" i="2"/>
  <c r="H2875" i="2"/>
  <c r="H3106" i="2"/>
  <c r="H3337" i="2"/>
  <c r="H3568" i="2"/>
  <c r="H3799" i="2"/>
  <c r="H4030" i="2"/>
  <c r="H4261" i="2"/>
  <c r="H4492" i="2"/>
  <c r="H4723" i="2"/>
  <c r="H104" i="2"/>
  <c r="H335" i="2"/>
  <c r="H566" i="2"/>
  <c r="H797" i="2"/>
  <c r="H1028" i="2"/>
  <c r="H1259" i="2"/>
  <c r="H1490" i="2"/>
  <c r="H1721" i="2"/>
  <c r="H1952" i="2"/>
  <c r="H2183" i="2"/>
  <c r="H2414" i="2"/>
  <c r="H2645" i="2"/>
  <c r="H2876" i="2"/>
  <c r="H3107" i="2"/>
  <c r="H3338" i="2"/>
  <c r="H3569" i="2"/>
  <c r="H3800" i="2"/>
  <c r="H4031" i="2"/>
  <c r="H4262" i="2"/>
  <c r="H4493" i="2"/>
  <c r="H4724" i="2"/>
  <c r="H105" i="2"/>
  <c r="H336" i="2"/>
  <c r="H567" i="2"/>
  <c r="H798" i="2"/>
  <c r="H1029" i="2"/>
  <c r="H1260" i="2"/>
  <c r="H1491" i="2"/>
  <c r="H1722" i="2"/>
  <c r="H1953" i="2"/>
  <c r="H2184" i="2"/>
  <c r="H2415" i="2"/>
  <c r="H2646" i="2"/>
  <c r="H2877" i="2"/>
  <c r="H3108" i="2"/>
  <c r="H3339" i="2"/>
  <c r="H3570" i="2"/>
  <c r="H3801" i="2"/>
  <c r="H4032" i="2"/>
  <c r="H4263" i="2"/>
  <c r="H4494" i="2"/>
  <c r="H4725" i="2"/>
  <c r="H106" i="2"/>
  <c r="H337" i="2"/>
  <c r="H568" i="2"/>
  <c r="H799" i="2"/>
  <c r="H1030" i="2"/>
  <c r="H1261" i="2"/>
  <c r="H1492" i="2"/>
  <c r="H1723" i="2"/>
  <c r="H1954" i="2"/>
  <c r="H2185" i="2"/>
  <c r="H2416" i="2"/>
  <c r="H2647" i="2"/>
  <c r="H2878" i="2"/>
  <c r="H3109" i="2"/>
  <c r="H3340" i="2"/>
  <c r="H3571" i="2"/>
  <c r="H3802" i="2"/>
  <c r="H4033" i="2"/>
  <c r="H4264" i="2"/>
  <c r="H4495" i="2"/>
  <c r="H4726" i="2"/>
  <c r="H107" i="2"/>
  <c r="H338" i="2"/>
  <c r="H569" i="2"/>
  <c r="H800" i="2"/>
  <c r="H1031" i="2"/>
  <c r="H1262" i="2"/>
  <c r="H1493" i="2"/>
  <c r="H1724" i="2"/>
  <c r="H1955" i="2"/>
  <c r="H2186" i="2"/>
  <c r="H2417" i="2"/>
  <c r="H2648" i="2"/>
  <c r="H2879" i="2"/>
  <c r="H3110" i="2"/>
  <c r="H3341" i="2"/>
  <c r="H3572" i="2"/>
  <c r="H3803" i="2"/>
  <c r="H4034" i="2"/>
  <c r="H4265" i="2"/>
  <c r="H4496" i="2"/>
  <c r="H4727" i="2"/>
  <c r="H108" i="2"/>
  <c r="H339" i="2"/>
  <c r="H570" i="2"/>
  <c r="H801" i="2"/>
  <c r="H1032" i="2"/>
  <c r="H1263" i="2"/>
  <c r="H1494" i="2"/>
  <c r="H1725" i="2"/>
  <c r="H1956" i="2"/>
  <c r="H2187" i="2"/>
  <c r="H2418" i="2"/>
  <c r="H2649" i="2"/>
  <c r="H2880" i="2"/>
  <c r="H3111" i="2"/>
  <c r="H3342" i="2"/>
  <c r="H3573" i="2"/>
  <c r="H3804" i="2"/>
  <c r="H4035" i="2"/>
  <c r="H4266" i="2"/>
  <c r="H4497" i="2"/>
  <c r="H4728" i="2"/>
  <c r="H109" i="2"/>
  <c r="H340" i="2"/>
  <c r="H571" i="2"/>
  <c r="H802" i="2"/>
  <c r="H1033" i="2"/>
  <c r="H1264" i="2"/>
  <c r="H1495" i="2"/>
  <c r="H1726" i="2"/>
  <c r="H1957" i="2"/>
  <c r="H2188" i="2"/>
  <c r="H2419" i="2"/>
  <c r="H2650" i="2"/>
  <c r="H2881" i="2"/>
  <c r="H3112" i="2"/>
  <c r="H3343" i="2"/>
  <c r="H3574" i="2"/>
  <c r="H3805" i="2"/>
  <c r="H4036" i="2"/>
  <c r="H4267" i="2"/>
  <c r="H4498" i="2"/>
  <c r="H4729" i="2"/>
  <c r="H110" i="2"/>
  <c r="H341" i="2"/>
  <c r="H572" i="2"/>
  <c r="H803" i="2"/>
  <c r="H1034" i="2"/>
  <c r="H1265" i="2"/>
  <c r="H1496" i="2"/>
  <c r="H1727" i="2"/>
  <c r="H1958" i="2"/>
  <c r="H2189" i="2"/>
  <c r="H2420" i="2"/>
  <c r="H2651" i="2"/>
  <c r="H2882" i="2"/>
  <c r="H3113" i="2"/>
  <c r="H3344" i="2"/>
  <c r="H3575" i="2"/>
  <c r="H3806" i="2"/>
  <c r="H4037" i="2"/>
  <c r="H4268" i="2"/>
  <c r="H4499" i="2"/>
  <c r="H4730" i="2"/>
  <c r="H111" i="2"/>
  <c r="H342" i="2"/>
  <c r="H573" i="2"/>
  <c r="H804" i="2"/>
  <c r="H1035" i="2"/>
  <c r="H1266" i="2"/>
  <c r="H1497" i="2"/>
  <c r="H1728" i="2"/>
  <c r="H1959" i="2"/>
  <c r="H2190" i="2"/>
  <c r="H2421" i="2"/>
  <c r="H2652" i="2"/>
  <c r="H2883" i="2"/>
  <c r="H3114" i="2"/>
  <c r="H3345" i="2"/>
  <c r="H3576" i="2"/>
  <c r="H3807" i="2"/>
  <c r="H4038" i="2"/>
  <c r="H4269" i="2"/>
  <c r="H4500" i="2"/>
  <c r="H4731" i="2"/>
  <c r="H112" i="2"/>
  <c r="H343" i="2"/>
  <c r="H574" i="2"/>
  <c r="H805" i="2"/>
  <c r="H1036" i="2"/>
  <c r="H1267" i="2"/>
  <c r="H1498" i="2"/>
  <c r="H1729" i="2"/>
  <c r="H1960" i="2"/>
  <c r="H2191" i="2"/>
  <c r="H2422" i="2"/>
  <c r="H2653" i="2"/>
  <c r="H2884" i="2"/>
  <c r="H3115" i="2"/>
  <c r="H3346" i="2"/>
  <c r="H3577" i="2"/>
  <c r="H3808" i="2"/>
  <c r="H4039" i="2"/>
  <c r="H4270" i="2"/>
  <c r="H4501" i="2"/>
  <c r="H4732" i="2"/>
  <c r="H113" i="2"/>
  <c r="H344" i="2"/>
  <c r="H575" i="2"/>
  <c r="H806" i="2"/>
  <c r="H1037" i="2"/>
  <c r="H1268" i="2"/>
  <c r="H1499" i="2"/>
  <c r="H1730" i="2"/>
  <c r="H1961" i="2"/>
  <c r="H2192" i="2"/>
  <c r="H2423" i="2"/>
  <c r="H2654" i="2"/>
  <c r="H2885" i="2"/>
  <c r="H3116" i="2"/>
  <c r="H3347" i="2"/>
  <c r="H3578" i="2"/>
  <c r="H3809" i="2"/>
  <c r="H4040" i="2"/>
  <c r="H4271" i="2"/>
  <c r="H4502" i="2"/>
  <c r="H4733" i="2"/>
  <c r="H114" i="2"/>
  <c r="H345" i="2"/>
  <c r="H576" i="2"/>
  <c r="H807" i="2"/>
  <c r="H1038" i="2"/>
  <c r="H1269" i="2"/>
  <c r="H1500" i="2"/>
  <c r="H1731" i="2"/>
  <c r="H1962" i="2"/>
  <c r="H2193" i="2"/>
  <c r="H2424" i="2"/>
  <c r="H2655" i="2"/>
  <c r="H2886" i="2"/>
  <c r="H3117" i="2"/>
  <c r="H3348" i="2"/>
  <c r="H3579" i="2"/>
  <c r="H3810" i="2"/>
  <c r="H4041" i="2"/>
  <c r="H4272" i="2"/>
  <c r="H4503" i="2"/>
  <c r="H4734" i="2"/>
  <c r="H115" i="2"/>
  <c r="H346" i="2"/>
  <c r="H577" i="2"/>
  <c r="H808" i="2"/>
  <c r="H1039" i="2"/>
  <c r="H1270" i="2"/>
  <c r="H1501" i="2"/>
  <c r="H1732" i="2"/>
  <c r="H1963" i="2"/>
  <c r="H2194" i="2"/>
  <c r="H2425" i="2"/>
  <c r="H2656" i="2"/>
  <c r="H2887" i="2"/>
  <c r="H3118" i="2"/>
  <c r="H3349" i="2"/>
  <c r="H3580" i="2"/>
  <c r="H3811" i="2"/>
  <c r="H4042" i="2"/>
  <c r="H4273" i="2"/>
  <c r="H4504" i="2"/>
  <c r="H4735" i="2"/>
  <c r="H116" i="2"/>
  <c r="H347" i="2"/>
  <c r="H578" i="2"/>
  <c r="H809" i="2"/>
  <c r="H1040" i="2"/>
  <c r="H1271" i="2"/>
  <c r="H1502" i="2"/>
  <c r="H1733" i="2"/>
  <c r="H1964" i="2"/>
  <c r="H2195" i="2"/>
  <c r="H2426" i="2"/>
  <c r="H2657" i="2"/>
  <c r="H2888" i="2"/>
  <c r="H3119" i="2"/>
  <c r="H3350" i="2"/>
  <c r="H3581" i="2"/>
  <c r="H3812" i="2"/>
  <c r="H4043" i="2"/>
  <c r="H4274" i="2"/>
  <c r="H4505" i="2"/>
  <c r="H4736" i="2"/>
  <c r="H117" i="2"/>
  <c r="H348" i="2"/>
  <c r="H579" i="2"/>
  <c r="H810" i="2"/>
  <c r="H1041" i="2"/>
  <c r="H1272" i="2"/>
  <c r="H1503" i="2"/>
  <c r="H1734" i="2"/>
  <c r="H1965" i="2"/>
  <c r="H2196" i="2"/>
  <c r="H2427" i="2"/>
  <c r="H2658" i="2"/>
  <c r="H2889" i="2"/>
  <c r="H3120" i="2"/>
  <c r="H3351" i="2"/>
  <c r="H3582" i="2"/>
  <c r="H3813" i="2"/>
  <c r="H4044" i="2"/>
  <c r="H4275" i="2"/>
  <c r="H4506" i="2"/>
  <c r="H4737" i="2"/>
  <c r="H118" i="2"/>
  <c r="H349" i="2"/>
  <c r="H580" i="2"/>
  <c r="H811" i="2"/>
  <c r="H1042" i="2"/>
  <c r="H1273" i="2"/>
  <c r="H1504" i="2"/>
  <c r="H1735" i="2"/>
  <c r="H1966" i="2"/>
  <c r="H2197" i="2"/>
  <c r="H2428" i="2"/>
  <c r="H2659" i="2"/>
  <c r="H2890" i="2"/>
  <c r="H3121" i="2"/>
  <c r="H3352" i="2"/>
  <c r="H3583" i="2"/>
  <c r="H3814" i="2"/>
  <c r="H4045" i="2"/>
  <c r="H4276" i="2"/>
  <c r="H4507" i="2"/>
  <c r="H4738" i="2"/>
  <c r="H119" i="2"/>
  <c r="H350" i="2"/>
  <c r="H581" i="2"/>
  <c r="H812" i="2"/>
  <c r="H1043" i="2"/>
  <c r="H1274" i="2"/>
  <c r="H1505" i="2"/>
  <c r="H1736" i="2"/>
  <c r="H1967" i="2"/>
  <c r="H2198" i="2"/>
  <c r="H2429" i="2"/>
  <c r="H2660" i="2"/>
  <c r="H2891" i="2"/>
  <c r="H3122" i="2"/>
  <c r="H3353" i="2"/>
  <c r="H3584" i="2"/>
  <c r="H3815" i="2"/>
  <c r="H4046" i="2"/>
  <c r="H4277" i="2"/>
  <c r="H4508" i="2"/>
  <c r="H4739" i="2"/>
  <c r="H120" i="2"/>
  <c r="H351" i="2"/>
  <c r="H582" i="2"/>
  <c r="H813" i="2"/>
  <c r="H1044" i="2"/>
  <c r="H1275" i="2"/>
  <c r="H1506" i="2"/>
  <c r="H1737" i="2"/>
  <c r="H1968" i="2"/>
  <c r="H2199" i="2"/>
  <c r="H2430" i="2"/>
  <c r="H2661" i="2"/>
  <c r="H2892" i="2"/>
  <c r="H3123" i="2"/>
  <c r="H3354" i="2"/>
  <c r="H3585" i="2"/>
  <c r="H3816" i="2"/>
  <c r="H4047" i="2"/>
  <c r="H4278" i="2"/>
  <c r="H4509" i="2"/>
  <c r="H4740" i="2"/>
  <c r="H121" i="2"/>
  <c r="H352" i="2"/>
  <c r="H583" i="2"/>
  <c r="H814" i="2"/>
  <c r="H1045" i="2"/>
  <c r="H1276" i="2"/>
  <c r="H1507" i="2"/>
  <c r="H1738" i="2"/>
  <c r="H1969" i="2"/>
  <c r="H2200" i="2"/>
  <c r="H2431" i="2"/>
  <c r="H2662" i="2"/>
  <c r="H2893" i="2"/>
  <c r="H3124" i="2"/>
  <c r="H3355" i="2"/>
  <c r="H3586" i="2"/>
  <c r="H3817" i="2"/>
  <c r="H4048" i="2"/>
  <c r="H4279" i="2"/>
  <c r="H4510" i="2"/>
  <c r="H4741" i="2"/>
  <c r="H122" i="2"/>
  <c r="H353" i="2"/>
  <c r="H584" i="2"/>
  <c r="H815" i="2"/>
  <c r="H1046" i="2"/>
  <c r="H1277" i="2"/>
  <c r="H1508" i="2"/>
  <c r="H1739" i="2"/>
  <c r="H1970" i="2"/>
  <c r="H2201" i="2"/>
  <c r="H2432" i="2"/>
  <c r="H2663" i="2"/>
  <c r="H2894" i="2"/>
  <c r="H3125" i="2"/>
  <c r="H3356" i="2"/>
  <c r="H3587" i="2"/>
  <c r="H3818" i="2"/>
  <c r="H4049" i="2"/>
  <c r="H4280" i="2"/>
  <c r="H4511" i="2"/>
  <c r="H4742" i="2"/>
  <c r="H123" i="2"/>
  <c r="H354" i="2"/>
  <c r="H585" i="2"/>
  <c r="H816" i="2"/>
  <c r="H1047" i="2"/>
  <c r="H1278" i="2"/>
  <c r="H1509" i="2"/>
  <c r="H1740" i="2"/>
  <c r="H1971" i="2"/>
  <c r="H2202" i="2"/>
  <c r="H2433" i="2"/>
  <c r="H2664" i="2"/>
  <c r="H2895" i="2"/>
  <c r="H3126" i="2"/>
  <c r="H3357" i="2"/>
  <c r="H3588" i="2"/>
  <c r="H3819" i="2"/>
  <c r="H4050" i="2"/>
  <c r="H4281" i="2"/>
  <c r="H4512" i="2"/>
  <c r="H4743" i="2"/>
  <c r="H124" i="2"/>
  <c r="H355" i="2"/>
  <c r="H586" i="2"/>
  <c r="H817" i="2"/>
  <c r="H1048" i="2"/>
  <c r="H1279" i="2"/>
  <c r="H1510" i="2"/>
  <c r="H1741" i="2"/>
  <c r="H1972" i="2"/>
  <c r="H2203" i="2"/>
  <c r="H2434" i="2"/>
  <c r="H2665" i="2"/>
  <c r="H2896" i="2"/>
  <c r="H3127" i="2"/>
  <c r="H3358" i="2"/>
  <c r="H3589" i="2"/>
  <c r="H3820" i="2"/>
  <c r="H4051" i="2"/>
  <c r="H4282" i="2"/>
  <c r="H4513" i="2"/>
  <c r="H4744" i="2"/>
  <c r="H125" i="2"/>
  <c r="H356" i="2"/>
  <c r="H587" i="2"/>
  <c r="H818" i="2"/>
  <c r="H1049" i="2"/>
  <c r="H1280" i="2"/>
  <c r="H1511" i="2"/>
  <c r="H1742" i="2"/>
  <c r="H1973" i="2"/>
  <c r="H2204" i="2"/>
  <c r="H2435" i="2"/>
  <c r="H2666" i="2"/>
  <c r="H2897" i="2"/>
  <c r="H3128" i="2"/>
  <c r="H3359" i="2"/>
  <c r="H3590" i="2"/>
  <c r="H3821" i="2"/>
  <c r="H4052" i="2"/>
  <c r="H4283" i="2"/>
  <c r="H4514" i="2"/>
  <c r="H4745" i="2"/>
  <c r="H126" i="2"/>
  <c r="H357" i="2"/>
  <c r="H588" i="2"/>
  <c r="H819" i="2"/>
  <c r="H1050" i="2"/>
  <c r="H1281" i="2"/>
  <c r="H1512" i="2"/>
  <c r="H1743" i="2"/>
  <c r="H1974" i="2"/>
  <c r="H2205" i="2"/>
  <c r="H2436" i="2"/>
  <c r="H2667" i="2"/>
  <c r="H2898" i="2"/>
  <c r="H3129" i="2"/>
  <c r="H3360" i="2"/>
  <c r="H3591" i="2"/>
  <c r="H3822" i="2"/>
  <c r="H4053" i="2"/>
  <c r="H4284" i="2"/>
  <c r="H4515" i="2"/>
  <c r="H4746" i="2"/>
  <c r="H127" i="2"/>
  <c r="H358" i="2"/>
  <c r="H589" i="2"/>
  <c r="H820" i="2"/>
  <c r="H1051" i="2"/>
  <c r="H1282" i="2"/>
  <c r="H1513" i="2"/>
  <c r="H1744" i="2"/>
  <c r="H1975" i="2"/>
  <c r="H2206" i="2"/>
  <c r="H2437" i="2"/>
  <c r="H2668" i="2"/>
  <c r="H2899" i="2"/>
  <c r="H3130" i="2"/>
  <c r="H3361" i="2"/>
  <c r="H3592" i="2"/>
  <c r="H3823" i="2"/>
  <c r="H4054" i="2"/>
  <c r="H4285" i="2"/>
  <c r="H4516" i="2"/>
  <c r="H4747" i="2"/>
  <c r="H128" i="2"/>
  <c r="H359" i="2"/>
  <c r="H590" i="2"/>
  <c r="H821" i="2"/>
  <c r="H1052" i="2"/>
  <c r="H1283" i="2"/>
  <c r="H1514" i="2"/>
  <c r="H1745" i="2"/>
  <c r="H1976" i="2"/>
  <c r="H2207" i="2"/>
  <c r="H2438" i="2"/>
  <c r="H2669" i="2"/>
  <c r="H2900" i="2"/>
  <c r="H3131" i="2"/>
  <c r="H3362" i="2"/>
  <c r="H3593" i="2"/>
  <c r="H3824" i="2"/>
  <c r="H4055" i="2"/>
  <c r="H4286" i="2"/>
  <c r="H4517" i="2"/>
  <c r="H4748" i="2"/>
  <c r="H129" i="2"/>
  <c r="H360" i="2"/>
  <c r="H591" i="2"/>
  <c r="H822" i="2"/>
  <c r="H1053" i="2"/>
  <c r="H1284" i="2"/>
  <c r="H1515" i="2"/>
  <c r="H1746" i="2"/>
  <c r="H1977" i="2"/>
  <c r="H2208" i="2"/>
  <c r="H2439" i="2"/>
  <c r="H2670" i="2"/>
  <c r="H2901" i="2"/>
  <c r="H3132" i="2"/>
  <c r="H3363" i="2"/>
  <c r="H3594" i="2"/>
  <c r="H3825" i="2"/>
  <c r="H4056" i="2"/>
  <c r="H4287" i="2"/>
  <c r="H4518" i="2"/>
  <c r="H4749" i="2"/>
  <c r="H130" i="2"/>
  <c r="H361" i="2"/>
  <c r="H592" i="2"/>
  <c r="H823" i="2"/>
  <c r="H1054" i="2"/>
  <c r="H1285" i="2"/>
  <c r="H1516" i="2"/>
  <c r="H1747" i="2"/>
  <c r="H1978" i="2"/>
  <c r="H2209" i="2"/>
  <c r="H2440" i="2"/>
  <c r="H2671" i="2"/>
  <c r="H2902" i="2"/>
  <c r="H3133" i="2"/>
  <c r="H3364" i="2"/>
  <c r="H3595" i="2"/>
  <c r="H3826" i="2"/>
  <c r="H4057" i="2"/>
  <c r="H4288" i="2"/>
  <c r="H4519" i="2"/>
  <c r="H4750" i="2"/>
  <c r="H131" i="2"/>
  <c r="H362" i="2"/>
  <c r="H593" i="2"/>
  <c r="H824" i="2"/>
  <c r="H1055" i="2"/>
  <c r="H1286" i="2"/>
  <c r="H1517" i="2"/>
  <c r="H1748" i="2"/>
  <c r="H1979" i="2"/>
  <c r="H2210" i="2"/>
  <c r="H2441" i="2"/>
  <c r="H2672" i="2"/>
  <c r="H2903" i="2"/>
  <c r="H3134" i="2"/>
  <c r="H3365" i="2"/>
  <c r="H3596" i="2"/>
  <c r="H3827" i="2"/>
  <c r="H4058" i="2"/>
  <c r="H4289" i="2"/>
  <c r="H4520" i="2"/>
  <c r="H4751" i="2"/>
  <c r="H132" i="2"/>
  <c r="H363" i="2"/>
  <c r="H594" i="2"/>
  <c r="H825" i="2"/>
  <c r="H1056" i="2"/>
  <c r="H1287" i="2"/>
  <c r="H1518" i="2"/>
  <c r="H1749" i="2"/>
  <c r="H1980" i="2"/>
  <c r="H2211" i="2"/>
  <c r="H2442" i="2"/>
  <c r="H2673" i="2"/>
  <c r="H2904" i="2"/>
  <c r="H3135" i="2"/>
  <c r="H3366" i="2"/>
  <c r="H3597" i="2"/>
  <c r="H3828" i="2"/>
  <c r="H4059" i="2"/>
  <c r="H4290" i="2"/>
  <c r="H4521" i="2"/>
  <c r="H4752" i="2"/>
  <c r="H133" i="2"/>
  <c r="H364" i="2"/>
  <c r="H595" i="2"/>
  <c r="H826" i="2"/>
  <c r="H1057" i="2"/>
  <c r="H1288" i="2"/>
  <c r="H1519" i="2"/>
  <c r="H1750" i="2"/>
  <c r="H1981" i="2"/>
  <c r="H2212" i="2"/>
  <c r="H2443" i="2"/>
  <c r="H2674" i="2"/>
  <c r="H2905" i="2"/>
  <c r="H3136" i="2"/>
  <c r="H3367" i="2"/>
  <c r="H3598" i="2"/>
  <c r="H3829" i="2"/>
  <c r="H4060" i="2"/>
  <c r="H4291" i="2"/>
  <c r="H4522" i="2"/>
  <c r="H4753" i="2"/>
  <c r="H134" i="2"/>
  <c r="H365" i="2"/>
  <c r="H596" i="2"/>
  <c r="H827" i="2"/>
  <c r="H1058" i="2"/>
  <c r="H1289" i="2"/>
  <c r="H1520" i="2"/>
  <c r="H1751" i="2"/>
  <c r="H1982" i="2"/>
  <c r="H2213" i="2"/>
  <c r="H2444" i="2"/>
  <c r="H2675" i="2"/>
  <c r="H2906" i="2"/>
  <c r="H3137" i="2"/>
  <c r="H3368" i="2"/>
  <c r="H3599" i="2"/>
  <c r="H3830" i="2"/>
  <c r="H4061" i="2"/>
  <c r="H4292" i="2"/>
  <c r="H4523" i="2"/>
  <c r="H4754" i="2"/>
  <c r="H135" i="2"/>
  <c r="H366" i="2"/>
  <c r="H597" i="2"/>
  <c r="H828" i="2"/>
  <c r="H1059" i="2"/>
  <c r="H1290" i="2"/>
  <c r="H1521" i="2"/>
  <c r="H1752" i="2"/>
  <c r="H1983" i="2"/>
  <c r="H2214" i="2"/>
  <c r="H2445" i="2"/>
  <c r="H2676" i="2"/>
  <c r="H2907" i="2"/>
  <c r="H3138" i="2"/>
  <c r="H3369" i="2"/>
  <c r="H3600" i="2"/>
  <c r="H3831" i="2"/>
  <c r="H4062" i="2"/>
  <c r="H4293" i="2"/>
  <c r="H4524" i="2"/>
  <c r="H4755" i="2"/>
  <c r="H136" i="2"/>
  <c r="H367" i="2"/>
  <c r="H598" i="2"/>
  <c r="H829" i="2"/>
  <c r="H1060" i="2"/>
  <c r="H1291" i="2"/>
  <c r="H1522" i="2"/>
  <c r="H1753" i="2"/>
  <c r="H1984" i="2"/>
  <c r="H2215" i="2"/>
  <c r="H2446" i="2"/>
  <c r="H2677" i="2"/>
  <c r="H2908" i="2"/>
  <c r="H3139" i="2"/>
  <c r="H3370" i="2"/>
  <c r="H3601" i="2"/>
  <c r="H3832" i="2"/>
  <c r="H4063" i="2"/>
  <c r="H4294" i="2"/>
  <c r="H4525" i="2"/>
  <c r="H4756" i="2"/>
  <c r="H137" i="2"/>
  <c r="H368" i="2"/>
  <c r="H599" i="2"/>
  <c r="H830" i="2"/>
  <c r="H1061" i="2"/>
  <c r="H1292" i="2"/>
  <c r="H1523" i="2"/>
  <c r="H1754" i="2"/>
  <c r="H1985" i="2"/>
  <c r="H2216" i="2"/>
  <c r="H2447" i="2"/>
  <c r="H2678" i="2"/>
  <c r="H2909" i="2"/>
  <c r="H3140" i="2"/>
  <c r="H3371" i="2"/>
  <c r="H3602" i="2"/>
  <c r="H3833" i="2"/>
  <c r="H4064" i="2"/>
  <c r="H4295" i="2"/>
  <c r="H4526" i="2"/>
  <c r="H4757" i="2"/>
  <c r="H138" i="2"/>
  <c r="H369" i="2"/>
  <c r="H600" i="2"/>
  <c r="H831" i="2"/>
  <c r="H1062" i="2"/>
  <c r="H1293" i="2"/>
  <c r="H1524" i="2"/>
  <c r="H1755" i="2"/>
  <c r="H1986" i="2"/>
  <c r="H2217" i="2"/>
  <c r="H2448" i="2"/>
  <c r="H2679" i="2"/>
  <c r="H2910" i="2"/>
  <c r="H3141" i="2"/>
  <c r="H3372" i="2"/>
  <c r="H3603" i="2"/>
  <c r="H3834" i="2"/>
  <c r="H4065" i="2"/>
  <c r="H4296" i="2"/>
  <c r="H4527" i="2"/>
  <c r="H4758" i="2"/>
  <c r="H139" i="2"/>
  <c r="H370" i="2"/>
  <c r="H601" i="2"/>
  <c r="H832" i="2"/>
  <c r="H1063" i="2"/>
  <c r="H1294" i="2"/>
  <c r="H1525" i="2"/>
  <c r="H1756" i="2"/>
  <c r="H1987" i="2"/>
  <c r="H2218" i="2"/>
  <c r="H2449" i="2"/>
  <c r="H2680" i="2"/>
  <c r="H2911" i="2"/>
  <c r="H3142" i="2"/>
  <c r="H3373" i="2"/>
  <c r="H3604" i="2"/>
  <c r="H3835" i="2"/>
  <c r="H4066" i="2"/>
  <c r="H4297" i="2"/>
  <c r="H4528" i="2"/>
  <c r="H4759" i="2"/>
  <c r="H140" i="2"/>
  <c r="H371" i="2"/>
  <c r="H602" i="2"/>
  <c r="H833" i="2"/>
  <c r="H1064" i="2"/>
  <c r="H1295" i="2"/>
  <c r="H1526" i="2"/>
  <c r="H1757" i="2"/>
  <c r="H1988" i="2"/>
  <c r="H2219" i="2"/>
  <c r="H2450" i="2"/>
  <c r="H2681" i="2"/>
  <c r="H2912" i="2"/>
  <c r="H3143" i="2"/>
  <c r="H3374" i="2"/>
  <c r="H3605" i="2"/>
  <c r="H3836" i="2"/>
  <c r="H4067" i="2"/>
  <c r="H4298" i="2"/>
  <c r="H4529" i="2"/>
  <c r="H4760" i="2"/>
  <c r="H141" i="2"/>
  <c r="H372" i="2"/>
  <c r="H603" i="2"/>
  <c r="H834" i="2"/>
  <c r="H1065" i="2"/>
  <c r="H1296" i="2"/>
  <c r="H1527" i="2"/>
  <c r="H1758" i="2"/>
  <c r="H1989" i="2"/>
  <c r="H2220" i="2"/>
  <c r="H2451" i="2"/>
  <c r="H2682" i="2"/>
  <c r="H2913" i="2"/>
  <c r="H3144" i="2"/>
  <c r="H3375" i="2"/>
  <c r="H3606" i="2"/>
  <c r="H3837" i="2"/>
  <c r="H4068" i="2"/>
  <c r="H4299" i="2"/>
  <c r="H4530" i="2"/>
  <c r="H4761" i="2"/>
  <c r="H142" i="2"/>
  <c r="H373" i="2"/>
  <c r="H604" i="2"/>
  <c r="H835" i="2"/>
  <c r="H1066" i="2"/>
  <c r="H1297" i="2"/>
  <c r="H1528" i="2"/>
  <c r="H1759" i="2"/>
  <c r="H1990" i="2"/>
  <c r="H2221" i="2"/>
  <c r="H2452" i="2"/>
  <c r="H2683" i="2"/>
  <c r="H2914" i="2"/>
  <c r="H3145" i="2"/>
  <c r="H3376" i="2"/>
  <c r="H3607" i="2"/>
  <c r="H3838" i="2"/>
  <c r="H4069" i="2"/>
  <c r="H4300" i="2"/>
  <c r="H4531" i="2"/>
  <c r="H4762" i="2"/>
  <c r="H143" i="2"/>
  <c r="H374" i="2"/>
  <c r="H605" i="2"/>
  <c r="H836" i="2"/>
  <c r="H1067" i="2"/>
  <c r="H1298" i="2"/>
  <c r="H1529" i="2"/>
  <c r="H1760" i="2"/>
  <c r="H1991" i="2"/>
  <c r="H2222" i="2"/>
  <c r="H2453" i="2"/>
  <c r="H2684" i="2"/>
  <c r="H2915" i="2"/>
  <c r="H3146" i="2"/>
  <c r="H3377" i="2"/>
  <c r="H3608" i="2"/>
  <c r="H3839" i="2"/>
  <c r="H4070" i="2"/>
  <c r="H4301" i="2"/>
  <c r="H4532" i="2"/>
  <c r="H4763" i="2"/>
  <c r="H144" i="2"/>
  <c r="H375" i="2"/>
  <c r="H606" i="2"/>
  <c r="H837" i="2"/>
  <c r="H1068" i="2"/>
  <c r="H1299" i="2"/>
  <c r="H1530" i="2"/>
  <c r="H1761" i="2"/>
  <c r="H1992" i="2"/>
  <c r="H2223" i="2"/>
  <c r="H2454" i="2"/>
  <c r="H2685" i="2"/>
  <c r="H2916" i="2"/>
  <c r="H3147" i="2"/>
  <c r="H3378" i="2"/>
  <c r="H3609" i="2"/>
  <c r="H3840" i="2"/>
  <c r="H4071" i="2"/>
  <c r="H4302" i="2"/>
  <c r="H4533" i="2"/>
  <c r="H4764" i="2"/>
  <c r="H145" i="2"/>
  <c r="H376" i="2"/>
  <c r="H607" i="2"/>
  <c r="H838" i="2"/>
  <c r="H1069" i="2"/>
  <c r="H1300" i="2"/>
  <c r="H1531" i="2"/>
  <c r="H1762" i="2"/>
  <c r="H1993" i="2"/>
  <c r="H2224" i="2"/>
  <c r="H2455" i="2"/>
  <c r="H2686" i="2"/>
  <c r="H2917" i="2"/>
  <c r="H3148" i="2"/>
  <c r="H3379" i="2"/>
  <c r="H3610" i="2"/>
  <c r="H3841" i="2"/>
  <c r="H4072" i="2"/>
  <c r="H4303" i="2"/>
  <c r="H4534" i="2"/>
  <c r="H4765" i="2"/>
  <c r="H146" i="2"/>
  <c r="H377" i="2"/>
  <c r="H608" i="2"/>
  <c r="H839" i="2"/>
  <c r="H1070" i="2"/>
  <c r="H1301" i="2"/>
  <c r="H1532" i="2"/>
  <c r="H1763" i="2"/>
  <c r="H1994" i="2"/>
  <c r="H2225" i="2"/>
  <c r="H2456" i="2"/>
  <c r="H2687" i="2"/>
  <c r="H2918" i="2"/>
  <c r="H3149" i="2"/>
  <c r="H3380" i="2"/>
  <c r="H3611" i="2"/>
  <c r="H3842" i="2"/>
  <c r="H4073" i="2"/>
  <c r="H4304" i="2"/>
  <c r="H4535" i="2"/>
  <c r="H4766" i="2"/>
  <c r="H147" i="2"/>
  <c r="H378" i="2"/>
  <c r="H609" i="2"/>
  <c r="H840" i="2"/>
  <c r="H1071" i="2"/>
  <c r="H1302" i="2"/>
  <c r="H1533" i="2"/>
  <c r="H1764" i="2"/>
  <c r="H1995" i="2"/>
  <c r="H2226" i="2"/>
  <c r="H2457" i="2"/>
  <c r="H2688" i="2"/>
  <c r="H2919" i="2"/>
  <c r="H3150" i="2"/>
  <c r="H3381" i="2"/>
  <c r="H3612" i="2"/>
  <c r="H3843" i="2"/>
  <c r="H4074" i="2"/>
  <c r="H4305" i="2"/>
  <c r="H4536" i="2"/>
  <c r="H4767" i="2"/>
  <c r="H148" i="2"/>
  <c r="H379" i="2"/>
  <c r="H610" i="2"/>
  <c r="H841" i="2"/>
  <c r="H1072" i="2"/>
  <c r="H1303" i="2"/>
  <c r="H1534" i="2"/>
  <c r="H1765" i="2"/>
  <c r="H1996" i="2"/>
  <c r="H2227" i="2"/>
  <c r="H2458" i="2"/>
  <c r="H2689" i="2"/>
  <c r="H2920" i="2"/>
  <c r="H3151" i="2"/>
  <c r="H3382" i="2"/>
  <c r="H3613" i="2"/>
  <c r="H3844" i="2"/>
  <c r="H4075" i="2"/>
  <c r="H4306" i="2"/>
  <c r="H4537" i="2"/>
  <c r="H4768" i="2"/>
  <c r="H149" i="2"/>
  <c r="H380" i="2"/>
  <c r="H611" i="2"/>
  <c r="H842" i="2"/>
  <c r="H1073" i="2"/>
  <c r="H1304" i="2"/>
  <c r="H1535" i="2"/>
  <c r="H1766" i="2"/>
  <c r="H1997" i="2"/>
  <c r="H2228" i="2"/>
  <c r="H2459" i="2"/>
  <c r="H2690" i="2"/>
  <c r="H2921" i="2"/>
  <c r="H3152" i="2"/>
  <c r="H3383" i="2"/>
  <c r="H3614" i="2"/>
  <c r="H3845" i="2"/>
  <c r="H4076" i="2"/>
  <c r="H4307" i="2"/>
  <c r="H4538" i="2"/>
  <c r="H4769" i="2"/>
  <c r="H150" i="2"/>
  <c r="H381" i="2"/>
  <c r="H612" i="2"/>
  <c r="H843" i="2"/>
  <c r="H1074" i="2"/>
  <c r="H1305" i="2"/>
  <c r="H1536" i="2"/>
  <c r="H1767" i="2"/>
  <c r="H1998" i="2"/>
  <c r="H2229" i="2"/>
  <c r="H2460" i="2"/>
  <c r="H2691" i="2"/>
  <c r="H2922" i="2"/>
  <c r="H3153" i="2"/>
  <c r="H3384" i="2"/>
  <c r="H3615" i="2"/>
  <c r="H3846" i="2"/>
  <c r="H4077" i="2"/>
  <c r="H4308" i="2"/>
  <c r="H4539" i="2"/>
  <c r="H4770" i="2"/>
  <c r="H151" i="2"/>
  <c r="H382" i="2"/>
  <c r="H613" i="2"/>
  <c r="H844" i="2"/>
  <c r="H1075" i="2"/>
  <c r="H1306" i="2"/>
  <c r="H1537" i="2"/>
  <c r="H1768" i="2"/>
  <c r="H1999" i="2"/>
  <c r="H2230" i="2"/>
  <c r="H2461" i="2"/>
  <c r="H2692" i="2"/>
  <c r="H2923" i="2"/>
  <c r="H3154" i="2"/>
  <c r="H3385" i="2"/>
  <c r="H3616" i="2"/>
  <c r="H3847" i="2"/>
  <c r="H4078" i="2"/>
  <c r="H4309" i="2"/>
  <c r="H4540" i="2"/>
  <c r="H4771" i="2"/>
  <c r="H152" i="2"/>
  <c r="H383" i="2"/>
  <c r="H614" i="2"/>
  <c r="H845" i="2"/>
  <c r="H1076" i="2"/>
  <c r="H1307" i="2"/>
  <c r="H1538" i="2"/>
  <c r="H1769" i="2"/>
  <c r="H2000" i="2"/>
  <c r="H2231" i="2"/>
  <c r="H2462" i="2"/>
  <c r="H2693" i="2"/>
  <c r="H2924" i="2"/>
  <c r="H3155" i="2"/>
  <c r="H3386" i="2"/>
  <c r="H3617" i="2"/>
  <c r="H3848" i="2"/>
  <c r="H4079" i="2"/>
  <c r="H4310" i="2"/>
  <c r="H4541" i="2"/>
  <c r="H4772" i="2"/>
  <c r="H153" i="2"/>
  <c r="H384" i="2"/>
  <c r="H615" i="2"/>
  <c r="H846" i="2"/>
  <c r="H1077" i="2"/>
  <c r="H1308" i="2"/>
  <c r="H1539" i="2"/>
  <c r="H1770" i="2"/>
  <c r="H2001" i="2"/>
  <c r="H2232" i="2"/>
  <c r="H2463" i="2"/>
  <c r="H2694" i="2"/>
  <c r="H2925" i="2"/>
  <c r="H3156" i="2"/>
  <c r="H3387" i="2"/>
  <c r="H3618" i="2"/>
  <c r="H3849" i="2"/>
  <c r="H4080" i="2"/>
  <c r="H4311" i="2"/>
  <c r="H4542" i="2"/>
  <c r="H4773" i="2"/>
  <c r="H154" i="2"/>
  <c r="H385" i="2"/>
  <c r="H616" i="2"/>
  <c r="H847" i="2"/>
  <c r="H1078" i="2"/>
  <c r="H1309" i="2"/>
  <c r="H1540" i="2"/>
  <c r="H1771" i="2"/>
  <c r="H2002" i="2"/>
  <c r="H2233" i="2"/>
  <c r="H2464" i="2"/>
  <c r="H2695" i="2"/>
  <c r="H2926" i="2"/>
  <c r="H3157" i="2"/>
  <c r="H3388" i="2"/>
  <c r="H3619" i="2"/>
  <c r="H3850" i="2"/>
  <c r="H4081" i="2"/>
  <c r="H4312" i="2"/>
  <c r="H4543" i="2"/>
  <c r="H4774" i="2"/>
  <c r="H155" i="2"/>
  <c r="H386" i="2"/>
  <c r="H617" i="2"/>
  <c r="H848" i="2"/>
  <c r="H1079" i="2"/>
  <c r="H1310" i="2"/>
  <c r="H1541" i="2"/>
  <c r="H1772" i="2"/>
  <c r="H2003" i="2"/>
  <c r="H2234" i="2"/>
  <c r="H2465" i="2"/>
  <c r="H2696" i="2"/>
  <c r="H2927" i="2"/>
  <c r="H3158" i="2"/>
  <c r="H3389" i="2"/>
  <c r="H3620" i="2"/>
  <c r="H3851" i="2"/>
  <c r="H4082" i="2"/>
  <c r="H4313" i="2"/>
  <c r="H4544" i="2"/>
  <c r="H4775" i="2"/>
  <c r="H156" i="2"/>
  <c r="H387" i="2"/>
  <c r="H618" i="2"/>
  <c r="H849" i="2"/>
  <c r="H1080" i="2"/>
  <c r="H1311" i="2"/>
  <c r="H1542" i="2"/>
  <c r="H1773" i="2"/>
  <c r="H2004" i="2"/>
  <c r="H2235" i="2"/>
  <c r="H2466" i="2"/>
  <c r="H2697" i="2"/>
  <c r="H2928" i="2"/>
  <c r="H3159" i="2"/>
  <c r="H3390" i="2"/>
  <c r="H3621" i="2"/>
  <c r="H3852" i="2"/>
  <c r="H4083" i="2"/>
  <c r="H4314" i="2"/>
  <c r="H4545" i="2"/>
  <c r="H4776" i="2"/>
  <c r="H157" i="2"/>
  <c r="H388" i="2"/>
  <c r="H619" i="2"/>
  <c r="H850" i="2"/>
  <c r="H1081" i="2"/>
  <c r="H1312" i="2"/>
  <c r="H1543" i="2"/>
  <c r="H1774" i="2"/>
  <c r="H2005" i="2"/>
  <c r="H2236" i="2"/>
  <c r="H2467" i="2"/>
  <c r="H2698" i="2"/>
  <c r="H2929" i="2"/>
  <c r="H3160" i="2"/>
  <c r="H3391" i="2"/>
  <c r="H3622" i="2"/>
  <c r="H3853" i="2"/>
  <c r="H4084" i="2"/>
  <c r="H4315" i="2"/>
  <c r="H4546" i="2"/>
  <c r="H4777" i="2"/>
  <c r="H158" i="2"/>
  <c r="H389" i="2"/>
  <c r="H620" i="2"/>
  <c r="H851" i="2"/>
  <c r="H1082" i="2"/>
  <c r="H1313" i="2"/>
  <c r="H1544" i="2"/>
  <c r="H1775" i="2"/>
  <c r="H2006" i="2"/>
  <c r="H2237" i="2"/>
  <c r="H2468" i="2"/>
  <c r="H2699" i="2"/>
  <c r="H2930" i="2"/>
  <c r="H3161" i="2"/>
  <c r="H3392" i="2"/>
  <c r="H3623" i="2"/>
  <c r="H3854" i="2"/>
  <c r="H4085" i="2"/>
  <c r="H4316" i="2"/>
  <c r="H4547" i="2"/>
  <c r="H4778" i="2"/>
  <c r="H159" i="2"/>
  <c r="H390" i="2"/>
  <c r="H621" i="2"/>
  <c r="H852" i="2"/>
  <c r="H1083" i="2"/>
  <c r="H1314" i="2"/>
  <c r="H1545" i="2"/>
  <c r="H1776" i="2"/>
  <c r="H2007" i="2"/>
  <c r="H2238" i="2"/>
  <c r="H2469" i="2"/>
  <c r="H2700" i="2"/>
  <c r="H2931" i="2"/>
  <c r="H3162" i="2"/>
  <c r="H3393" i="2"/>
  <c r="H3624" i="2"/>
  <c r="H3855" i="2"/>
  <c r="H4086" i="2"/>
  <c r="H4317" i="2"/>
  <c r="H4548" i="2"/>
  <c r="H4779" i="2"/>
  <c r="H160" i="2"/>
  <c r="H391" i="2"/>
  <c r="H622" i="2"/>
  <c r="H853" i="2"/>
  <c r="H1084" i="2"/>
  <c r="H1315" i="2"/>
  <c r="H1546" i="2"/>
  <c r="H1777" i="2"/>
  <c r="H2008" i="2"/>
  <c r="H2239" i="2"/>
  <c r="H2470" i="2"/>
  <c r="H2701" i="2"/>
  <c r="H2932" i="2"/>
  <c r="H3163" i="2"/>
  <c r="H3394" i="2"/>
  <c r="H3625" i="2"/>
  <c r="H3856" i="2"/>
  <c r="H4087" i="2"/>
  <c r="H4318" i="2"/>
  <c r="H4549" i="2"/>
  <c r="H4780" i="2"/>
  <c r="H161" i="2"/>
  <c r="H392" i="2"/>
  <c r="H623" i="2"/>
  <c r="H854" i="2"/>
  <c r="H1085" i="2"/>
  <c r="H1316" i="2"/>
  <c r="H1547" i="2"/>
  <c r="H1778" i="2"/>
  <c r="H2009" i="2"/>
  <c r="H2240" i="2"/>
  <c r="H2471" i="2"/>
  <c r="H2702" i="2"/>
  <c r="H2933" i="2"/>
  <c r="H3164" i="2"/>
  <c r="H3395" i="2"/>
  <c r="H3626" i="2"/>
  <c r="H3857" i="2"/>
  <c r="H4088" i="2"/>
  <c r="H4319" i="2"/>
  <c r="H4550" i="2"/>
  <c r="H4781" i="2"/>
  <c r="H162" i="2"/>
  <c r="H393" i="2"/>
  <c r="H624" i="2"/>
  <c r="H855" i="2"/>
  <c r="H1086" i="2"/>
  <c r="H1317" i="2"/>
  <c r="H1548" i="2"/>
  <c r="H1779" i="2"/>
  <c r="H2010" i="2"/>
  <c r="H2241" i="2"/>
  <c r="H2472" i="2"/>
  <c r="H2703" i="2"/>
  <c r="H2934" i="2"/>
  <c r="H3165" i="2"/>
  <c r="H3396" i="2"/>
  <c r="H3627" i="2"/>
  <c r="H3858" i="2"/>
  <c r="H4089" i="2"/>
  <c r="H4320" i="2"/>
  <c r="H4551" i="2"/>
  <c r="H4782" i="2"/>
  <c r="H163" i="2"/>
  <c r="H394" i="2"/>
  <c r="H625" i="2"/>
  <c r="H856" i="2"/>
  <c r="H1087" i="2"/>
  <c r="H1318" i="2"/>
  <c r="H1549" i="2"/>
  <c r="H1780" i="2"/>
  <c r="H2011" i="2"/>
  <c r="H2242" i="2"/>
  <c r="H2473" i="2"/>
  <c r="H2704" i="2"/>
  <c r="H2935" i="2"/>
  <c r="H3166" i="2"/>
  <c r="H3397" i="2"/>
  <c r="H3628" i="2"/>
  <c r="H3859" i="2"/>
  <c r="H4090" i="2"/>
  <c r="H4321" i="2"/>
  <c r="H4552" i="2"/>
  <c r="H4783" i="2"/>
  <c r="H164" i="2"/>
  <c r="H395" i="2"/>
  <c r="H626" i="2"/>
  <c r="H857" i="2"/>
  <c r="H1088" i="2"/>
  <c r="H1319" i="2"/>
  <c r="H1550" i="2"/>
  <c r="H1781" i="2"/>
  <c r="H2012" i="2"/>
  <c r="H2243" i="2"/>
  <c r="H2474" i="2"/>
  <c r="H2705" i="2"/>
  <c r="H2936" i="2"/>
  <c r="H3167" i="2"/>
  <c r="H3398" i="2"/>
  <c r="H3629" i="2"/>
  <c r="H3860" i="2"/>
  <c r="H4091" i="2"/>
  <c r="H4322" i="2"/>
  <c r="H4553" i="2"/>
  <c r="H4784" i="2"/>
  <c r="H165" i="2"/>
  <c r="H396" i="2"/>
  <c r="H627" i="2"/>
  <c r="H858" i="2"/>
  <c r="H1089" i="2"/>
  <c r="H1320" i="2"/>
  <c r="H1551" i="2"/>
  <c r="H1782" i="2"/>
  <c r="H2013" i="2"/>
  <c r="H2244" i="2"/>
  <c r="H2475" i="2"/>
  <c r="H2706" i="2"/>
  <c r="H2937" i="2"/>
  <c r="H3168" i="2"/>
  <c r="H3399" i="2"/>
  <c r="H3630" i="2"/>
  <c r="H3861" i="2"/>
  <c r="H4092" i="2"/>
  <c r="H4323" i="2"/>
  <c r="H4554" i="2"/>
  <c r="H4785" i="2"/>
  <c r="H166" i="2"/>
  <c r="H397" i="2"/>
  <c r="H628" i="2"/>
  <c r="H859" i="2"/>
  <c r="H1090" i="2"/>
  <c r="H1321" i="2"/>
  <c r="H1552" i="2"/>
  <c r="H1783" i="2"/>
  <c r="H2014" i="2"/>
  <c r="H2245" i="2"/>
  <c r="H2476" i="2"/>
  <c r="H2707" i="2"/>
  <c r="H2938" i="2"/>
  <c r="H3169" i="2"/>
  <c r="H3400" i="2"/>
  <c r="H3631" i="2"/>
  <c r="H3862" i="2"/>
  <c r="H4093" i="2"/>
  <c r="H4324" i="2"/>
  <c r="H4555" i="2"/>
  <c r="H4786" i="2"/>
  <c r="H167" i="2"/>
  <c r="H398" i="2"/>
  <c r="H629" i="2"/>
  <c r="H860" i="2"/>
  <c r="H1091" i="2"/>
  <c r="H1322" i="2"/>
  <c r="H1553" i="2"/>
  <c r="H1784" i="2"/>
  <c r="H2015" i="2"/>
  <c r="H2246" i="2"/>
  <c r="H2477" i="2"/>
  <c r="H2708" i="2"/>
  <c r="H2939" i="2"/>
  <c r="H3170" i="2"/>
  <c r="H3401" i="2"/>
  <c r="H3632" i="2"/>
  <c r="H3863" i="2"/>
  <c r="H4094" i="2"/>
  <c r="H4325" i="2"/>
  <c r="H4556" i="2"/>
  <c r="H4787" i="2"/>
  <c r="H168" i="2"/>
  <c r="H399" i="2"/>
  <c r="H630" i="2"/>
  <c r="H861" i="2"/>
  <c r="H1092" i="2"/>
  <c r="H1323" i="2"/>
  <c r="H1554" i="2"/>
  <c r="H1785" i="2"/>
  <c r="H2016" i="2"/>
  <c r="H2247" i="2"/>
  <c r="H2478" i="2"/>
  <c r="H2709" i="2"/>
  <c r="H2940" i="2"/>
  <c r="H3171" i="2"/>
  <c r="H3402" i="2"/>
  <c r="H3633" i="2"/>
  <c r="H3864" i="2"/>
  <c r="H4095" i="2"/>
  <c r="H4326" i="2"/>
  <c r="H4557" i="2"/>
  <c r="H4788" i="2"/>
  <c r="H169" i="2"/>
  <c r="H400" i="2"/>
  <c r="H631" i="2"/>
  <c r="H862" i="2"/>
  <c r="H1093" i="2"/>
  <c r="H1324" i="2"/>
  <c r="H1555" i="2"/>
  <c r="H1786" i="2"/>
  <c r="H2017" i="2"/>
  <c r="H2248" i="2"/>
  <c r="H2479" i="2"/>
  <c r="H2710" i="2"/>
  <c r="H2941" i="2"/>
  <c r="H3172" i="2"/>
  <c r="H3403" i="2"/>
  <c r="H3634" i="2"/>
  <c r="H3865" i="2"/>
  <c r="H4096" i="2"/>
  <c r="H4327" i="2"/>
  <c r="H4558" i="2"/>
  <c r="H4789" i="2"/>
  <c r="H170" i="2"/>
  <c r="H401" i="2"/>
  <c r="H632" i="2"/>
  <c r="H863" i="2"/>
  <c r="H1094" i="2"/>
  <c r="H1325" i="2"/>
  <c r="H1556" i="2"/>
  <c r="H1787" i="2"/>
  <c r="H2018" i="2"/>
  <c r="H2249" i="2"/>
  <c r="H2480" i="2"/>
  <c r="H2711" i="2"/>
  <c r="H2942" i="2"/>
  <c r="H3173" i="2"/>
  <c r="H3404" i="2"/>
  <c r="H3635" i="2"/>
  <c r="H3866" i="2"/>
  <c r="H4097" i="2"/>
  <c r="H4328" i="2"/>
  <c r="H4559" i="2"/>
  <c r="H4790" i="2"/>
  <c r="H171" i="2"/>
  <c r="H402" i="2"/>
  <c r="H633" i="2"/>
  <c r="H864" i="2"/>
  <c r="H1095" i="2"/>
  <c r="H1326" i="2"/>
  <c r="H1557" i="2"/>
  <c r="H1788" i="2"/>
  <c r="H2019" i="2"/>
  <c r="H2250" i="2"/>
  <c r="H2481" i="2"/>
  <c r="H2712" i="2"/>
  <c r="H2943" i="2"/>
  <c r="H3174" i="2"/>
  <c r="H3405" i="2"/>
  <c r="H3636" i="2"/>
  <c r="H3867" i="2"/>
  <c r="H4098" i="2"/>
  <c r="H4329" i="2"/>
  <c r="H4560" i="2"/>
  <c r="H4791" i="2"/>
  <c r="H172" i="2"/>
  <c r="H403" i="2"/>
  <c r="H634" i="2"/>
  <c r="H865" i="2"/>
  <c r="H1096" i="2"/>
  <c r="H1327" i="2"/>
  <c r="H1558" i="2"/>
  <c r="H1789" i="2"/>
  <c r="H2020" i="2"/>
  <c r="H2251" i="2"/>
  <c r="H2482" i="2"/>
  <c r="H2713" i="2"/>
  <c r="H2944" i="2"/>
  <c r="H3175" i="2"/>
  <c r="H3406" i="2"/>
  <c r="H3637" i="2"/>
  <c r="H3868" i="2"/>
  <c r="H4099" i="2"/>
  <c r="H4330" i="2"/>
  <c r="H4561" i="2"/>
  <c r="H4792" i="2"/>
  <c r="H173" i="2"/>
  <c r="H404" i="2"/>
  <c r="H635" i="2"/>
  <c r="H866" i="2"/>
  <c r="H1097" i="2"/>
  <c r="H1328" i="2"/>
  <c r="H1559" i="2"/>
  <c r="H1790" i="2"/>
  <c r="H2021" i="2"/>
  <c r="H2252" i="2"/>
  <c r="H2483" i="2"/>
  <c r="H2714" i="2"/>
  <c r="H2945" i="2"/>
  <c r="H3176" i="2"/>
  <c r="H3407" i="2"/>
  <c r="H3638" i="2"/>
  <c r="H3869" i="2"/>
  <c r="H4100" i="2"/>
  <c r="H4331" i="2"/>
  <c r="H4562" i="2"/>
  <c r="H4793" i="2"/>
  <c r="H174" i="2"/>
  <c r="H405" i="2"/>
  <c r="H636" i="2"/>
  <c r="H867" i="2"/>
  <c r="H1098" i="2"/>
  <c r="H1329" i="2"/>
  <c r="H1560" i="2"/>
  <c r="H1791" i="2"/>
  <c r="H2022" i="2"/>
  <c r="H2253" i="2"/>
  <c r="H2484" i="2"/>
  <c r="H2715" i="2"/>
  <c r="H2946" i="2"/>
  <c r="H3177" i="2"/>
  <c r="H3408" i="2"/>
  <c r="H3639" i="2"/>
  <c r="H3870" i="2"/>
  <c r="H4101" i="2"/>
  <c r="H4332" i="2"/>
  <c r="H4563" i="2"/>
  <c r="H4794" i="2"/>
  <c r="H175" i="2"/>
  <c r="H406" i="2"/>
  <c r="H637" i="2"/>
  <c r="H868" i="2"/>
  <c r="H1099" i="2"/>
  <c r="H1330" i="2"/>
  <c r="H1561" i="2"/>
  <c r="H1792" i="2"/>
  <c r="H2023" i="2"/>
  <c r="H2254" i="2"/>
  <c r="H2485" i="2"/>
  <c r="H2716" i="2"/>
  <c r="H2947" i="2"/>
  <c r="H3178" i="2"/>
  <c r="H3409" i="2"/>
  <c r="H3640" i="2"/>
  <c r="H3871" i="2"/>
  <c r="H4102" i="2"/>
  <c r="H4333" i="2"/>
  <c r="H4564" i="2"/>
  <c r="H4795" i="2"/>
  <c r="H176" i="2"/>
  <c r="H407" i="2"/>
  <c r="H638" i="2"/>
  <c r="H869" i="2"/>
  <c r="H1100" i="2"/>
  <c r="H1331" i="2"/>
  <c r="H1562" i="2"/>
  <c r="H1793" i="2"/>
  <c r="H2024" i="2"/>
  <c r="H2255" i="2"/>
  <c r="H2486" i="2"/>
  <c r="H2717" i="2"/>
  <c r="H2948" i="2"/>
  <c r="H3179" i="2"/>
  <c r="H3410" i="2"/>
  <c r="H3641" i="2"/>
  <c r="H3872" i="2"/>
  <c r="H4103" i="2"/>
  <c r="H4334" i="2"/>
  <c r="H4565" i="2"/>
  <c r="H4796" i="2"/>
  <c r="H177" i="2"/>
  <c r="H408" i="2"/>
  <c r="H639" i="2"/>
  <c r="H870" i="2"/>
  <c r="H1101" i="2"/>
  <c r="H1332" i="2"/>
  <c r="H1563" i="2"/>
  <c r="H1794" i="2"/>
  <c r="H2025" i="2"/>
  <c r="H2256" i="2"/>
  <c r="H2487" i="2"/>
  <c r="H2718" i="2"/>
  <c r="H2949" i="2"/>
  <c r="H3180" i="2"/>
  <c r="H3411" i="2"/>
  <c r="H3642" i="2"/>
  <c r="H3873" i="2"/>
  <c r="H4104" i="2"/>
  <c r="H4335" i="2"/>
  <c r="H4566" i="2"/>
  <c r="H4797" i="2"/>
  <c r="H178" i="2"/>
  <c r="H409" i="2"/>
  <c r="H640" i="2"/>
  <c r="H871" i="2"/>
  <c r="H1102" i="2"/>
  <c r="H1333" i="2"/>
  <c r="H1564" i="2"/>
  <c r="H1795" i="2"/>
  <c r="H2026" i="2"/>
  <c r="H2257" i="2"/>
  <c r="H2488" i="2"/>
  <c r="H2719" i="2"/>
  <c r="H2950" i="2"/>
  <c r="H3181" i="2"/>
  <c r="H3412" i="2"/>
  <c r="H3643" i="2"/>
  <c r="H3874" i="2"/>
  <c r="H4105" i="2"/>
  <c r="H4336" i="2"/>
  <c r="H4567" i="2"/>
  <c r="H4798" i="2"/>
  <c r="H179" i="2"/>
  <c r="H410" i="2"/>
  <c r="H641" i="2"/>
  <c r="H872" i="2"/>
  <c r="H1103" i="2"/>
  <c r="H1334" i="2"/>
  <c r="H1565" i="2"/>
  <c r="H1796" i="2"/>
  <c r="H2027" i="2"/>
  <c r="H2258" i="2"/>
  <c r="H2489" i="2"/>
  <c r="H2720" i="2"/>
  <c r="H2951" i="2"/>
  <c r="H3182" i="2"/>
  <c r="H3413" i="2"/>
  <c r="H3644" i="2"/>
  <c r="H3875" i="2"/>
  <c r="H4106" i="2"/>
  <c r="H4337" i="2"/>
  <c r="H4568" i="2"/>
  <c r="H4799" i="2"/>
  <c r="H180" i="2"/>
  <c r="H411" i="2"/>
  <c r="H642" i="2"/>
  <c r="H873" i="2"/>
  <c r="H1104" i="2"/>
  <c r="H1335" i="2"/>
  <c r="H1566" i="2"/>
  <c r="H1797" i="2"/>
  <c r="H2028" i="2"/>
  <c r="H2259" i="2"/>
  <c r="H2490" i="2"/>
  <c r="H2721" i="2"/>
  <c r="H2952" i="2"/>
  <c r="H3183" i="2"/>
  <c r="H3414" i="2"/>
  <c r="H3645" i="2"/>
  <c r="H3876" i="2"/>
  <c r="H4107" i="2"/>
  <c r="H4338" i="2"/>
  <c r="H4569" i="2"/>
  <c r="H4800" i="2"/>
  <c r="H181" i="2"/>
  <c r="H412" i="2"/>
  <c r="H643" i="2"/>
  <c r="H874" i="2"/>
  <c r="H1105" i="2"/>
  <c r="H1336" i="2"/>
  <c r="H1567" i="2"/>
  <c r="H1798" i="2"/>
  <c r="H2029" i="2"/>
  <c r="H2260" i="2"/>
  <c r="H2491" i="2"/>
  <c r="H2722" i="2"/>
  <c r="H2953" i="2"/>
  <c r="H3184" i="2"/>
  <c r="H3415" i="2"/>
  <c r="H3646" i="2"/>
  <c r="H3877" i="2"/>
  <c r="H4108" i="2"/>
  <c r="H4339" i="2"/>
  <c r="H4570" i="2"/>
  <c r="H4801" i="2"/>
  <c r="H182" i="2"/>
  <c r="H413" i="2"/>
  <c r="H644" i="2"/>
  <c r="H875" i="2"/>
  <c r="H1106" i="2"/>
  <c r="H1337" i="2"/>
  <c r="H1568" i="2"/>
  <c r="H1799" i="2"/>
  <c r="H2030" i="2"/>
  <c r="H2261" i="2"/>
  <c r="H2492" i="2"/>
  <c r="H2723" i="2"/>
  <c r="H2954" i="2"/>
  <c r="H3185" i="2"/>
  <c r="H3416" i="2"/>
  <c r="H3647" i="2"/>
  <c r="H3878" i="2"/>
  <c r="H4109" i="2"/>
  <c r="H4340" i="2"/>
  <c r="H4571" i="2"/>
  <c r="H4802" i="2"/>
  <c r="H183" i="2"/>
  <c r="H414" i="2"/>
  <c r="H645" i="2"/>
  <c r="H876" i="2"/>
  <c r="H1107" i="2"/>
  <c r="H1338" i="2"/>
  <c r="H1569" i="2"/>
  <c r="H1800" i="2"/>
  <c r="H2031" i="2"/>
  <c r="H2262" i="2"/>
  <c r="H2493" i="2"/>
  <c r="H2724" i="2"/>
  <c r="H2955" i="2"/>
  <c r="H3186" i="2"/>
  <c r="H3417" i="2"/>
  <c r="H3648" i="2"/>
  <c r="H3879" i="2"/>
  <c r="H4110" i="2"/>
  <c r="H4341" i="2"/>
  <c r="H4572" i="2"/>
  <c r="H4803" i="2"/>
  <c r="H184" i="2"/>
  <c r="H415" i="2"/>
  <c r="H646" i="2"/>
  <c r="H877" i="2"/>
  <c r="H1108" i="2"/>
  <c r="H1339" i="2"/>
  <c r="H1570" i="2"/>
  <c r="H1801" i="2"/>
  <c r="H2032" i="2"/>
  <c r="H2263" i="2"/>
  <c r="H2494" i="2"/>
  <c r="H2725" i="2"/>
  <c r="H2956" i="2"/>
  <c r="H3187" i="2"/>
  <c r="H3418" i="2"/>
  <c r="H3649" i="2"/>
  <c r="H3880" i="2"/>
  <c r="H4111" i="2"/>
  <c r="H4342" i="2"/>
  <c r="H4573" i="2"/>
  <c r="H4804" i="2"/>
  <c r="H185" i="2"/>
  <c r="H416" i="2"/>
  <c r="H647" i="2"/>
  <c r="H878" i="2"/>
  <c r="H1109" i="2"/>
  <c r="H1340" i="2"/>
  <c r="H1571" i="2"/>
  <c r="H1802" i="2"/>
  <c r="H2033" i="2"/>
  <c r="H2264" i="2"/>
  <c r="H2495" i="2"/>
  <c r="H2726" i="2"/>
  <c r="H2957" i="2"/>
  <c r="H3188" i="2"/>
  <c r="H3419" i="2"/>
  <c r="H3650" i="2"/>
  <c r="H3881" i="2"/>
  <c r="H4112" i="2"/>
  <c r="H4343" i="2"/>
  <c r="H4574" i="2"/>
  <c r="H4805" i="2"/>
  <c r="H186" i="2"/>
  <c r="H417" i="2"/>
  <c r="H648" i="2"/>
  <c r="H879" i="2"/>
  <c r="H1110" i="2"/>
  <c r="H1341" i="2"/>
  <c r="H1572" i="2"/>
  <c r="H1803" i="2"/>
  <c r="H2034" i="2"/>
  <c r="H2265" i="2"/>
  <c r="H2496" i="2"/>
  <c r="H2727" i="2"/>
  <c r="H2958" i="2"/>
  <c r="H3189" i="2"/>
  <c r="H3420" i="2"/>
  <c r="H3651" i="2"/>
  <c r="H3882" i="2"/>
  <c r="H4113" i="2"/>
  <c r="H4344" i="2"/>
  <c r="H4575" i="2"/>
  <c r="H4806" i="2"/>
  <c r="H187" i="2"/>
  <c r="H418" i="2"/>
  <c r="H649" i="2"/>
  <c r="H880" i="2"/>
  <c r="H1111" i="2"/>
  <c r="H1342" i="2"/>
  <c r="H1573" i="2"/>
  <c r="H1804" i="2"/>
  <c r="H2035" i="2"/>
  <c r="H2266" i="2"/>
  <c r="H2497" i="2"/>
  <c r="H2728" i="2"/>
  <c r="H2959" i="2"/>
  <c r="H3190" i="2"/>
  <c r="H3421" i="2"/>
  <c r="H3652" i="2"/>
  <c r="H3883" i="2"/>
  <c r="H4114" i="2"/>
  <c r="H4345" i="2"/>
  <c r="H4576" i="2"/>
  <c r="H4807" i="2"/>
  <c r="H188" i="2"/>
  <c r="H419" i="2"/>
  <c r="H650" i="2"/>
  <c r="H881" i="2"/>
  <c r="H1112" i="2"/>
  <c r="H1343" i="2"/>
  <c r="H1574" i="2"/>
  <c r="H1805" i="2"/>
  <c r="H2036" i="2"/>
  <c r="H2267" i="2"/>
  <c r="H2498" i="2"/>
  <c r="H2729" i="2"/>
  <c r="H2960" i="2"/>
  <c r="H3191" i="2"/>
  <c r="H3422" i="2"/>
  <c r="H3653" i="2"/>
  <c r="H3884" i="2"/>
  <c r="H4115" i="2"/>
  <c r="H4346" i="2"/>
  <c r="H4577" i="2"/>
  <c r="H4808" i="2"/>
  <c r="H189" i="2"/>
  <c r="H420" i="2"/>
  <c r="H651" i="2"/>
  <c r="H882" i="2"/>
  <c r="H1113" i="2"/>
  <c r="H1344" i="2"/>
  <c r="H1575" i="2"/>
  <c r="H1806" i="2"/>
  <c r="H2037" i="2"/>
  <c r="H2268" i="2"/>
  <c r="H2499" i="2"/>
  <c r="H2730" i="2"/>
  <c r="H2961" i="2"/>
  <c r="H3192" i="2"/>
  <c r="H3423" i="2"/>
  <c r="H3654" i="2"/>
  <c r="H3885" i="2"/>
  <c r="H4116" i="2"/>
  <c r="H4347" i="2"/>
  <c r="H4578" i="2"/>
  <c r="H4809" i="2"/>
  <c r="H190" i="2"/>
  <c r="H421" i="2"/>
  <c r="H652" i="2"/>
  <c r="H883" i="2"/>
  <c r="H1114" i="2"/>
  <c r="H1345" i="2"/>
  <c r="H1576" i="2"/>
  <c r="H1807" i="2"/>
  <c r="H2038" i="2"/>
  <c r="H2269" i="2"/>
  <c r="H2500" i="2"/>
  <c r="H2731" i="2"/>
  <c r="H2962" i="2"/>
  <c r="H3193" i="2"/>
  <c r="H3424" i="2"/>
  <c r="H3655" i="2"/>
  <c r="H3886" i="2"/>
  <c r="H4117" i="2"/>
  <c r="H4348" i="2"/>
  <c r="H4579" i="2"/>
  <c r="H4810" i="2"/>
  <c r="H191" i="2"/>
  <c r="H422" i="2"/>
  <c r="H653" i="2"/>
  <c r="H884" i="2"/>
  <c r="H1115" i="2"/>
  <c r="H1346" i="2"/>
  <c r="H1577" i="2"/>
  <c r="H1808" i="2"/>
  <c r="H2039" i="2"/>
  <c r="H2270" i="2"/>
  <c r="H2501" i="2"/>
  <c r="H2732" i="2"/>
  <c r="H2963" i="2"/>
  <c r="H3194" i="2"/>
  <c r="H3425" i="2"/>
  <c r="H3656" i="2"/>
  <c r="H3887" i="2"/>
  <c r="H4118" i="2"/>
  <c r="H4349" i="2"/>
  <c r="H4580" i="2"/>
  <c r="H4811" i="2"/>
  <c r="H192" i="2"/>
  <c r="H423" i="2"/>
  <c r="H654" i="2"/>
  <c r="H885" i="2"/>
  <c r="H1116" i="2"/>
  <c r="H1347" i="2"/>
  <c r="H1578" i="2"/>
  <c r="H1809" i="2"/>
  <c r="H2040" i="2"/>
  <c r="H2271" i="2"/>
  <c r="H2502" i="2"/>
  <c r="H2733" i="2"/>
  <c r="H2964" i="2"/>
  <c r="H3195" i="2"/>
  <c r="H3426" i="2"/>
  <c r="H3657" i="2"/>
  <c r="H3888" i="2"/>
  <c r="H4119" i="2"/>
  <c r="H4350" i="2"/>
  <c r="H4581" i="2"/>
  <c r="H4812" i="2"/>
  <c r="H193" i="2"/>
  <c r="H424" i="2"/>
  <c r="H655" i="2"/>
  <c r="H886" i="2"/>
  <c r="H1117" i="2"/>
  <c r="H1348" i="2"/>
  <c r="H1579" i="2"/>
  <c r="H1810" i="2"/>
  <c r="H2041" i="2"/>
  <c r="H2272" i="2"/>
  <c r="H2503" i="2"/>
  <c r="H2734" i="2"/>
  <c r="H2965" i="2"/>
  <c r="H3196" i="2"/>
  <c r="H3427" i="2"/>
  <c r="H3658" i="2"/>
  <c r="H3889" i="2"/>
  <c r="H4120" i="2"/>
  <c r="H4351" i="2"/>
  <c r="H4582" i="2"/>
  <c r="H4813" i="2"/>
  <c r="H194" i="2"/>
  <c r="H425" i="2"/>
  <c r="H656" i="2"/>
  <c r="H887" i="2"/>
  <c r="H1118" i="2"/>
  <c r="H1349" i="2"/>
  <c r="H1580" i="2"/>
  <c r="H1811" i="2"/>
  <c r="H2042" i="2"/>
  <c r="H2273" i="2"/>
  <c r="H2504" i="2"/>
  <c r="H2735" i="2"/>
  <c r="H2966" i="2"/>
  <c r="H3197" i="2"/>
  <c r="H3428" i="2"/>
  <c r="H3659" i="2"/>
  <c r="H3890" i="2"/>
  <c r="H4121" i="2"/>
  <c r="H4352" i="2"/>
  <c r="H4583" i="2"/>
  <c r="H4814" i="2"/>
  <c r="H195" i="2"/>
  <c r="H426" i="2"/>
  <c r="H657" i="2"/>
  <c r="H888" i="2"/>
  <c r="H1119" i="2"/>
  <c r="H1350" i="2"/>
  <c r="H1581" i="2"/>
  <c r="H1812" i="2"/>
  <c r="H2043" i="2"/>
  <c r="H2274" i="2"/>
  <c r="H2505" i="2"/>
  <c r="H2736" i="2"/>
  <c r="H2967" i="2"/>
  <c r="H3198" i="2"/>
  <c r="H3429" i="2"/>
  <c r="H3660" i="2"/>
  <c r="H3891" i="2"/>
  <c r="H4122" i="2"/>
  <c r="H4353" i="2"/>
  <c r="H4584" i="2"/>
  <c r="H4815" i="2"/>
  <c r="H196" i="2"/>
  <c r="H427" i="2"/>
  <c r="H658" i="2"/>
  <c r="H889" i="2"/>
  <c r="H1120" i="2"/>
  <c r="H1351" i="2"/>
  <c r="H1582" i="2"/>
  <c r="H1813" i="2"/>
  <c r="H2044" i="2"/>
  <c r="H2275" i="2"/>
  <c r="H2506" i="2"/>
  <c r="H2737" i="2"/>
  <c r="H2968" i="2"/>
  <c r="H3199" i="2"/>
  <c r="H3430" i="2"/>
  <c r="H3661" i="2"/>
  <c r="H3892" i="2"/>
  <c r="H4123" i="2"/>
  <c r="H4354" i="2"/>
  <c r="H4585" i="2"/>
  <c r="H4816" i="2"/>
  <c r="H197" i="2"/>
  <c r="H428" i="2"/>
  <c r="H659" i="2"/>
  <c r="H890" i="2"/>
  <c r="H1121" i="2"/>
  <c r="H1352" i="2"/>
  <c r="H1583" i="2"/>
  <c r="H1814" i="2"/>
  <c r="H2045" i="2"/>
  <c r="H2276" i="2"/>
  <c r="H2507" i="2"/>
  <c r="H2738" i="2"/>
  <c r="H2969" i="2"/>
  <c r="H3200" i="2"/>
  <c r="H3431" i="2"/>
  <c r="H3662" i="2"/>
  <c r="H3893" i="2"/>
  <c r="H4124" i="2"/>
  <c r="H4355" i="2"/>
  <c r="H4586" i="2"/>
  <c r="H4817" i="2"/>
  <c r="H198" i="2"/>
  <c r="H429" i="2"/>
  <c r="H660" i="2"/>
  <c r="H891" i="2"/>
  <c r="H1122" i="2"/>
  <c r="H1353" i="2"/>
  <c r="H1584" i="2"/>
  <c r="H1815" i="2"/>
  <c r="H2046" i="2"/>
  <c r="H2277" i="2"/>
  <c r="H2508" i="2"/>
  <c r="H2739" i="2"/>
  <c r="H2970" i="2"/>
  <c r="H3201" i="2"/>
  <c r="H3432" i="2"/>
  <c r="H3663" i="2"/>
  <c r="H3894" i="2"/>
  <c r="H4125" i="2"/>
  <c r="H4356" i="2"/>
  <c r="H4587" i="2"/>
  <c r="H4818" i="2"/>
  <c r="H199" i="2"/>
  <c r="H430" i="2"/>
  <c r="H661" i="2"/>
  <c r="H892" i="2"/>
  <c r="H1123" i="2"/>
  <c r="H1354" i="2"/>
  <c r="H1585" i="2"/>
  <c r="H1816" i="2"/>
  <c r="H2047" i="2"/>
  <c r="H2278" i="2"/>
  <c r="H2509" i="2"/>
  <c r="H2740" i="2"/>
  <c r="H2971" i="2"/>
  <c r="H3202" i="2"/>
  <c r="H3433" i="2"/>
  <c r="H3664" i="2"/>
  <c r="H3895" i="2"/>
  <c r="H4126" i="2"/>
  <c r="H4357" i="2"/>
  <c r="H4588" i="2"/>
  <c r="H4819" i="2"/>
  <c r="H200" i="2"/>
  <c r="H431" i="2"/>
  <c r="H662" i="2"/>
  <c r="H893" i="2"/>
  <c r="H1124" i="2"/>
  <c r="H1355" i="2"/>
  <c r="H1586" i="2"/>
  <c r="H1817" i="2"/>
  <c r="H2048" i="2"/>
  <c r="H2279" i="2"/>
  <c r="H2510" i="2"/>
  <c r="H2741" i="2"/>
  <c r="H2972" i="2"/>
  <c r="H3203" i="2"/>
  <c r="H3434" i="2"/>
  <c r="H3665" i="2"/>
  <c r="H3896" i="2"/>
  <c r="H4127" i="2"/>
  <c r="H4358" i="2"/>
  <c r="H4589" i="2"/>
  <c r="H4820" i="2"/>
  <c r="H201" i="2"/>
  <c r="H432" i="2"/>
  <c r="H663" i="2"/>
  <c r="H894" i="2"/>
  <c r="H1125" i="2"/>
  <c r="H1356" i="2"/>
  <c r="H1587" i="2"/>
  <c r="H1818" i="2"/>
  <c r="H2049" i="2"/>
  <c r="H2280" i="2"/>
  <c r="H2511" i="2"/>
  <c r="H2742" i="2"/>
  <c r="H2973" i="2"/>
  <c r="H3204" i="2"/>
  <c r="H3435" i="2"/>
  <c r="H3666" i="2"/>
  <c r="H3897" i="2"/>
  <c r="H4128" i="2"/>
  <c r="H4359" i="2"/>
  <c r="H4590" i="2"/>
  <c r="H4821" i="2"/>
  <c r="H202" i="2"/>
  <c r="H433" i="2"/>
  <c r="H664" i="2"/>
  <c r="H895" i="2"/>
  <c r="H1126" i="2"/>
  <c r="H1357" i="2"/>
  <c r="H1588" i="2"/>
  <c r="H1819" i="2"/>
  <c r="H2050" i="2"/>
  <c r="H2281" i="2"/>
  <c r="H2512" i="2"/>
  <c r="H2743" i="2"/>
  <c r="H2974" i="2"/>
  <c r="H3205" i="2"/>
  <c r="H3436" i="2"/>
  <c r="H3667" i="2"/>
  <c r="H3898" i="2"/>
  <c r="H4129" i="2"/>
  <c r="H4360" i="2"/>
  <c r="H4591" i="2"/>
  <c r="H4822" i="2"/>
  <c r="H203" i="2"/>
  <c r="H434" i="2"/>
  <c r="H665" i="2"/>
  <c r="H896" i="2"/>
  <c r="H1127" i="2"/>
  <c r="H1358" i="2"/>
  <c r="H1589" i="2"/>
  <c r="H1820" i="2"/>
  <c r="H2051" i="2"/>
  <c r="H2282" i="2"/>
  <c r="H2513" i="2"/>
  <c r="H2744" i="2"/>
  <c r="H2975" i="2"/>
  <c r="H3206" i="2"/>
  <c r="H3437" i="2"/>
  <c r="H3668" i="2"/>
  <c r="H3899" i="2"/>
  <c r="H4130" i="2"/>
  <c r="H4361" i="2"/>
  <c r="H4592" i="2"/>
  <c r="H4823" i="2"/>
  <c r="H204" i="2"/>
  <c r="H435" i="2"/>
  <c r="H666" i="2"/>
  <c r="H897" i="2"/>
  <c r="H1128" i="2"/>
  <c r="H1359" i="2"/>
  <c r="H1590" i="2"/>
  <c r="H1821" i="2"/>
  <c r="H2052" i="2"/>
  <c r="H2283" i="2"/>
  <c r="H2514" i="2"/>
  <c r="H2745" i="2"/>
  <c r="H2976" i="2"/>
  <c r="H3207" i="2"/>
  <c r="H3438" i="2"/>
  <c r="H3669" i="2"/>
  <c r="H3900" i="2"/>
  <c r="H4131" i="2"/>
  <c r="H4362" i="2"/>
  <c r="H4593" i="2"/>
  <c r="H4824" i="2"/>
  <c r="H205" i="2"/>
  <c r="H436" i="2"/>
  <c r="H667" i="2"/>
  <c r="H898" i="2"/>
  <c r="H1129" i="2"/>
  <c r="H1360" i="2"/>
  <c r="H1591" i="2"/>
  <c r="H1822" i="2"/>
  <c r="H2053" i="2"/>
  <c r="H2284" i="2"/>
  <c r="H2515" i="2"/>
  <c r="H2746" i="2"/>
  <c r="H2977" i="2"/>
  <c r="H3208" i="2"/>
  <c r="H3439" i="2"/>
  <c r="H3670" i="2"/>
  <c r="H3901" i="2"/>
  <c r="H4132" i="2"/>
  <c r="H4363" i="2"/>
  <c r="H4594" i="2"/>
  <c r="H4825" i="2"/>
  <c r="H206" i="2"/>
  <c r="H437" i="2"/>
  <c r="H668" i="2"/>
  <c r="H899" i="2"/>
  <c r="H1130" i="2"/>
  <c r="H1361" i="2"/>
  <c r="H1592" i="2"/>
  <c r="H1823" i="2"/>
  <c r="H2054" i="2"/>
  <c r="H2285" i="2"/>
  <c r="H2516" i="2"/>
  <c r="H2747" i="2"/>
  <c r="H2978" i="2"/>
  <c r="H3209" i="2"/>
  <c r="H3440" i="2"/>
  <c r="H3671" i="2"/>
  <c r="H3902" i="2"/>
  <c r="H4133" i="2"/>
  <c r="H4364" i="2"/>
  <c r="H4595" i="2"/>
  <c r="H4826" i="2"/>
  <c r="H207" i="2"/>
  <c r="H438" i="2"/>
  <c r="H669" i="2"/>
  <c r="H900" i="2"/>
  <c r="H1131" i="2"/>
  <c r="H1362" i="2"/>
  <c r="H1593" i="2"/>
  <c r="H1824" i="2"/>
  <c r="H2055" i="2"/>
  <c r="H2286" i="2"/>
  <c r="H2517" i="2"/>
  <c r="H2748" i="2"/>
  <c r="H2979" i="2"/>
  <c r="H3210" i="2"/>
  <c r="H3441" i="2"/>
  <c r="H3672" i="2"/>
  <c r="H3903" i="2"/>
  <c r="H4134" i="2"/>
  <c r="H4365" i="2"/>
  <c r="H4596" i="2"/>
  <c r="H4827" i="2"/>
  <c r="H208" i="2"/>
  <c r="H439" i="2"/>
  <c r="H670" i="2"/>
  <c r="H901" i="2"/>
  <c r="H1132" i="2"/>
  <c r="H1363" i="2"/>
  <c r="H1594" i="2"/>
  <c r="H1825" i="2"/>
  <c r="H2056" i="2"/>
  <c r="H2287" i="2"/>
  <c r="H2518" i="2"/>
  <c r="H2749" i="2"/>
  <c r="H2980" i="2"/>
  <c r="H3211" i="2"/>
  <c r="H3442" i="2"/>
  <c r="H3673" i="2"/>
  <c r="H3904" i="2"/>
  <c r="H4135" i="2"/>
  <c r="H4366" i="2"/>
  <c r="H4597" i="2"/>
  <c r="H4828" i="2"/>
  <c r="H209" i="2"/>
  <c r="H440" i="2"/>
  <c r="H671" i="2"/>
  <c r="H902" i="2"/>
  <c r="H1133" i="2"/>
  <c r="H1364" i="2"/>
  <c r="H1595" i="2"/>
  <c r="H1826" i="2"/>
  <c r="H2057" i="2"/>
  <c r="H2288" i="2"/>
  <c r="H2519" i="2"/>
  <c r="H2750" i="2"/>
  <c r="H2981" i="2"/>
  <c r="H3212" i="2"/>
  <c r="H3443" i="2"/>
  <c r="H3674" i="2"/>
  <c r="H3905" i="2"/>
  <c r="H4136" i="2"/>
  <c r="H4367" i="2"/>
  <c r="H4598" i="2"/>
  <c r="H4829" i="2"/>
  <c r="H210" i="2"/>
  <c r="H441" i="2"/>
  <c r="H672" i="2"/>
  <c r="H903" i="2"/>
  <c r="H1134" i="2"/>
  <c r="H1365" i="2"/>
  <c r="H1596" i="2"/>
  <c r="H1827" i="2"/>
  <c r="H2058" i="2"/>
  <c r="H2289" i="2"/>
  <c r="H2520" i="2"/>
  <c r="H2751" i="2"/>
  <c r="H2982" i="2"/>
  <c r="H3213" i="2"/>
  <c r="H3444" i="2"/>
  <c r="H3675" i="2"/>
  <c r="H3906" i="2"/>
  <c r="H4137" i="2"/>
  <c r="H4368" i="2"/>
  <c r="H4599" i="2"/>
  <c r="H4830" i="2"/>
  <c r="H211" i="2"/>
  <c r="H442" i="2"/>
  <c r="H673" i="2"/>
  <c r="H904" i="2"/>
  <c r="H1135" i="2"/>
  <c r="H1366" i="2"/>
  <c r="H1597" i="2"/>
  <c r="H1828" i="2"/>
  <c r="H2059" i="2"/>
  <c r="H2290" i="2"/>
  <c r="H2521" i="2"/>
  <c r="H2752" i="2"/>
  <c r="H2983" i="2"/>
  <c r="H3214" i="2"/>
  <c r="H3445" i="2"/>
  <c r="H3676" i="2"/>
  <c r="H3907" i="2"/>
  <c r="H4138" i="2"/>
  <c r="H4369" i="2"/>
  <c r="H4600" i="2"/>
  <c r="H4831" i="2"/>
  <c r="H212" i="2"/>
  <c r="H443" i="2"/>
  <c r="H674" i="2"/>
  <c r="H905" i="2"/>
  <c r="H1136" i="2"/>
  <c r="H1367" i="2"/>
  <c r="H1598" i="2"/>
  <c r="H1829" i="2"/>
  <c r="H2060" i="2"/>
  <c r="H2291" i="2"/>
  <c r="H2522" i="2"/>
  <c r="H2753" i="2"/>
  <c r="H2984" i="2"/>
  <c r="H3215" i="2"/>
  <c r="H3446" i="2"/>
  <c r="H3677" i="2"/>
  <c r="H3908" i="2"/>
  <c r="H4139" i="2"/>
  <c r="H4370" i="2"/>
  <c r="H4601" i="2"/>
  <c r="H4832" i="2"/>
  <c r="H213" i="2"/>
  <c r="H444" i="2"/>
  <c r="H675" i="2"/>
  <c r="H906" i="2"/>
  <c r="H1137" i="2"/>
  <c r="H1368" i="2"/>
  <c r="H1599" i="2"/>
  <c r="H1830" i="2"/>
  <c r="H2061" i="2"/>
  <c r="H2292" i="2"/>
  <c r="H2523" i="2"/>
  <c r="H2754" i="2"/>
  <c r="H2985" i="2"/>
  <c r="H3216" i="2"/>
  <c r="H3447" i="2"/>
  <c r="H3678" i="2"/>
  <c r="H3909" i="2"/>
  <c r="H4140" i="2"/>
  <c r="H4371" i="2"/>
  <c r="H4602" i="2"/>
  <c r="H4833" i="2"/>
  <c r="H214" i="2"/>
  <c r="H445" i="2"/>
  <c r="H676" i="2"/>
  <c r="H907" i="2"/>
  <c r="H1138" i="2"/>
  <c r="H1369" i="2"/>
  <c r="H1600" i="2"/>
  <c r="H1831" i="2"/>
  <c r="H2062" i="2"/>
  <c r="H2293" i="2"/>
  <c r="H2524" i="2"/>
  <c r="H2755" i="2"/>
  <c r="H2986" i="2"/>
  <c r="H3217" i="2"/>
  <c r="H3448" i="2"/>
  <c r="H3679" i="2"/>
  <c r="H3910" i="2"/>
  <c r="H4141" i="2"/>
  <c r="H4372" i="2"/>
  <c r="H4603" i="2"/>
  <c r="H4834" i="2"/>
  <c r="H215" i="2"/>
  <c r="H446" i="2"/>
  <c r="H677" i="2"/>
  <c r="H908" i="2"/>
  <c r="H1139" i="2"/>
  <c r="H1370" i="2"/>
  <c r="H1601" i="2"/>
  <c r="H1832" i="2"/>
  <c r="H2063" i="2"/>
  <c r="H2294" i="2"/>
  <c r="H2525" i="2"/>
  <c r="H2756" i="2"/>
  <c r="H2987" i="2"/>
  <c r="H3218" i="2"/>
  <c r="H3449" i="2"/>
  <c r="H3680" i="2"/>
  <c r="H3911" i="2"/>
  <c r="H4142" i="2"/>
  <c r="H4373" i="2"/>
  <c r="H4604" i="2"/>
  <c r="H4835" i="2"/>
  <c r="H216" i="2"/>
  <c r="H447" i="2"/>
  <c r="H678" i="2"/>
  <c r="H909" i="2"/>
  <c r="H1140" i="2"/>
  <c r="H1371" i="2"/>
  <c r="H1602" i="2"/>
  <c r="H1833" i="2"/>
  <c r="H2064" i="2"/>
  <c r="H2295" i="2"/>
  <c r="H2526" i="2"/>
  <c r="H2757" i="2"/>
  <c r="H2988" i="2"/>
  <c r="H3219" i="2"/>
  <c r="H3450" i="2"/>
  <c r="H3681" i="2"/>
  <c r="H3912" i="2"/>
  <c r="H4143" i="2"/>
  <c r="H4374" i="2"/>
  <c r="H4605" i="2"/>
  <c r="H4836" i="2"/>
  <c r="H217" i="2"/>
  <c r="H448" i="2"/>
  <c r="H679" i="2"/>
  <c r="H910" i="2"/>
  <c r="H1141" i="2"/>
  <c r="H1372" i="2"/>
  <c r="H1603" i="2"/>
  <c r="H1834" i="2"/>
  <c r="H2065" i="2"/>
  <c r="H2296" i="2"/>
  <c r="H2527" i="2"/>
  <c r="H2758" i="2"/>
  <c r="H2989" i="2"/>
  <c r="H3220" i="2"/>
  <c r="H3451" i="2"/>
  <c r="H3682" i="2"/>
  <c r="H3913" i="2"/>
  <c r="H4144" i="2"/>
  <c r="H4375" i="2"/>
  <c r="H4606" i="2"/>
  <c r="H4837" i="2"/>
  <c r="H218" i="2"/>
  <c r="H449" i="2"/>
  <c r="H680" i="2"/>
  <c r="H911" i="2"/>
  <c r="H1142" i="2"/>
  <c r="H1373" i="2"/>
  <c r="H1604" i="2"/>
  <c r="H1835" i="2"/>
  <c r="H2066" i="2"/>
  <c r="H2297" i="2"/>
  <c r="H2528" i="2"/>
  <c r="H2759" i="2"/>
  <c r="H2990" i="2"/>
  <c r="H3221" i="2"/>
  <c r="H3452" i="2"/>
  <c r="H3683" i="2"/>
  <c r="H3914" i="2"/>
  <c r="H4145" i="2"/>
  <c r="H4376" i="2"/>
  <c r="H4607" i="2"/>
  <c r="H4838" i="2"/>
  <c r="H219" i="2"/>
  <c r="H450" i="2"/>
  <c r="H681" i="2"/>
  <c r="H912" i="2"/>
  <c r="H1143" i="2"/>
  <c r="H1374" i="2"/>
  <c r="H1605" i="2"/>
  <c r="H1836" i="2"/>
  <c r="H2067" i="2"/>
  <c r="H2298" i="2"/>
  <c r="H2529" i="2"/>
  <c r="H2760" i="2"/>
  <c r="H2991" i="2"/>
  <c r="H3222" i="2"/>
  <c r="H3453" i="2"/>
  <c r="H3684" i="2"/>
  <c r="H3915" i="2"/>
  <c r="H4146" i="2"/>
  <c r="H4377" i="2"/>
  <c r="H4608" i="2"/>
  <c r="H4839" i="2"/>
  <c r="H220" i="2"/>
  <c r="H451" i="2"/>
  <c r="H682" i="2"/>
  <c r="H913" i="2"/>
  <c r="H1144" i="2"/>
  <c r="H1375" i="2"/>
  <c r="H1606" i="2"/>
  <c r="H1837" i="2"/>
  <c r="H2068" i="2"/>
  <c r="H2299" i="2"/>
  <c r="H2530" i="2"/>
  <c r="H2761" i="2"/>
  <c r="H2992" i="2"/>
  <c r="H3223" i="2"/>
  <c r="H3454" i="2"/>
  <c r="H3685" i="2"/>
  <c r="H3916" i="2"/>
  <c r="H4147" i="2"/>
  <c r="H4378" i="2"/>
  <c r="H4609" i="2"/>
  <c r="H4840" i="2"/>
  <c r="H221" i="2"/>
  <c r="H452" i="2"/>
  <c r="H683" i="2"/>
  <c r="H914" i="2"/>
  <c r="H1145" i="2"/>
  <c r="H1376" i="2"/>
  <c r="H1607" i="2"/>
  <c r="H1838" i="2"/>
  <c r="H2069" i="2"/>
  <c r="H2300" i="2"/>
  <c r="H2531" i="2"/>
  <c r="H2762" i="2"/>
  <c r="H2993" i="2"/>
  <c r="H3224" i="2"/>
  <c r="H3455" i="2"/>
  <c r="H3686" i="2"/>
  <c r="H3917" i="2"/>
  <c r="H4148" i="2"/>
  <c r="H4379" i="2"/>
  <c r="H4610" i="2"/>
  <c r="H4841" i="2"/>
  <c r="H222" i="2"/>
  <c r="H453" i="2"/>
  <c r="H684" i="2"/>
  <c r="H915" i="2"/>
  <c r="H1146" i="2"/>
  <c r="H1377" i="2"/>
  <c r="H1608" i="2"/>
  <c r="H1839" i="2"/>
  <c r="H2070" i="2"/>
  <c r="H2301" i="2"/>
  <c r="H2532" i="2"/>
  <c r="H2763" i="2"/>
  <c r="H2994" i="2"/>
  <c r="H3225" i="2"/>
  <c r="H3456" i="2"/>
  <c r="H3687" i="2"/>
  <c r="H3918" i="2"/>
  <c r="H4149" i="2"/>
  <c r="H4380" i="2"/>
  <c r="H4611" i="2"/>
  <c r="H4842" i="2"/>
  <c r="H223" i="2"/>
  <c r="H454" i="2"/>
  <c r="H685" i="2"/>
  <c r="H916" i="2"/>
  <c r="H1147" i="2"/>
  <c r="H1378" i="2"/>
  <c r="H1609" i="2"/>
  <c r="H1840" i="2"/>
  <c r="H2071" i="2"/>
  <c r="H2302" i="2"/>
  <c r="H2533" i="2"/>
  <c r="H2764" i="2"/>
  <c r="H2995" i="2"/>
  <c r="H3226" i="2"/>
  <c r="H3457" i="2"/>
  <c r="H3688" i="2"/>
  <c r="H3919" i="2"/>
  <c r="H4150" i="2"/>
  <c r="H4381" i="2"/>
  <c r="H4612" i="2"/>
  <c r="H4843" i="2"/>
  <c r="H224" i="2"/>
  <c r="H455" i="2"/>
  <c r="H686" i="2"/>
  <c r="H917" i="2"/>
  <c r="H1148" i="2"/>
  <c r="H1379" i="2"/>
  <c r="H1610" i="2"/>
  <c r="H1841" i="2"/>
  <c r="H2072" i="2"/>
  <c r="H2303" i="2"/>
  <c r="H2534" i="2"/>
  <c r="H2765" i="2"/>
  <c r="H2996" i="2"/>
  <c r="H3227" i="2"/>
  <c r="H3458" i="2"/>
  <c r="H3689" i="2"/>
  <c r="H3920" i="2"/>
  <c r="H4151" i="2"/>
  <c r="H4382" i="2"/>
  <c r="H4613" i="2"/>
  <c r="H4844" i="2"/>
  <c r="H225" i="2"/>
  <c r="H456" i="2"/>
  <c r="H687" i="2"/>
  <c r="H918" i="2"/>
  <c r="H1149" i="2"/>
  <c r="H1380" i="2"/>
  <c r="H1611" i="2"/>
  <c r="H1842" i="2"/>
  <c r="H2073" i="2"/>
  <c r="H2304" i="2"/>
  <c r="H2535" i="2"/>
  <c r="H2766" i="2"/>
  <c r="H2997" i="2"/>
  <c r="H3228" i="2"/>
  <c r="H3459" i="2"/>
  <c r="H3690" i="2"/>
  <c r="H3921" i="2"/>
  <c r="H4152" i="2"/>
  <c r="H4383" i="2"/>
  <c r="H4614" i="2"/>
  <c r="H4845" i="2"/>
  <c r="H226" i="2"/>
  <c r="H457" i="2"/>
  <c r="H688" i="2"/>
  <c r="H919" i="2"/>
  <c r="H1150" i="2"/>
  <c r="H1381" i="2"/>
  <c r="H1612" i="2"/>
  <c r="H1843" i="2"/>
  <c r="H2074" i="2"/>
  <c r="H2305" i="2"/>
  <c r="H2536" i="2"/>
  <c r="H2767" i="2"/>
  <c r="H2998" i="2"/>
  <c r="H3229" i="2"/>
  <c r="H3460" i="2"/>
  <c r="H3691" i="2"/>
  <c r="H3922" i="2"/>
  <c r="H4153" i="2"/>
  <c r="H4384" i="2"/>
  <c r="H4615" i="2"/>
  <c r="H4846" i="2"/>
  <c r="H227" i="2"/>
  <c r="H458" i="2"/>
  <c r="H689" i="2"/>
  <c r="H920" i="2"/>
  <c r="H1151" i="2"/>
  <c r="H1382" i="2"/>
  <c r="H1613" i="2"/>
  <c r="H1844" i="2"/>
  <c r="H2075" i="2"/>
  <c r="H2306" i="2"/>
  <c r="H2537" i="2"/>
  <c r="H2768" i="2"/>
  <c r="H2999" i="2"/>
  <c r="H3230" i="2"/>
  <c r="H3461" i="2"/>
  <c r="H3692" i="2"/>
  <c r="H3923" i="2"/>
  <c r="H4154" i="2"/>
  <c r="H4385" i="2"/>
  <c r="H4616" i="2"/>
  <c r="H4847" i="2"/>
  <c r="H228" i="2"/>
  <c r="H459" i="2"/>
  <c r="H690" i="2"/>
  <c r="H921" i="2"/>
  <c r="H1152" i="2"/>
  <c r="H1383" i="2"/>
  <c r="H1614" i="2"/>
  <c r="H1845" i="2"/>
  <c r="H2076" i="2"/>
  <c r="H2307" i="2"/>
  <c r="H2538" i="2"/>
  <c r="H2769" i="2"/>
  <c r="H3000" i="2"/>
  <c r="H3231" i="2"/>
  <c r="H3462" i="2"/>
  <c r="H3693" i="2"/>
  <c r="H3924" i="2"/>
  <c r="H4155" i="2"/>
  <c r="H4386" i="2"/>
  <c r="H4617" i="2"/>
  <c r="H4848" i="2"/>
  <c r="H229" i="2"/>
  <c r="H460" i="2"/>
  <c r="H691" i="2"/>
  <c r="H922" i="2"/>
  <c r="H1153" i="2"/>
  <c r="H1384" i="2"/>
  <c r="H1615" i="2"/>
  <c r="H1846" i="2"/>
  <c r="H2077" i="2"/>
  <c r="H2308" i="2"/>
  <c r="H2539" i="2"/>
  <c r="H2770" i="2"/>
  <c r="H3001" i="2"/>
  <c r="H3232" i="2"/>
  <c r="H3463" i="2"/>
  <c r="H3694" i="2"/>
  <c r="H3925" i="2"/>
  <c r="H4156" i="2"/>
  <c r="H4387" i="2"/>
  <c r="H4618" i="2"/>
  <c r="H4849" i="2"/>
  <c r="H230" i="2"/>
  <c r="H461" i="2"/>
  <c r="H692" i="2"/>
  <c r="H923" i="2"/>
  <c r="H1154" i="2"/>
  <c r="H1385" i="2"/>
  <c r="H1616" i="2"/>
  <c r="H1847" i="2"/>
  <c r="H2078" i="2"/>
  <c r="H2309" i="2"/>
  <c r="H2540" i="2"/>
  <c r="H2771" i="2"/>
  <c r="H3002" i="2"/>
  <c r="H3233" i="2"/>
  <c r="H3464" i="2"/>
  <c r="H3695" i="2"/>
  <c r="H3926" i="2"/>
  <c r="H4157" i="2"/>
  <c r="H4388" i="2"/>
  <c r="H4619" i="2"/>
  <c r="H4850" i="2"/>
  <c r="H231" i="2"/>
  <c r="H462" i="2"/>
  <c r="H693" i="2"/>
  <c r="H924" i="2"/>
  <c r="H1155" i="2"/>
  <c r="H1386" i="2"/>
  <c r="H1617" i="2"/>
  <c r="H1848" i="2"/>
  <c r="H2079" i="2"/>
  <c r="H2310" i="2"/>
  <c r="H2541" i="2"/>
  <c r="H2772" i="2"/>
  <c r="H3003" i="2"/>
  <c r="H3234" i="2"/>
  <c r="H3465" i="2"/>
  <c r="H3696" i="2"/>
  <c r="H3927" i="2"/>
  <c r="H4158" i="2"/>
  <c r="H4389" i="2"/>
  <c r="H4620" i="2"/>
  <c r="H4851" i="2"/>
  <c r="H232" i="2"/>
  <c r="H463" i="2"/>
  <c r="H694" i="2"/>
  <c r="H925" i="2"/>
  <c r="H1156" i="2"/>
  <c r="H1387" i="2"/>
  <c r="H1618" i="2"/>
  <c r="H1849" i="2"/>
  <c r="H2080" i="2"/>
  <c r="H2311" i="2"/>
  <c r="H2542" i="2"/>
  <c r="H2773" i="2"/>
  <c r="H3004" i="2"/>
  <c r="H3235" i="2"/>
  <c r="H3466" i="2"/>
  <c r="H3697" i="2"/>
  <c r="H3928" i="2"/>
  <c r="H4159" i="2"/>
  <c r="H4390" i="2"/>
  <c r="H4621" i="2"/>
  <c r="H4852" i="2"/>
  <c r="H233" i="2"/>
  <c r="H464" i="2"/>
  <c r="H695" i="2"/>
  <c r="H926" i="2"/>
  <c r="H1157" i="2"/>
  <c r="H1388" i="2"/>
  <c r="H1619" i="2"/>
  <c r="H1850" i="2"/>
  <c r="H2081" i="2"/>
  <c r="H2312" i="2"/>
  <c r="H2543" i="2"/>
  <c r="H2774" i="2"/>
  <c r="H3005" i="2"/>
  <c r="H3236" i="2"/>
  <c r="H3467" i="2"/>
  <c r="H3698" i="2"/>
  <c r="H3929" i="2"/>
  <c r="H4160" i="2"/>
  <c r="H4391" i="2"/>
  <c r="H4622" i="2"/>
  <c r="H4853" i="2"/>
  <c r="I3" i="2"/>
  <c r="I234" i="2"/>
  <c r="I465" i="2"/>
  <c r="I696" i="2"/>
  <c r="I927" i="2"/>
  <c r="I1158" i="2"/>
  <c r="I1389" i="2"/>
  <c r="I1620" i="2"/>
  <c r="I1851" i="2"/>
  <c r="I2082" i="2"/>
  <c r="I2313" i="2"/>
  <c r="I2544" i="2"/>
  <c r="I2775" i="2"/>
  <c r="I3006" i="2"/>
  <c r="I3237" i="2"/>
  <c r="I3468" i="2"/>
  <c r="I3699" i="2"/>
  <c r="I3930" i="2"/>
  <c r="I4161" i="2"/>
  <c r="I4392" i="2"/>
  <c r="I4623" i="2"/>
  <c r="I4" i="2"/>
  <c r="I235" i="2"/>
  <c r="I466" i="2"/>
  <c r="I697" i="2"/>
  <c r="I928" i="2"/>
  <c r="I1159" i="2"/>
  <c r="I1390" i="2"/>
  <c r="I1621" i="2"/>
  <c r="I1852" i="2"/>
  <c r="I2083" i="2"/>
  <c r="I2314" i="2"/>
  <c r="I2545" i="2"/>
  <c r="I2776" i="2"/>
  <c r="I3007" i="2"/>
  <c r="I3238" i="2"/>
  <c r="I3469" i="2"/>
  <c r="I3700" i="2"/>
  <c r="I3931" i="2"/>
  <c r="I4162" i="2"/>
  <c r="I4393" i="2"/>
  <c r="I4624" i="2"/>
  <c r="I5" i="2"/>
  <c r="I236" i="2"/>
  <c r="I467" i="2"/>
  <c r="I698" i="2"/>
  <c r="I929" i="2"/>
  <c r="I1160" i="2"/>
  <c r="I1391" i="2"/>
  <c r="I1622" i="2"/>
  <c r="I1853" i="2"/>
  <c r="I2084" i="2"/>
  <c r="I2315" i="2"/>
  <c r="I2546" i="2"/>
  <c r="I2777" i="2"/>
  <c r="I3008" i="2"/>
  <c r="I3239" i="2"/>
  <c r="I3470" i="2"/>
  <c r="I3701" i="2"/>
  <c r="I3932" i="2"/>
  <c r="I4163" i="2"/>
  <c r="I4394" i="2"/>
  <c r="I4625" i="2"/>
  <c r="I6" i="2"/>
  <c r="I237" i="2"/>
  <c r="I468" i="2"/>
  <c r="I699" i="2"/>
  <c r="I930" i="2"/>
  <c r="I1161" i="2"/>
  <c r="I1392" i="2"/>
  <c r="I1623" i="2"/>
  <c r="I1854" i="2"/>
  <c r="I2085" i="2"/>
  <c r="I2316" i="2"/>
  <c r="I2547" i="2"/>
  <c r="I2778" i="2"/>
  <c r="I3009" i="2"/>
  <c r="I3240" i="2"/>
  <c r="I3471" i="2"/>
  <c r="I3702" i="2"/>
  <c r="I3933" i="2"/>
  <c r="I4164" i="2"/>
  <c r="I4395" i="2"/>
  <c r="I4626" i="2"/>
  <c r="I7" i="2"/>
  <c r="I238" i="2"/>
  <c r="I469" i="2"/>
  <c r="I700" i="2"/>
  <c r="I931" i="2"/>
  <c r="I1162" i="2"/>
  <c r="I1393" i="2"/>
  <c r="I1624" i="2"/>
  <c r="I1855" i="2"/>
  <c r="I2086" i="2"/>
  <c r="I2317" i="2"/>
  <c r="I2548" i="2"/>
  <c r="I2779" i="2"/>
  <c r="I3010" i="2"/>
  <c r="I3241" i="2"/>
  <c r="I3472" i="2"/>
  <c r="I3703" i="2"/>
  <c r="I3934" i="2"/>
  <c r="I4165" i="2"/>
  <c r="I4396" i="2"/>
  <c r="I4627" i="2"/>
  <c r="I8" i="2"/>
  <c r="I239" i="2"/>
  <c r="I470" i="2"/>
  <c r="I701" i="2"/>
  <c r="I932" i="2"/>
  <c r="I1163" i="2"/>
  <c r="I1394" i="2"/>
  <c r="I1625" i="2"/>
  <c r="I1856" i="2"/>
  <c r="I2087" i="2"/>
  <c r="I2318" i="2"/>
  <c r="I2549" i="2"/>
  <c r="I2780" i="2"/>
  <c r="I3011" i="2"/>
  <c r="I3242" i="2"/>
  <c r="I3473" i="2"/>
  <c r="I3704" i="2"/>
  <c r="I3935" i="2"/>
  <c r="I4166" i="2"/>
  <c r="I4397" i="2"/>
  <c r="I4628" i="2"/>
  <c r="I9" i="2"/>
  <c r="I240" i="2"/>
  <c r="I471" i="2"/>
  <c r="I702" i="2"/>
  <c r="I933" i="2"/>
  <c r="I1164" i="2"/>
  <c r="I1395" i="2"/>
  <c r="I1626" i="2"/>
  <c r="I1857" i="2"/>
  <c r="I2088" i="2"/>
  <c r="I2319" i="2"/>
  <c r="I2550" i="2"/>
  <c r="I2781" i="2"/>
  <c r="I3012" i="2"/>
  <c r="I3243" i="2"/>
  <c r="I3474" i="2"/>
  <c r="I3705" i="2"/>
  <c r="I3936" i="2"/>
  <c r="I4167" i="2"/>
  <c r="I4398" i="2"/>
  <c r="I4629" i="2"/>
  <c r="I10" i="2"/>
  <c r="I241" i="2"/>
  <c r="I472" i="2"/>
  <c r="I703" i="2"/>
  <c r="I934" i="2"/>
  <c r="I1165" i="2"/>
  <c r="I1396" i="2"/>
  <c r="I1627" i="2"/>
  <c r="I1858" i="2"/>
  <c r="I2089" i="2"/>
  <c r="I2320" i="2"/>
  <c r="I2551" i="2"/>
  <c r="I2782" i="2"/>
  <c r="I3013" i="2"/>
  <c r="I3244" i="2"/>
  <c r="I3475" i="2"/>
  <c r="I3706" i="2"/>
  <c r="I3937" i="2"/>
  <c r="I4168" i="2"/>
  <c r="I4399" i="2"/>
  <c r="I4630" i="2"/>
  <c r="I11" i="2"/>
  <c r="I242" i="2"/>
  <c r="I473" i="2"/>
  <c r="I704" i="2"/>
  <c r="I935" i="2"/>
  <c r="I1166" i="2"/>
  <c r="I1397" i="2"/>
  <c r="I1628" i="2"/>
  <c r="I1859" i="2"/>
  <c r="I2090" i="2"/>
  <c r="I2321" i="2"/>
  <c r="I2552" i="2"/>
  <c r="I2783" i="2"/>
  <c r="I3014" i="2"/>
  <c r="I3245" i="2"/>
  <c r="I3476" i="2"/>
  <c r="I3707" i="2"/>
  <c r="I3938" i="2"/>
  <c r="I4169" i="2"/>
  <c r="I4400" i="2"/>
  <c r="I4631" i="2"/>
  <c r="I12" i="2"/>
  <c r="I243" i="2"/>
  <c r="I474" i="2"/>
  <c r="I705" i="2"/>
  <c r="I936" i="2"/>
  <c r="I1167" i="2"/>
  <c r="I1398" i="2"/>
  <c r="I1629" i="2"/>
  <c r="I1860" i="2"/>
  <c r="I2091" i="2"/>
  <c r="I2322" i="2"/>
  <c r="I2553" i="2"/>
  <c r="I2784" i="2"/>
  <c r="I3015" i="2"/>
  <c r="I3246" i="2"/>
  <c r="I3477" i="2"/>
  <c r="I3708" i="2"/>
  <c r="I3939" i="2"/>
  <c r="I4170" i="2"/>
  <c r="I4401" i="2"/>
  <c r="I4632" i="2"/>
  <c r="I13" i="2"/>
  <c r="I244" i="2"/>
  <c r="I475" i="2"/>
  <c r="I706" i="2"/>
  <c r="I937" i="2"/>
  <c r="I1168" i="2"/>
  <c r="I1399" i="2"/>
  <c r="I1630" i="2"/>
  <c r="I1861" i="2"/>
  <c r="I2092" i="2"/>
  <c r="I2323" i="2"/>
  <c r="I2554" i="2"/>
  <c r="I2785" i="2"/>
  <c r="I3016" i="2"/>
  <c r="I3247" i="2"/>
  <c r="I3478" i="2"/>
  <c r="I3709" i="2"/>
  <c r="I3940" i="2"/>
  <c r="I4171" i="2"/>
  <c r="I4402" i="2"/>
  <c r="I4633" i="2"/>
  <c r="I14" i="2"/>
  <c r="I245" i="2"/>
  <c r="I476" i="2"/>
  <c r="I707" i="2"/>
  <c r="I938" i="2"/>
  <c r="I1169" i="2"/>
  <c r="I1400" i="2"/>
  <c r="I1631" i="2"/>
  <c r="I1862" i="2"/>
  <c r="I2093" i="2"/>
  <c r="I2324" i="2"/>
  <c r="I2555" i="2"/>
  <c r="I2786" i="2"/>
  <c r="I3017" i="2"/>
  <c r="I3248" i="2"/>
  <c r="I3479" i="2"/>
  <c r="I3710" i="2"/>
  <c r="I3941" i="2"/>
  <c r="I4172" i="2"/>
  <c r="I4403" i="2"/>
  <c r="I4634" i="2"/>
  <c r="I15" i="2"/>
  <c r="I246" i="2"/>
  <c r="I477" i="2"/>
  <c r="I708" i="2"/>
  <c r="I939" i="2"/>
  <c r="I1170" i="2"/>
  <c r="I1401" i="2"/>
  <c r="I1632" i="2"/>
  <c r="I1863" i="2"/>
  <c r="I2094" i="2"/>
  <c r="I2325" i="2"/>
  <c r="I2556" i="2"/>
  <c r="I2787" i="2"/>
  <c r="I3018" i="2"/>
  <c r="I3249" i="2"/>
  <c r="I3480" i="2"/>
  <c r="I3711" i="2"/>
  <c r="I3942" i="2"/>
  <c r="I4173" i="2"/>
  <c r="I4404" i="2"/>
  <c r="I4635" i="2"/>
  <c r="I16" i="2"/>
  <c r="I247" i="2"/>
  <c r="I478" i="2"/>
  <c r="I709" i="2"/>
  <c r="I940" i="2"/>
  <c r="I1171" i="2"/>
  <c r="I1402" i="2"/>
  <c r="I1633" i="2"/>
  <c r="I1864" i="2"/>
  <c r="I2095" i="2"/>
  <c r="I2326" i="2"/>
  <c r="I2557" i="2"/>
  <c r="I2788" i="2"/>
  <c r="I3019" i="2"/>
  <c r="I3250" i="2"/>
  <c r="I3481" i="2"/>
  <c r="I3712" i="2"/>
  <c r="I3943" i="2"/>
  <c r="I4174" i="2"/>
  <c r="I4405" i="2"/>
  <c r="I4636" i="2"/>
  <c r="I17" i="2"/>
  <c r="I248" i="2"/>
  <c r="I479" i="2"/>
  <c r="I710" i="2"/>
  <c r="I941" i="2"/>
  <c r="I1172" i="2"/>
  <c r="I1403" i="2"/>
  <c r="I1634" i="2"/>
  <c r="I1865" i="2"/>
  <c r="I2096" i="2"/>
  <c r="I2327" i="2"/>
  <c r="I2558" i="2"/>
  <c r="I2789" i="2"/>
  <c r="I3020" i="2"/>
  <c r="I3251" i="2"/>
  <c r="I3482" i="2"/>
  <c r="I3713" i="2"/>
  <c r="I3944" i="2"/>
  <c r="I4175" i="2"/>
  <c r="I4406" i="2"/>
  <c r="I4637" i="2"/>
  <c r="I18" i="2"/>
  <c r="I249" i="2"/>
  <c r="I480" i="2"/>
  <c r="I711" i="2"/>
  <c r="I942" i="2"/>
  <c r="I1173" i="2"/>
  <c r="I1404" i="2"/>
  <c r="I1635" i="2"/>
  <c r="I1866" i="2"/>
  <c r="I2097" i="2"/>
  <c r="I2328" i="2"/>
  <c r="I2559" i="2"/>
  <c r="I2790" i="2"/>
  <c r="I3021" i="2"/>
  <c r="I3252" i="2"/>
  <c r="I3483" i="2"/>
  <c r="I3714" i="2"/>
  <c r="I3945" i="2"/>
  <c r="I4176" i="2"/>
  <c r="I4407" i="2"/>
  <c r="I4638" i="2"/>
  <c r="I19" i="2"/>
  <c r="I250" i="2"/>
  <c r="I481" i="2"/>
  <c r="I712" i="2"/>
  <c r="I943" i="2"/>
  <c r="I1174" i="2"/>
  <c r="I1405" i="2"/>
  <c r="I1636" i="2"/>
  <c r="I1867" i="2"/>
  <c r="I2098" i="2"/>
  <c r="I2329" i="2"/>
  <c r="I2560" i="2"/>
  <c r="I2791" i="2"/>
  <c r="I3022" i="2"/>
  <c r="I3253" i="2"/>
  <c r="I3484" i="2"/>
  <c r="I3715" i="2"/>
  <c r="I3946" i="2"/>
  <c r="I4177" i="2"/>
  <c r="I4408" i="2"/>
  <c r="I4639" i="2"/>
  <c r="I20" i="2"/>
  <c r="I251" i="2"/>
  <c r="I482" i="2"/>
  <c r="I713" i="2"/>
  <c r="I944" i="2"/>
  <c r="I1175" i="2"/>
  <c r="I1406" i="2"/>
  <c r="I1637" i="2"/>
  <c r="I1868" i="2"/>
  <c r="I2099" i="2"/>
  <c r="I2330" i="2"/>
  <c r="I2561" i="2"/>
  <c r="I2792" i="2"/>
  <c r="I3023" i="2"/>
  <c r="I3254" i="2"/>
  <c r="I3485" i="2"/>
  <c r="I3716" i="2"/>
  <c r="I3947" i="2"/>
  <c r="I4178" i="2"/>
  <c r="I4409" i="2"/>
  <c r="I4640" i="2"/>
  <c r="I21" i="2"/>
  <c r="I252" i="2"/>
  <c r="I483" i="2"/>
  <c r="I714" i="2"/>
  <c r="I945" i="2"/>
  <c r="I1176" i="2"/>
  <c r="I1407" i="2"/>
  <c r="I1638" i="2"/>
  <c r="I1869" i="2"/>
  <c r="I2100" i="2"/>
  <c r="I2331" i="2"/>
  <c r="I2562" i="2"/>
  <c r="I2793" i="2"/>
  <c r="I3024" i="2"/>
  <c r="I3255" i="2"/>
  <c r="I3486" i="2"/>
  <c r="I3717" i="2"/>
  <c r="I3948" i="2"/>
  <c r="I4179" i="2"/>
  <c r="I4410" i="2"/>
  <c r="I4641" i="2"/>
  <c r="I22" i="2"/>
  <c r="I253" i="2"/>
  <c r="I484" i="2"/>
  <c r="I715" i="2"/>
  <c r="I946" i="2"/>
  <c r="I1177" i="2"/>
  <c r="I1408" i="2"/>
  <c r="I1639" i="2"/>
  <c r="I1870" i="2"/>
  <c r="I2101" i="2"/>
  <c r="I2332" i="2"/>
  <c r="I2563" i="2"/>
  <c r="I2794" i="2"/>
  <c r="I3025" i="2"/>
  <c r="I3256" i="2"/>
  <c r="I3487" i="2"/>
  <c r="I3718" i="2"/>
  <c r="I3949" i="2"/>
  <c r="I4180" i="2"/>
  <c r="I4411" i="2"/>
  <c r="I4642" i="2"/>
  <c r="I23" i="2"/>
  <c r="I254" i="2"/>
  <c r="I485" i="2"/>
  <c r="I716" i="2"/>
  <c r="I947" i="2"/>
  <c r="I1178" i="2"/>
  <c r="I1409" i="2"/>
  <c r="I1640" i="2"/>
  <c r="I1871" i="2"/>
  <c r="I2102" i="2"/>
  <c r="I2333" i="2"/>
  <c r="I2564" i="2"/>
  <c r="I2795" i="2"/>
  <c r="I3026" i="2"/>
  <c r="I3257" i="2"/>
  <c r="I3488" i="2"/>
  <c r="I3719" i="2"/>
  <c r="I3950" i="2"/>
  <c r="I4181" i="2"/>
  <c r="I4412" i="2"/>
  <c r="I4643" i="2"/>
  <c r="I24" i="2"/>
  <c r="I255" i="2"/>
  <c r="I486" i="2"/>
  <c r="I717" i="2"/>
  <c r="I948" i="2"/>
  <c r="I1179" i="2"/>
  <c r="I1410" i="2"/>
  <c r="I1641" i="2"/>
  <c r="I1872" i="2"/>
  <c r="I2103" i="2"/>
  <c r="I2334" i="2"/>
  <c r="I2565" i="2"/>
  <c r="I2796" i="2"/>
  <c r="I3027" i="2"/>
  <c r="I3258" i="2"/>
  <c r="I3489" i="2"/>
  <c r="I3720" i="2"/>
  <c r="I3951" i="2"/>
  <c r="I4182" i="2"/>
  <c r="I4413" i="2"/>
  <c r="I4644" i="2"/>
  <c r="I25" i="2"/>
  <c r="I256" i="2"/>
  <c r="I487" i="2"/>
  <c r="I718" i="2"/>
  <c r="I949" i="2"/>
  <c r="I1180" i="2"/>
  <c r="I1411" i="2"/>
  <c r="I1642" i="2"/>
  <c r="I1873" i="2"/>
  <c r="I2104" i="2"/>
  <c r="I2335" i="2"/>
  <c r="I2566" i="2"/>
  <c r="I2797" i="2"/>
  <c r="I3028" i="2"/>
  <c r="I3259" i="2"/>
  <c r="I3490" i="2"/>
  <c r="I3721" i="2"/>
  <c r="I3952" i="2"/>
  <c r="I4183" i="2"/>
  <c r="I4414" i="2"/>
  <c r="I4645" i="2"/>
  <c r="I26" i="2"/>
  <c r="I257" i="2"/>
  <c r="I488" i="2"/>
  <c r="I719" i="2"/>
  <c r="I950" i="2"/>
  <c r="I1181" i="2"/>
  <c r="I1412" i="2"/>
  <c r="I1643" i="2"/>
  <c r="I1874" i="2"/>
  <c r="I2105" i="2"/>
  <c r="I2336" i="2"/>
  <c r="I2567" i="2"/>
  <c r="I2798" i="2"/>
  <c r="I3029" i="2"/>
  <c r="I3260" i="2"/>
  <c r="I3491" i="2"/>
  <c r="I3722" i="2"/>
  <c r="I3953" i="2"/>
  <c r="I4184" i="2"/>
  <c r="I4415" i="2"/>
  <c r="I4646" i="2"/>
  <c r="I27" i="2"/>
  <c r="I258" i="2"/>
  <c r="I489" i="2"/>
  <c r="I720" i="2"/>
  <c r="I951" i="2"/>
  <c r="I1182" i="2"/>
  <c r="I1413" i="2"/>
  <c r="I1644" i="2"/>
  <c r="I1875" i="2"/>
  <c r="I2106" i="2"/>
  <c r="I2337" i="2"/>
  <c r="I2568" i="2"/>
  <c r="I2799" i="2"/>
  <c r="I3030" i="2"/>
  <c r="I3261" i="2"/>
  <c r="I3492" i="2"/>
  <c r="I3723" i="2"/>
  <c r="I3954" i="2"/>
  <c r="I4185" i="2"/>
  <c r="I4416" i="2"/>
  <c r="I4647" i="2"/>
  <c r="I28" i="2"/>
  <c r="I259" i="2"/>
  <c r="I490" i="2"/>
  <c r="I721" i="2"/>
  <c r="I952" i="2"/>
  <c r="I1183" i="2"/>
  <c r="I1414" i="2"/>
  <c r="I1645" i="2"/>
  <c r="I1876" i="2"/>
  <c r="I2107" i="2"/>
  <c r="I2338" i="2"/>
  <c r="I2569" i="2"/>
  <c r="I2800" i="2"/>
  <c r="I3031" i="2"/>
  <c r="I3262" i="2"/>
  <c r="I3493" i="2"/>
  <c r="I3724" i="2"/>
  <c r="I3955" i="2"/>
  <c r="I4186" i="2"/>
  <c r="I4417" i="2"/>
  <c r="I4648" i="2"/>
  <c r="I29" i="2"/>
  <c r="I260" i="2"/>
  <c r="I491" i="2"/>
  <c r="I722" i="2"/>
  <c r="I953" i="2"/>
  <c r="I1184" i="2"/>
  <c r="I1415" i="2"/>
  <c r="I1646" i="2"/>
  <c r="I1877" i="2"/>
  <c r="I2108" i="2"/>
  <c r="I2339" i="2"/>
  <c r="I2570" i="2"/>
  <c r="I2801" i="2"/>
  <c r="I3032" i="2"/>
  <c r="I3263" i="2"/>
  <c r="I3494" i="2"/>
  <c r="I3725" i="2"/>
  <c r="I3956" i="2"/>
  <c r="I4187" i="2"/>
  <c r="I4418" i="2"/>
  <c r="I4649" i="2"/>
  <c r="I30" i="2"/>
  <c r="I261" i="2"/>
  <c r="I492" i="2"/>
  <c r="I723" i="2"/>
  <c r="I954" i="2"/>
  <c r="I1185" i="2"/>
  <c r="I1416" i="2"/>
  <c r="I1647" i="2"/>
  <c r="I1878" i="2"/>
  <c r="I2109" i="2"/>
  <c r="I2340" i="2"/>
  <c r="I2571" i="2"/>
  <c r="I2802" i="2"/>
  <c r="I3033" i="2"/>
  <c r="I3264" i="2"/>
  <c r="I3495" i="2"/>
  <c r="I3726" i="2"/>
  <c r="I3957" i="2"/>
  <c r="I4188" i="2"/>
  <c r="I4419" i="2"/>
  <c r="I4650" i="2"/>
  <c r="I31" i="2"/>
  <c r="I262" i="2"/>
  <c r="I493" i="2"/>
  <c r="I724" i="2"/>
  <c r="I955" i="2"/>
  <c r="I1186" i="2"/>
  <c r="I1417" i="2"/>
  <c r="I1648" i="2"/>
  <c r="I1879" i="2"/>
  <c r="I2110" i="2"/>
  <c r="I2341" i="2"/>
  <c r="I2572" i="2"/>
  <c r="I2803" i="2"/>
  <c r="I3034" i="2"/>
  <c r="I3265" i="2"/>
  <c r="I3496" i="2"/>
  <c r="I3727" i="2"/>
  <c r="I3958" i="2"/>
  <c r="I4189" i="2"/>
  <c r="I4420" i="2"/>
  <c r="I4651" i="2"/>
  <c r="I32" i="2"/>
  <c r="I263" i="2"/>
  <c r="I494" i="2"/>
  <c r="I725" i="2"/>
  <c r="I956" i="2"/>
  <c r="I1187" i="2"/>
  <c r="I1418" i="2"/>
  <c r="I1649" i="2"/>
  <c r="I1880" i="2"/>
  <c r="I2111" i="2"/>
  <c r="I2342" i="2"/>
  <c r="I2573" i="2"/>
  <c r="I2804" i="2"/>
  <c r="I3035" i="2"/>
  <c r="I3266" i="2"/>
  <c r="I3497" i="2"/>
  <c r="I3728" i="2"/>
  <c r="I3959" i="2"/>
  <c r="I4190" i="2"/>
  <c r="I4421" i="2"/>
  <c r="I4652" i="2"/>
  <c r="I33" i="2"/>
  <c r="I264" i="2"/>
  <c r="I495" i="2"/>
  <c r="I726" i="2"/>
  <c r="I957" i="2"/>
  <c r="I1188" i="2"/>
  <c r="I1419" i="2"/>
  <c r="I1650" i="2"/>
  <c r="I1881" i="2"/>
  <c r="I2112" i="2"/>
  <c r="I2343" i="2"/>
  <c r="I2574" i="2"/>
  <c r="I2805" i="2"/>
  <c r="I3036" i="2"/>
  <c r="I3267" i="2"/>
  <c r="I3498" i="2"/>
  <c r="I3729" i="2"/>
  <c r="I3960" i="2"/>
  <c r="I4191" i="2"/>
  <c r="I4422" i="2"/>
  <c r="I4653" i="2"/>
  <c r="I34" i="2"/>
  <c r="I265" i="2"/>
  <c r="I496" i="2"/>
  <c r="I727" i="2"/>
  <c r="I958" i="2"/>
  <c r="I1189" i="2"/>
  <c r="I1420" i="2"/>
  <c r="I1651" i="2"/>
  <c r="I1882" i="2"/>
  <c r="I2113" i="2"/>
  <c r="I2344" i="2"/>
  <c r="I2575" i="2"/>
  <c r="I2806" i="2"/>
  <c r="I3037" i="2"/>
  <c r="I3268" i="2"/>
  <c r="I3499" i="2"/>
  <c r="I3730" i="2"/>
  <c r="I3961" i="2"/>
  <c r="I4192" i="2"/>
  <c r="I4423" i="2"/>
  <c r="I4654" i="2"/>
  <c r="I35" i="2"/>
  <c r="I266" i="2"/>
  <c r="I497" i="2"/>
  <c r="I728" i="2"/>
  <c r="I959" i="2"/>
  <c r="I1190" i="2"/>
  <c r="I1421" i="2"/>
  <c r="I1652" i="2"/>
  <c r="I1883" i="2"/>
  <c r="I2114" i="2"/>
  <c r="I2345" i="2"/>
  <c r="I2576" i="2"/>
  <c r="I2807" i="2"/>
  <c r="I3038" i="2"/>
  <c r="I3269" i="2"/>
  <c r="I3500" i="2"/>
  <c r="I3731" i="2"/>
  <c r="I3962" i="2"/>
  <c r="I4193" i="2"/>
  <c r="I4424" i="2"/>
  <c r="I4655" i="2"/>
  <c r="I36" i="2"/>
  <c r="I267" i="2"/>
  <c r="I498" i="2"/>
  <c r="I729" i="2"/>
  <c r="I960" i="2"/>
  <c r="I1191" i="2"/>
  <c r="I1422" i="2"/>
  <c r="I1653" i="2"/>
  <c r="I1884" i="2"/>
  <c r="I2115" i="2"/>
  <c r="I2346" i="2"/>
  <c r="I2577" i="2"/>
  <c r="I2808" i="2"/>
  <c r="I3039" i="2"/>
  <c r="I3270" i="2"/>
  <c r="I3501" i="2"/>
  <c r="I3732" i="2"/>
  <c r="I3963" i="2"/>
  <c r="I4194" i="2"/>
  <c r="I4425" i="2"/>
  <c r="I4656" i="2"/>
  <c r="I37" i="2"/>
  <c r="I268" i="2"/>
  <c r="I499" i="2"/>
  <c r="I730" i="2"/>
  <c r="I961" i="2"/>
  <c r="I1192" i="2"/>
  <c r="I1423" i="2"/>
  <c r="I1654" i="2"/>
  <c r="I1885" i="2"/>
  <c r="I2116" i="2"/>
  <c r="I2347" i="2"/>
  <c r="I2578" i="2"/>
  <c r="I2809" i="2"/>
  <c r="I3040" i="2"/>
  <c r="I3271" i="2"/>
  <c r="I3502" i="2"/>
  <c r="I3733" i="2"/>
  <c r="I3964" i="2"/>
  <c r="I4195" i="2"/>
  <c r="I4426" i="2"/>
  <c r="I4657" i="2"/>
  <c r="I38" i="2"/>
  <c r="I269" i="2"/>
  <c r="I500" i="2"/>
  <c r="I731" i="2"/>
  <c r="I962" i="2"/>
  <c r="I1193" i="2"/>
  <c r="I1424" i="2"/>
  <c r="I1655" i="2"/>
  <c r="I1886" i="2"/>
  <c r="I2117" i="2"/>
  <c r="I2348" i="2"/>
  <c r="I2579" i="2"/>
  <c r="I2810" i="2"/>
  <c r="I3041" i="2"/>
  <c r="I3272" i="2"/>
  <c r="I3503" i="2"/>
  <c r="I3734" i="2"/>
  <c r="I3965" i="2"/>
  <c r="I4196" i="2"/>
  <c r="I4427" i="2"/>
  <c r="I4658" i="2"/>
  <c r="I39" i="2"/>
  <c r="I270" i="2"/>
  <c r="I501" i="2"/>
  <c r="I732" i="2"/>
  <c r="I963" i="2"/>
  <c r="I1194" i="2"/>
  <c r="I1425" i="2"/>
  <c r="I1656" i="2"/>
  <c r="I1887" i="2"/>
  <c r="I2118" i="2"/>
  <c r="I2349" i="2"/>
  <c r="I2580" i="2"/>
  <c r="I2811" i="2"/>
  <c r="I3042" i="2"/>
  <c r="I3273" i="2"/>
  <c r="I3504" i="2"/>
  <c r="I3735" i="2"/>
  <c r="I3966" i="2"/>
  <c r="I4197" i="2"/>
  <c r="I4428" i="2"/>
  <c r="I4659" i="2"/>
  <c r="I40" i="2"/>
  <c r="I271" i="2"/>
  <c r="I502" i="2"/>
  <c r="I733" i="2"/>
  <c r="I964" i="2"/>
  <c r="I1195" i="2"/>
  <c r="I1426" i="2"/>
  <c r="I1657" i="2"/>
  <c r="I1888" i="2"/>
  <c r="I2119" i="2"/>
  <c r="I2350" i="2"/>
  <c r="I2581" i="2"/>
  <c r="I2812" i="2"/>
  <c r="I3043" i="2"/>
  <c r="I3274" i="2"/>
  <c r="I3505" i="2"/>
  <c r="I3736" i="2"/>
  <c r="I3967" i="2"/>
  <c r="I4198" i="2"/>
  <c r="I4429" i="2"/>
  <c r="I4660" i="2"/>
  <c r="I41" i="2"/>
  <c r="I272" i="2"/>
  <c r="I503" i="2"/>
  <c r="I734" i="2"/>
  <c r="I965" i="2"/>
  <c r="I1196" i="2"/>
  <c r="I1427" i="2"/>
  <c r="I1658" i="2"/>
  <c r="I1889" i="2"/>
  <c r="I2120" i="2"/>
  <c r="I2351" i="2"/>
  <c r="I2582" i="2"/>
  <c r="I2813" i="2"/>
  <c r="I3044" i="2"/>
  <c r="I3275" i="2"/>
  <c r="I3506" i="2"/>
  <c r="I3737" i="2"/>
  <c r="I3968" i="2"/>
  <c r="I4199" i="2"/>
  <c r="I4430" i="2"/>
  <c r="I4661" i="2"/>
  <c r="I42" i="2"/>
  <c r="I273" i="2"/>
  <c r="I504" i="2"/>
  <c r="I735" i="2"/>
  <c r="I966" i="2"/>
  <c r="I1197" i="2"/>
  <c r="I1428" i="2"/>
  <c r="I1659" i="2"/>
  <c r="I1890" i="2"/>
  <c r="I2121" i="2"/>
  <c r="I2352" i="2"/>
  <c r="I2583" i="2"/>
  <c r="I2814" i="2"/>
  <c r="I3045" i="2"/>
  <c r="I3276" i="2"/>
  <c r="I3507" i="2"/>
  <c r="I3738" i="2"/>
  <c r="I3969" i="2"/>
  <c r="I4200" i="2"/>
  <c r="I4431" i="2"/>
  <c r="I4662" i="2"/>
  <c r="I43" i="2"/>
  <c r="I274" i="2"/>
  <c r="I505" i="2"/>
  <c r="I736" i="2"/>
  <c r="I967" i="2"/>
  <c r="I1198" i="2"/>
  <c r="I1429" i="2"/>
  <c r="I1660" i="2"/>
  <c r="I1891" i="2"/>
  <c r="I2122" i="2"/>
  <c r="I2353" i="2"/>
  <c r="I2584" i="2"/>
  <c r="I2815" i="2"/>
  <c r="I3046" i="2"/>
  <c r="I3277" i="2"/>
  <c r="I3508" i="2"/>
  <c r="I3739" i="2"/>
  <c r="I3970" i="2"/>
  <c r="I4201" i="2"/>
  <c r="I4432" i="2"/>
  <c r="I4663" i="2"/>
  <c r="I44" i="2"/>
  <c r="I275" i="2"/>
  <c r="I506" i="2"/>
  <c r="I737" i="2"/>
  <c r="I968" i="2"/>
  <c r="I1199" i="2"/>
  <c r="I1430" i="2"/>
  <c r="I1661" i="2"/>
  <c r="I1892" i="2"/>
  <c r="I2123" i="2"/>
  <c r="I2354" i="2"/>
  <c r="I2585" i="2"/>
  <c r="I2816" i="2"/>
  <c r="I3047" i="2"/>
  <c r="I3278" i="2"/>
  <c r="I3509" i="2"/>
  <c r="I3740" i="2"/>
  <c r="I3971" i="2"/>
  <c r="I4202" i="2"/>
  <c r="I4433" i="2"/>
  <c r="I4664" i="2"/>
  <c r="I45" i="2"/>
  <c r="I276" i="2"/>
  <c r="I507" i="2"/>
  <c r="I738" i="2"/>
  <c r="I969" i="2"/>
  <c r="I1200" i="2"/>
  <c r="I1431" i="2"/>
  <c r="I1662" i="2"/>
  <c r="I1893" i="2"/>
  <c r="I2124" i="2"/>
  <c r="I2355" i="2"/>
  <c r="I2586" i="2"/>
  <c r="I2817" i="2"/>
  <c r="I3048" i="2"/>
  <c r="I3279" i="2"/>
  <c r="I3510" i="2"/>
  <c r="I3741" i="2"/>
  <c r="I3972" i="2"/>
  <c r="I4203" i="2"/>
  <c r="I4434" i="2"/>
  <c r="I4665" i="2"/>
  <c r="I46" i="2"/>
  <c r="I277" i="2"/>
  <c r="I508" i="2"/>
  <c r="I739" i="2"/>
  <c r="I970" i="2"/>
  <c r="I1201" i="2"/>
  <c r="I1432" i="2"/>
  <c r="I1663" i="2"/>
  <c r="I1894" i="2"/>
  <c r="I2125" i="2"/>
  <c r="I2356" i="2"/>
  <c r="I2587" i="2"/>
  <c r="I2818" i="2"/>
  <c r="I3049" i="2"/>
  <c r="I3280" i="2"/>
  <c r="I3511" i="2"/>
  <c r="I3742" i="2"/>
  <c r="I3973" i="2"/>
  <c r="I4204" i="2"/>
  <c r="I4435" i="2"/>
  <c r="I4666" i="2"/>
  <c r="I47" i="2"/>
  <c r="I278" i="2"/>
  <c r="I509" i="2"/>
  <c r="I740" i="2"/>
  <c r="I971" i="2"/>
  <c r="I1202" i="2"/>
  <c r="I1433" i="2"/>
  <c r="I1664" i="2"/>
  <c r="I1895" i="2"/>
  <c r="I2126" i="2"/>
  <c r="I2357" i="2"/>
  <c r="I2588" i="2"/>
  <c r="I2819" i="2"/>
  <c r="I3050" i="2"/>
  <c r="I3281" i="2"/>
  <c r="I3512" i="2"/>
  <c r="I3743" i="2"/>
  <c r="I3974" i="2"/>
  <c r="I4205" i="2"/>
  <c r="I4436" i="2"/>
  <c r="I4667" i="2"/>
  <c r="I48" i="2"/>
  <c r="I279" i="2"/>
  <c r="I510" i="2"/>
  <c r="I741" i="2"/>
  <c r="I972" i="2"/>
  <c r="I1203" i="2"/>
  <c r="I1434" i="2"/>
  <c r="I1665" i="2"/>
  <c r="I1896" i="2"/>
  <c r="I2127" i="2"/>
  <c r="I2358" i="2"/>
  <c r="I2589" i="2"/>
  <c r="I2820" i="2"/>
  <c r="I3051" i="2"/>
  <c r="I3282" i="2"/>
  <c r="I3513" i="2"/>
  <c r="I3744" i="2"/>
  <c r="I3975" i="2"/>
  <c r="I4206" i="2"/>
  <c r="I4437" i="2"/>
  <c r="I4668" i="2"/>
  <c r="I49" i="2"/>
  <c r="I280" i="2"/>
  <c r="I511" i="2"/>
  <c r="I742" i="2"/>
  <c r="I973" i="2"/>
  <c r="I1204" i="2"/>
  <c r="I1435" i="2"/>
  <c r="I1666" i="2"/>
  <c r="I1897" i="2"/>
  <c r="I2128" i="2"/>
  <c r="I2359" i="2"/>
  <c r="I2590" i="2"/>
  <c r="I2821" i="2"/>
  <c r="I3052" i="2"/>
  <c r="I3283" i="2"/>
  <c r="I3514" i="2"/>
  <c r="I3745" i="2"/>
  <c r="I3976" i="2"/>
  <c r="I4207" i="2"/>
  <c r="I4438" i="2"/>
  <c r="I4669" i="2"/>
  <c r="I50" i="2"/>
  <c r="I281" i="2"/>
  <c r="I512" i="2"/>
  <c r="I743" i="2"/>
  <c r="I974" i="2"/>
  <c r="I1205" i="2"/>
  <c r="I1436" i="2"/>
  <c r="I1667" i="2"/>
  <c r="I1898" i="2"/>
  <c r="I2129" i="2"/>
  <c r="I2360" i="2"/>
  <c r="I2591" i="2"/>
  <c r="I2822" i="2"/>
  <c r="I3053" i="2"/>
  <c r="I3284" i="2"/>
  <c r="I3515" i="2"/>
  <c r="I3746" i="2"/>
  <c r="I3977" i="2"/>
  <c r="I4208" i="2"/>
  <c r="I4439" i="2"/>
  <c r="I4670" i="2"/>
  <c r="I51" i="2"/>
  <c r="I282" i="2"/>
  <c r="I513" i="2"/>
  <c r="I744" i="2"/>
  <c r="I975" i="2"/>
  <c r="I1206" i="2"/>
  <c r="I1437" i="2"/>
  <c r="I1668" i="2"/>
  <c r="I1899" i="2"/>
  <c r="I2130" i="2"/>
  <c r="I2361" i="2"/>
  <c r="I2592" i="2"/>
  <c r="I2823" i="2"/>
  <c r="I3054" i="2"/>
  <c r="I3285" i="2"/>
  <c r="I3516" i="2"/>
  <c r="I3747" i="2"/>
  <c r="I3978" i="2"/>
  <c r="I4209" i="2"/>
  <c r="I4440" i="2"/>
  <c r="I4671" i="2"/>
  <c r="I52" i="2"/>
  <c r="I283" i="2"/>
  <c r="I514" i="2"/>
  <c r="I745" i="2"/>
  <c r="I976" i="2"/>
  <c r="I1207" i="2"/>
  <c r="I1438" i="2"/>
  <c r="I1669" i="2"/>
  <c r="I1900" i="2"/>
  <c r="I2131" i="2"/>
  <c r="I2362" i="2"/>
  <c r="I2593" i="2"/>
  <c r="I2824" i="2"/>
  <c r="I3055" i="2"/>
  <c r="I3286" i="2"/>
  <c r="I3517" i="2"/>
  <c r="I3748" i="2"/>
  <c r="I3979" i="2"/>
  <c r="I4210" i="2"/>
  <c r="I4441" i="2"/>
  <c r="I4672" i="2"/>
  <c r="I53" i="2"/>
  <c r="I284" i="2"/>
  <c r="I515" i="2"/>
  <c r="I746" i="2"/>
  <c r="I977" i="2"/>
  <c r="I1208" i="2"/>
  <c r="I1439" i="2"/>
  <c r="I1670" i="2"/>
  <c r="I1901" i="2"/>
  <c r="I2132" i="2"/>
  <c r="I2363" i="2"/>
  <c r="I2594" i="2"/>
  <c r="I2825" i="2"/>
  <c r="I3056" i="2"/>
  <c r="I3287" i="2"/>
  <c r="I3518" i="2"/>
  <c r="I3749" i="2"/>
  <c r="I3980" i="2"/>
  <c r="I4211" i="2"/>
  <c r="I4442" i="2"/>
  <c r="I4673" i="2"/>
  <c r="I54" i="2"/>
  <c r="I285" i="2"/>
  <c r="I516" i="2"/>
  <c r="I747" i="2"/>
  <c r="I978" i="2"/>
  <c r="I1209" i="2"/>
  <c r="I1440" i="2"/>
  <c r="I1671" i="2"/>
  <c r="I1902" i="2"/>
  <c r="I2133" i="2"/>
  <c r="I2364" i="2"/>
  <c r="I2595" i="2"/>
  <c r="I2826" i="2"/>
  <c r="I3057" i="2"/>
  <c r="I3288" i="2"/>
  <c r="I3519" i="2"/>
  <c r="I3750" i="2"/>
  <c r="I3981" i="2"/>
  <c r="I4212" i="2"/>
  <c r="I4443" i="2"/>
  <c r="I4674" i="2"/>
  <c r="I55" i="2"/>
  <c r="I286" i="2"/>
  <c r="I517" i="2"/>
  <c r="I748" i="2"/>
  <c r="I979" i="2"/>
  <c r="I1210" i="2"/>
  <c r="I1441" i="2"/>
  <c r="I1672" i="2"/>
  <c r="I1903" i="2"/>
  <c r="I2134" i="2"/>
  <c r="I2365" i="2"/>
  <c r="I2596" i="2"/>
  <c r="I2827" i="2"/>
  <c r="I3058" i="2"/>
  <c r="I3289" i="2"/>
  <c r="I3520" i="2"/>
  <c r="I3751" i="2"/>
  <c r="I3982" i="2"/>
  <c r="I4213" i="2"/>
  <c r="I4444" i="2"/>
  <c r="I4675" i="2"/>
  <c r="I56" i="2"/>
  <c r="I287" i="2"/>
  <c r="I518" i="2"/>
  <c r="I749" i="2"/>
  <c r="I980" i="2"/>
  <c r="I1211" i="2"/>
  <c r="I1442" i="2"/>
  <c r="I1673" i="2"/>
  <c r="I1904" i="2"/>
  <c r="I2135" i="2"/>
  <c r="I2366" i="2"/>
  <c r="I2597" i="2"/>
  <c r="I2828" i="2"/>
  <c r="I3059" i="2"/>
  <c r="I3290" i="2"/>
  <c r="I3521" i="2"/>
  <c r="I3752" i="2"/>
  <c r="I3983" i="2"/>
  <c r="I4214" i="2"/>
  <c r="I4445" i="2"/>
  <c r="I4676" i="2"/>
  <c r="I57" i="2"/>
  <c r="I288" i="2"/>
  <c r="I519" i="2"/>
  <c r="I750" i="2"/>
  <c r="I981" i="2"/>
  <c r="I1212" i="2"/>
  <c r="I1443" i="2"/>
  <c r="I1674" i="2"/>
  <c r="I1905" i="2"/>
  <c r="I2136" i="2"/>
  <c r="I2367" i="2"/>
  <c r="I2598" i="2"/>
  <c r="I2829" i="2"/>
  <c r="I3060" i="2"/>
  <c r="I3291" i="2"/>
  <c r="I3522" i="2"/>
  <c r="I3753" i="2"/>
  <c r="I3984" i="2"/>
  <c r="I4215" i="2"/>
  <c r="I4446" i="2"/>
  <c r="I4677" i="2"/>
  <c r="I58" i="2"/>
  <c r="I289" i="2"/>
  <c r="I520" i="2"/>
  <c r="I751" i="2"/>
  <c r="I982" i="2"/>
  <c r="I1213" i="2"/>
  <c r="I1444" i="2"/>
  <c r="I1675" i="2"/>
  <c r="I1906" i="2"/>
  <c r="I2137" i="2"/>
  <c r="I2368" i="2"/>
  <c r="I2599" i="2"/>
  <c r="I2830" i="2"/>
  <c r="I3061" i="2"/>
  <c r="I3292" i="2"/>
  <c r="I3523" i="2"/>
  <c r="I3754" i="2"/>
  <c r="I3985" i="2"/>
  <c r="I4216" i="2"/>
  <c r="I4447" i="2"/>
  <c r="I4678" i="2"/>
  <c r="I59" i="2"/>
  <c r="I290" i="2"/>
  <c r="I521" i="2"/>
  <c r="I752" i="2"/>
  <c r="I983" i="2"/>
  <c r="I1214" i="2"/>
  <c r="I1445" i="2"/>
  <c r="I1676" i="2"/>
  <c r="I1907" i="2"/>
  <c r="I2138" i="2"/>
  <c r="I2369" i="2"/>
  <c r="I2600" i="2"/>
  <c r="I2831" i="2"/>
  <c r="I3062" i="2"/>
  <c r="I3293" i="2"/>
  <c r="I3524" i="2"/>
  <c r="I3755" i="2"/>
  <c r="I3986" i="2"/>
  <c r="I4217" i="2"/>
  <c r="I4448" i="2"/>
  <c r="I4679" i="2"/>
  <c r="I60" i="2"/>
  <c r="I291" i="2"/>
  <c r="I522" i="2"/>
  <c r="I753" i="2"/>
  <c r="I984" i="2"/>
  <c r="I1215" i="2"/>
  <c r="I1446" i="2"/>
  <c r="I1677" i="2"/>
  <c r="I1908" i="2"/>
  <c r="I2139" i="2"/>
  <c r="I2370" i="2"/>
  <c r="I2601" i="2"/>
  <c r="I2832" i="2"/>
  <c r="I3063" i="2"/>
  <c r="I3294" i="2"/>
  <c r="I3525" i="2"/>
  <c r="I3756" i="2"/>
  <c r="I3987" i="2"/>
  <c r="I4218" i="2"/>
  <c r="I4449" i="2"/>
  <c r="I4680" i="2"/>
  <c r="I61" i="2"/>
  <c r="I292" i="2"/>
  <c r="I523" i="2"/>
  <c r="I754" i="2"/>
  <c r="I985" i="2"/>
  <c r="I1216" i="2"/>
  <c r="I1447" i="2"/>
  <c r="I1678" i="2"/>
  <c r="I1909" i="2"/>
  <c r="I2140" i="2"/>
  <c r="I2371" i="2"/>
  <c r="I2602" i="2"/>
  <c r="I2833" i="2"/>
  <c r="I3064" i="2"/>
  <c r="I3295" i="2"/>
  <c r="I3526" i="2"/>
  <c r="I3757" i="2"/>
  <c r="I3988" i="2"/>
  <c r="I4219" i="2"/>
  <c r="I4450" i="2"/>
  <c r="I4681" i="2"/>
  <c r="I62" i="2"/>
  <c r="I293" i="2"/>
  <c r="I524" i="2"/>
  <c r="I755" i="2"/>
  <c r="I986" i="2"/>
  <c r="I1217" i="2"/>
  <c r="I1448" i="2"/>
  <c r="I1679" i="2"/>
  <c r="I1910" i="2"/>
  <c r="I2141" i="2"/>
  <c r="I2372" i="2"/>
  <c r="I2603" i="2"/>
  <c r="I2834" i="2"/>
  <c r="I3065" i="2"/>
  <c r="I3296" i="2"/>
  <c r="I3527" i="2"/>
  <c r="I3758" i="2"/>
  <c r="I3989" i="2"/>
  <c r="I4220" i="2"/>
  <c r="I4451" i="2"/>
  <c r="I4682" i="2"/>
  <c r="I63" i="2"/>
  <c r="I294" i="2"/>
  <c r="I525" i="2"/>
  <c r="I756" i="2"/>
  <c r="I987" i="2"/>
  <c r="I1218" i="2"/>
  <c r="I1449" i="2"/>
  <c r="I1680" i="2"/>
  <c r="I1911" i="2"/>
  <c r="I2142" i="2"/>
  <c r="I2373" i="2"/>
  <c r="I2604" i="2"/>
  <c r="I2835" i="2"/>
  <c r="I3066" i="2"/>
  <c r="I3297" i="2"/>
  <c r="I3528" i="2"/>
  <c r="I3759" i="2"/>
  <c r="I3990" i="2"/>
  <c r="I4221" i="2"/>
  <c r="I4452" i="2"/>
  <c r="I4683" i="2"/>
  <c r="I64" i="2"/>
  <c r="I295" i="2"/>
  <c r="I526" i="2"/>
  <c r="I757" i="2"/>
  <c r="I988" i="2"/>
  <c r="I1219" i="2"/>
  <c r="I1450" i="2"/>
  <c r="I1681" i="2"/>
  <c r="I1912" i="2"/>
  <c r="I2143" i="2"/>
  <c r="I2374" i="2"/>
  <c r="I2605" i="2"/>
  <c r="I2836" i="2"/>
  <c r="I3067" i="2"/>
  <c r="I3298" i="2"/>
  <c r="I3529" i="2"/>
  <c r="I3760" i="2"/>
  <c r="I3991" i="2"/>
  <c r="I4222" i="2"/>
  <c r="I4453" i="2"/>
  <c r="I4684" i="2"/>
  <c r="I65" i="2"/>
  <c r="I296" i="2"/>
  <c r="I527" i="2"/>
  <c r="I758" i="2"/>
  <c r="I989" i="2"/>
  <c r="I1220" i="2"/>
  <c r="I1451" i="2"/>
  <c r="I1682" i="2"/>
  <c r="I1913" i="2"/>
  <c r="I2144" i="2"/>
  <c r="I2375" i="2"/>
  <c r="I2606" i="2"/>
  <c r="I2837" i="2"/>
  <c r="I3068" i="2"/>
  <c r="I3299" i="2"/>
  <c r="I3530" i="2"/>
  <c r="I3761" i="2"/>
  <c r="I3992" i="2"/>
  <c r="I4223" i="2"/>
  <c r="I4454" i="2"/>
  <c r="I4685" i="2"/>
  <c r="I66" i="2"/>
  <c r="I297" i="2"/>
  <c r="I528" i="2"/>
  <c r="I759" i="2"/>
  <c r="I990" i="2"/>
  <c r="I1221" i="2"/>
  <c r="I1452" i="2"/>
  <c r="I1683" i="2"/>
  <c r="I1914" i="2"/>
  <c r="I2145" i="2"/>
  <c r="I2376" i="2"/>
  <c r="I2607" i="2"/>
  <c r="I2838" i="2"/>
  <c r="I3069" i="2"/>
  <c r="I3300" i="2"/>
  <c r="I3531" i="2"/>
  <c r="I3762" i="2"/>
  <c r="I3993" i="2"/>
  <c r="I4224" i="2"/>
  <c r="I4455" i="2"/>
  <c r="I4686" i="2"/>
  <c r="I67" i="2"/>
  <c r="I298" i="2"/>
  <c r="I529" i="2"/>
  <c r="I760" i="2"/>
  <c r="I991" i="2"/>
  <c r="I1222" i="2"/>
  <c r="I1453" i="2"/>
  <c r="I1684" i="2"/>
  <c r="I1915" i="2"/>
  <c r="I2146" i="2"/>
  <c r="I2377" i="2"/>
  <c r="I2608" i="2"/>
  <c r="I2839" i="2"/>
  <c r="I3070" i="2"/>
  <c r="I3301" i="2"/>
  <c r="I3532" i="2"/>
  <c r="I3763" i="2"/>
  <c r="I3994" i="2"/>
  <c r="I4225" i="2"/>
  <c r="I4456" i="2"/>
  <c r="I4687" i="2"/>
  <c r="I68" i="2"/>
  <c r="I299" i="2"/>
  <c r="I530" i="2"/>
  <c r="I761" i="2"/>
  <c r="I992" i="2"/>
  <c r="I1223" i="2"/>
  <c r="I1454" i="2"/>
  <c r="I1685" i="2"/>
  <c r="I1916" i="2"/>
  <c r="I2147" i="2"/>
  <c r="I2378" i="2"/>
  <c r="I2609" i="2"/>
  <c r="I2840" i="2"/>
  <c r="I3071" i="2"/>
  <c r="I3302" i="2"/>
  <c r="I3533" i="2"/>
  <c r="I3764" i="2"/>
  <c r="I3995" i="2"/>
  <c r="I4226" i="2"/>
  <c r="I4457" i="2"/>
  <c r="I4688" i="2"/>
  <c r="I69" i="2"/>
  <c r="I300" i="2"/>
  <c r="I531" i="2"/>
  <c r="I762" i="2"/>
  <c r="I993" i="2"/>
  <c r="I1224" i="2"/>
  <c r="I1455" i="2"/>
  <c r="I1686" i="2"/>
  <c r="I1917" i="2"/>
  <c r="I2148" i="2"/>
  <c r="I2379" i="2"/>
  <c r="I2610" i="2"/>
  <c r="I2841" i="2"/>
  <c r="I3072" i="2"/>
  <c r="I3303" i="2"/>
  <c r="I3534" i="2"/>
  <c r="I3765" i="2"/>
  <c r="I3996" i="2"/>
  <c r="I4227" i="2"/>
  <c r="I4458" i="2"/>
  <c r="I4689" i="2"/>
  <c r="I70" i="2"/>
  <c r="I301" i="2"/>
  <c r="I532" i="2"/>
  <c r="I763" i="2"/>
  <c r="I994" i="2"/>
  <c r="I1225" i="2"/>
  <c r="I1456" i="2"/>
  <c r="I1687" i="2"/>
  <c r="I1918" i="2"/>
  <c r="I2149" i="2"/>
  <c r="I2380" i="2"/>
  <c r="I2611" i="2"/>
  <c r="I2842" i="2"/>
  <c r="I3073" i="2"/>
  <c r="I3304" i="2"/>
  <c r="I3535" i="2"/>
  <c r="I3766" i="2"/>
  <c r="I3997" i="2"/>
  <c r="I4228" i="2"/>
  <c r="I4459" i="2"/>
  <c r="I4690" i="2"/>
  <c r="I71" i="2"/>
  <c r="I302" i="2"/>
  <c r="I533" i="2"/>
  <c r="I764" i="2"/>
  <c r="I995" i="2"/>
  <c r="I1226" i="2"/>
  <c r="I1457" i="2"/>
  <c r="I1688" i="2"/>
  <c r="I1919" i="2"/>
  <c r="I2150" i="2"/>
  <c r="I2381" i="2"/>
  <c r="I2612" i="2"/>
  <c r="I2843" i="2"/>
  <c r="I3074" i="2"/>
  <c r="I3305" i="2"/>
  <c r="I3536" i="2"/>
  <c r="I3767" i="2"/>
  <c r="I3998" i="2"/>
  <c r="I4229" i="2"/>
  <c r="I4460" i="2"/>
  <c r="I4691" i="2"/>
  <c r="I72" i="2"/>
  <c r="I303" i="2"/>
  <c r="I534" i="2"/>
  <c r="I765" i="2"/>
  <c r="I996" i="2"/>
  <c r="I1227" i="2"/>
  <c r="I1458" i="2"/>
  <c r="I1689" i="2"/>
  <c r="I1920" i="2"/>
  <c r="I2151" i="2"/>
  <c r="I2382" i="2"/>
  <c r="I2613" i="2"/>
  <c r="I2844" i="2"/>
  <c r="I3075" i="2"/>
  <c r="I3306" i="2"/>
  <c r="I3537" i="2"/>
  <c r="I3768" i="2"/>
  <c r="I3999" i="2"/>
  <c r="I4230" i="2"/>
  <c r="I4461" i="2"/>
  <c r="I4692" i="2"/>
  <c r="I73" i="2"/>
  <c r="I304" i="2"/>
  <c r="I535" i="2"/>
  <c r="I766" i="2"/>
  <c r="I997" i="2"/>
  <c r="I1228" i="2"/>
  <c r="I1459" i="2"/>
  <c r="I1690" i="2"/>
  <c r="I1921" i="2"/>
  <c r="I2152" i="2"/>
  <c r="I2383" i="2"/>
  <c r="I2614" i="2"/>
  <c r="I2845" i="2"/>
  <c r="I3076" i="2"/>
  <c r="I3307" i="2"/>
  <c r="I3538" i="2"/>
  <c r="I3769" i="2"/>
  <c r="I4000" i="2"/>
  <c r="I4231" i="2"/>
  <c r="I4462" i="2"/>
  <c r="I4693" i="2"/>
  <c r="I74" i="2"/>
  <c r="I305" i="2"/>
  <c r="I536" i="2"/>
  <c r="I767" i="2"/>
  <c r="I998" i="2"/>
  <c r="I1229" i="2"/>
  <c r="I1460" i="2"/>
  <c r="I1691" i="2"/>
  <c r="I1922" i="2"/>
  <c r="I2153" i="2"/>
  <c r="I2384" i="2"/>
  <c r="I2615" i="2"/>
  <c r="I2846" i="2"/>
  <c r="I3077" i="2"/>
  <c r="I3308" i="2"/>
  <c r="I3539" i="2"/>
  <c r="I3770" i="2"/>
  <c r="I4001" i="2"/>
  <c r="I4232" i="2"/>
  <c r="I4463" i="2"/>
  <c r="I4694" i="2"/>
  <c r="I75" i="2"/>
  <c r="I306" i="2"/>
  <c r="I537" i="2"/>
  <c r="I768" i="2"/>
  <c r="I999" i="2"/>
  <c r="I1230" i="2"/>
  <c r="I1461" i="2"/>
  <c r="I1692" i="2"/>
  <c r="I1923" i="2"/>
  <c r="I2154" i="2"/>
  <c r="I2385" i="2"/>
  <c r="I2616" i="2"/>
  <c r="I2847" i="2"/>
  <c r="I3078" i="2"/>
  <c r="I3309" i="2"/>
  <c r="I3540" i="2"/>
  <c r="I3771" i="2"/>
  <c r="I4002" i="2"/>
  <c r="I4233" i="2"/>
  <c r="I4464" i="2"/>
  <c r="I4695" i="2"/>
  <c r="I76" i="2"/>
  <c r="I307" i="2"/>
  <c r="I538" i="2"/>
  <c r="I769" i="2"/>
  <c r="I1000" i="2"/>
  <c r="I1231" i="2"/>
  <c r="I1462" i="2"/>
  <c r="I1693" i="2"/>
  <c r="I1924" i="2"/>
  <c r="I2155" i="2"/>
  <c r="I2386" i="2"/>
  <c r="I2617" i="2"/>
  <c r="I2848" i="2"/>
  <c r="I3079" i="2"/>
  <c r="I3310" i="2"/>
  <c r="I3541" i="2"/>
  <c r="I3772" i="2"/>
  <c r="I4003" i="2"/>
  <c r="I4234" i="2"/>
  <c r="I4465" i="2"/>
  <c r="I4696" i="2"/>
  <c r="I77" i="2"/>
  <c r="I308" i="2"/>
  <c r="I539" i="2"/>
  <c r="I770" i="2"/>
  <c r="I1001" i="2"/>
  <c r="I1232" i="2"/>
  <c r="I1463" i="2"/>
  <c r="I1694" i="2"/>
  <c r="I1925" i="2"/>
  <c r="I2156" i="2"/>
  <c r="I2387" i="2"/>
  <c r="I2618" i="2"/>
  <c r="I2849" i="2"/>
  <c r="I3080" i="2"/>
  <c r="I3311" i="2"/>
  <c r="I3542" i="2"/>
  <c r="I3773" i="2"/>
  <c r="I4004" i="2"/>
  <c r="I4235" i="2"/>
  <c r="I4466" i="2"/>
  <c r="I4697" i="2"/>
  <c r="I78" i="2"/>
  <c r="I309" i="2"/>
  <c r="I540" i="2"/>
  <c r="I771" i="2"/>
  <c r="I1002" i="2"/>
  <c r="I1233" i="2"/>
  <c r="I1464" i="2"/>
  <c r="I1695" i="2"/>
  <c r="I1926" i="2"/>
  <c r="I2157" i="2"/>
  <c r="I2388" i="2"/>
  <c r="I2619" i="2"/>
  <c r="I2850" i="2"/>
  <c r="I3081" i="2"/>
  <c r="I3312" i="2"/>
  <c r="I3543" i="2"/>
  <c r="I3774" i="2"/>
  <c r="I4005" i="2"/>
  <c r="I4236" i="2"/>
  <c r="I4467" i="2"/>
  <c r="I4698" i="2"/>
  <c r="I79" i="2"/>
  <c r="I310" i="2"/>
  <c r="I541" i="2"/>
  <c r="I772" i="2"/>
  <c r="I1003" i="2"/>
  <c r="I1234" i="2"/>
  <c r="I1465" i="2"/>
  <c r="I1696" i="2"/>
  <c r="I1927" i="2"/>
  <c r="I2158" i="2"/>
  <c r="I2389" i="2"/>
  <c r="I2620" i="2"/>
  <c r="I2851" i="2"/>
  <c r="I3082" i="2"/>
  <c r="I3313" i="2"/>
  <c r="I3544" i="2"/>
  <c r="I3775" i="2"/>
  <c r="I4006" i="2"/>
  <c r="I4237" i="2"/>
  <c r="I4468" i="2"/>
  <c r="I4699" i="2"/>
  <c r="I80" i="2"/>
  <c r="I311" i="2"/>
  <c r="I542" i="2"/>
  <c r="I773" i="2"/>
  <c r="I1004" i="2"/>
  <c r="I1235" i="2"/>
  <c r="I1466" i="2"/>
  <c r="I1697" i="2"/>
  <c r="I1928" i="2"/>
  <c r="I2159" i="2"/>
  <c r="I2390" i="2"/>
  <c r="I2621" i="2"/>
  <c r="I2852" i="2"/>
  <c r="I3083" i="2"/>
  <c r="I3314" i="2"/>
  <c r="I3545" i="2"/>
  <c r="I3776" i="2"/>
  <c r="I4007" i="2"/>
  <c r="I4238" i="2"/>
  <c r="I4469" i="2"/>
  <c r="I4700" i="2"/>
  <c r="I81" i="2"/>
  <c r="I312" i="2"/>
  <c r="I543" i="2"/>
  <c r="I774" i="2"/>
  <c r="I1005" i="2"/>
  <c r="I1236" i="2"/>
  <c r="I1467" i="2"/>
  <c r="I1698" i="2"/>
  <c r="I1929" i="2"/>
  <c r="I2160" i="2"/>
  <c r="I2391" i="2"/>
  <c r="I2622" i="2"/>
  <c r="I2853" i="2"/>
  <c r="I3084" i="2"/>
  <c r="I3315" i="2"/>
  <c r="I3546" i="2"/>
  <c r="I3777" i="2"/>
  <c r="I4008" i="2"/>
  <c r="I4239" i="2"/>
  <c r="I4470" i="2"/>
  <c r="I4701" i="2"/>
  <c r="I82" i="2"/>
  <c r="I313" i="2"/>
  <c r="I544" i="2"/>
  <c r="I775" i="2"/>
  <c r="I1006" i="2"/>
  <c r="I1237" i="2"/>
  <c r="I1468" i="2"/>
  <c r="I1699" i="2"/>
  <c r="I1930" i="2"/>
  <c r="I2161" i="2"/>
  <c r="I2392" i="2"/>
  <c r="I2623" i="2"/>
  <c r="I2854" i="2"/>
  <c r="I3085" i="2"/>
  <c r="I3316" i="2"/>
  <c r="I3547" i="2"/>
  <c r="I3778" i="2"/>
  <c r="I4009" i="2"/>
  <c r="I4240" i="2"/>
  <c r="I4471" i="2"/>
  <c r="I4702" i="2"/>
  <c r="I83" i="2"/>
  <c r="I314" i="2"/>
  <c r="I545" i="2"/>
  <c r="I776" i="2"/>
  <c r="I1007" i="2"/>
  <c r="I1238" i="2"/>
  <c r="I1469" i="2"/>
  <c r="I1700" i="2"/>
  <c r="I1931" i="2"/>
  <c r="I2162" i="2"/>
  <c r="I2393" i="2"/>
  <c r="I2624" i="2"/>
  <c r="I2855" i="2"/>
  <c r="I3086" i="2"/>
  <c r="I3317" i="2"/>
  <c r="I3548" i="2"/>
  <c r="I3779" i="2"/>
  <c r="I4010" i="2"/>
  <c r="I4241" i="2"/>
  <c r="I4472" i="2"/>
  <c r="I4703" i="2"/>
  <c r="I84" i="2"/>
  <c r="I315" i="2"/>
  <c r="I546" i="2"/>
  <c r="I777" i="2"/>
  <c r="I1008" i="2"/>
  <c r="I1239" i="2"/>
  <c r="I1470" i="2"/>
  <c r="I1701" i="2"/>
  <c r="I1932" i="2"/>
  <c r="I2163" i="2"/>
  <c r="I2394" i="2"/>
  <c r="I2625" i="2"/>
  <c r="I2856" i="2"/>
  <c r="I3087" i="2"/>
  <c r="I3318" i="2"/>
  <c r="I3549" i="2"/>
  <c r="I3780" i="2"/>
  <c r="I4011" i="2"/>
  <c r="I4242" i="2"/>
  <c r="I4473" i="2"/>
  <c r="I4704" i="2"/>
  <c r="I85" i="2"/>
  <c r="I316" i="2"/>
  <c r="I547" i="2"/>
  <c r="I778" i="2"/>
  <c r="I1009" i="2"/>
  <c r="I1240" i="2"/>
  <c r="I1471" i="2"/>
  <c r="I1702" i="2"/>
  <c r="I1933" i="2"/>
  <c r="I2164" i="2"/>
  <c r="I2395" i="2"/>
  <c r="I2626" i="2"/>
  <c r="I2857" i="2"/>
  <c r="I3088" i="2"/>
  <c r="I3319" i="2"/>
  <c r="I3550" i="2"/>
  <c r="I3781" i="2"/>
  <c r="I4012" i="2"/>
  <c r="I4243" i="2"/>
  <c r="I4474" i="2"/>
  <c r="I4705" i="2"/>
  <c r="I86" i="2"/>
  <c r="I317" i="2"/>
  <c r="I548" i="2"/>
  <c r="I779" i="2"/>
  <c r="I1010" i="2"/>
  <c r="I1241" i="2"/>
  <c r="I1472" i="2"/>
  <c r="I1703" i="2"/>
  <c r="I1934" i="2"/>
  <c r="I2165" i="2"/>
  <c r="I2396" i="2"/>
  <c r="I2627" i="2"/>
  <c r="I2858" i="2"/>
  <c r="I3089" i="2"/>
  <c r="I3320" i="2"/>
  <c r="I3551" i="2"/>
  <c r="I3782" i="2"/>
  <c r="I4013" i="2"/>
  <c r="I4244" i="2"/>
  <c r="I4475" i="2"/>
  <c r="I4706" i="2"/>
  <c r="I87" i="2"/>
  <c r="I318" i="2"/>
  <c r="I549" i="2"/>
  <c r="I780" i="2"/>
  <c r="I1011" i="2"/>
  <c r="I1242" i="2"/>
  <c r="I1473" i="2"/>
  <c r="I1704" i="2"/>
  <c r="I1935" i="2"/>
  <c r="I2166" i="2"/>
  <c r="I2397" i="2"/>
  <c r="I2628" i="2"/>
  <c r="I2859" i="2"/>
  <c r="I3090" i="2"/>
  <c r="I3321" i="2"/>
  <c r="I3552" i="2"/>
  <c r="I3783" i="2"/>
  <c r="I4014" i="2"/>
  <c r="I4245" i="2"/>
  <c r="I4476" i="2"/>
  <c r="I4707" i="2"/>
  <c r="I88" i="2"/>
  <c r="I319" i="2"/>
  <c r="I550" i="2"/>
  <c r="I781" i="2"/>
  <c r="I1012" i="2"/>
  <c r="I1243" i="2"/>
  <c r="I1474" i="2"/>
  <c r="I1705" i="2"/>
  <c r="I1936" i="2"/>
  <c r="I2167" i="2"/>
  <c r="I2398" i="2"/>
  <c r="I2629" i="2"/>
  <c r="I2860" i="2"/>
  <c r="I3091" i="2"/>
  <c r="I3322" i="2"/>
  <c r="I3553" i="2"/>
  <c r="I3784" i="2"/>
  <c r="I4015" i="2"/>
  <c r="I4246" i="2"/>
  <c r="I4477" i="2"/>
  <c r="I4708" i="2"/>
  <c r="I89" i="2"/>
  <c r="I320" i="2"/>
  <c r="I551" i="2"/>
  <c r="I782" i="2"/>
  <c r="I1013" i="2"/>
  <c r="I1244" i="2"/>
  <c r="I1475" i="2"/>
  <c r="I1706" i="2"/>
  <c r="I1937" i="2"/>
  <c r="I2168" i="2"/>
  <c r="I2399" i="2"/>
  <c r="I2630" i="2"/>
  <c r="I2861" i="2"/>
  <c r="I3092" i="2"/>
  <c r="I3323" i="2"/>
  <c r="I3554" i="2"/>
  <c r="I3785" i="2"/>
  <c r="I4016" i="2"/>
  <c r="I4247" i="2"/>
  <c r="I4478" i="2"/>
  <c r="I4709" i="2"/>
  <c r="I90" i="2"/>
  <c r="I321" i="2"/>
  <c r="I552" i="2"/>
  <c r="I783" i="2"/>
  <c r="I1014" i="2"/>
  <c r="I1245" i="2"/>
  <c r="I1476" i="2"/>
  <c r="I1707" i="2"/>
  <c r="I1938" i="2"/>
  <c r="I2169" i="2"/>
  <c r="I2400" i="2"/>
  <c r="I2631" i="2"/>
  <c r="I2862" i="2"/>
  <c r="I3093" i="2"/>
  <c r="I3324" i="2"/>
  <c r="I3555" i="2"/>
  <c r="I3786" i="2"/>
  <c r="I4017" i="2"/>
  <c r="I4248" i="2"/>
  <c r="I4479" i="2"/>
  <c r="I4710" i="2"/>
  <c r="I91" i="2"/>
  <c r="I322" i="2"/>
  <c r="I553" i="2"/>
  <c r="I784" i="2"/>
  <c r="I1015" i="2"/>
  <c r="I1246" i="2"/>
  <c r="I1477" i="2"/>
  <c r="I1708" i="2"/>
  <c r="I1939" i="2"/>
  <c r="I2170" i="2"/>
  <c r="I2401" i="2"/>
  <c r="I2632" i="2"/>
  <c r="I2863" i="2"/>
  <c r="I3094" i="2"/>
  <c r="I3325" i="2"/>
  <c r="I3556" i="2"/>
  <c r="I3787" i="2"/>
  <c r="I4018" i="2"/>
  <c r="I4249" i="2"/>
  <c r="I4480" i="2"/>
  <c r="I4711" i="2"/>
  <c r="I92" i="2"/>
  <c r="I323" i="2"/>
  <c r="I554" i="2"/>
  <c r="I785" i="2"/>
  <c r="I1016" i="2"/>
  <c r="I1247" i="2"/>
  <c r="I1478" i="2"/>
  <c r="I1709" i="2"/>
  <c r="I1940" i="2"/>
  <c r="I2171" i="2"/>
  <c r="I2402" i="2"/>
  <c r="I2633" i="2"/>
  <c r="I2864" i="2"/>
  <c r="I3095" i="2"/>
  <c r="I3326" i="2"/>
  <c r="I3557" i="2"/>
  <c r="I3788" i="2"/>
  <c r="I4019" i="2"/>
  <c r="I4250" i="2"/>
  <c r="I4481" i="2"/>
  <c r="I4712" i="2"/>
  <c r="I93" i="2"/>
  <c r="I324" i="2"/>
  <c r="I555" i="2"/>
  <c r="I786" i="2"/>
  <c r="I1017" i="2"/>
  <c r="I1248" i="2"/>
  <c r="I1479" i="2"/>
  <c r="I1710" i="2"/>
  <c r="I1941" i="2"/>
  <c r="I2172" i="2"/>
  <c r="I2403" i="2"/>
  <c r="I2634" i="2"/>
  <c r="I2865" i="2"/>
  <c r="I3096" i="2"/>
  <c r="I3327" i="2"/>
  <c r="I3558" i="2"/>
  <c r="I3789" i="2"/>
  <c r="I4020" i="2"/>
  <c r="I4251" i="2"/>
  <c r="I4482" i="2"/>
  <c r="I4713" i="2"/>
  <c r="I94" i="2"/>
  <c r="I325" i="2"/>
  <c r="I556" i="2"/>
  <c r="I787" i="2"/>
  <c r="I1018" i="2"/>
  <c r="I1249" i="2"/>
  <c r="I1480" i="2"/>
  <c r="I1711" i="2"/>
  <c r="I1942" i="2"/>
  <c r="I2173" i="2"/>
  <c r="I2404" i="2"/>
  <c r="I2635" i="2"/>
  <c r="I2866" i="2"/>
  <c r="I3097" i="2"/>
  <c r="I3328" i="2"/>
  <c r="I3559" i="2"/>
  <c r="I3790" i="2"/>
  <c r="I4021" i="2"/>
  <c r="I4252" i="2"/>
  <c r="I4483" i="2"/>
  <c r="I4714" i="2"/>
  <c r="I95" i="2"/>
  <c r="I326" i="2"/>
  <c r="I557" i="2"/>
  <c r="I788" i="2"/>
  <c r="I1019" i="2"/>
  <c r="I1250" i="2"/>
  <c r="I1481" i="2"/>
  <c r="I1712" i="2"/>
  <c r="I1943" i="2"/>
  <c r="I2174" i="2"/>
  <c r="I2405" i="2"/>
  <c r="I2636" i="2"/>
  <c r="I2867" i="2"/>
  <c r="I3098" i="2"/>
  <c r="I3329" i="2"/>
  <c r="I3560" i="2"/>
  <c r="I3791" i="2"/>
  <c r="I4022" i="2"/>
  <c r="I4253" i="2"/>
  <c r="I4484" i="2"/>
  <c r="I4715" i="2"/>
  <c r="I96" i="2"/>
  <c r="I327" i="2"/>
  <c r="I558" i="2"/>
  <c r="I789" i="2"/>
  <c r="I1020" i="2"/>
  <c r="I1251" i="2"/>
  <c r="I1482" i="2"/>
  <c r="I1713" i="2"/>
  <c r="I1944" i="2"/>
  <c r="I2175" i="2"/>
  <c r="I2406" i="2"/>
  <c r="I2637" i="2"/>
  <c r="I2868" i="2"/>
  <c r="I3099" i="2"/>
  <c r="I3330" i="2"/>
  <c r="I3561" i="2"/>
  <c r="I3792" i="2"/>
  <c r="I4023" i="2"/>
  <c r="I4254" i="2"/>
  <c r="I4485" i="2"/>
  <c r="I4716" i="2"/>
  <c r="I97" i="2"/>
  <c r="I328" i="2"/>
  <c r="I559" i="2"/>
  <c r="I790" i="2"/>
  <c r="I1021" i="2"/>
  <c r="I1252" i="2"/>
  <c r="I1483" i="2"/>
  <c r="I1714" i="2"/>
  <c r="I1945" i="2"/>
  <c r="I2176" i="2"/>
  <c r="I2407" i="2"/>
  <c r="I2638" i="2"/>
  <c r="I2869" i="2"/>
  <c r="I3100" i="2"/>
  <c r="I3331" i="2"/>
  <c r="I3562" i="2"/>
  <c r="I3793" i="2"/>
  <c r="I4024" i="2"/>
  <c r="I4255" i="2"/>
  <c r="I4486" i="2"/>
  <c r="I4717" i="2"/>
  <c r="I98" i="2"/>
  <c r="I329" i="2"/>
  <c r="I560" i="2"/>
  <c r="I791" i="2"/>
  <c r="I1022" i="2"/>
  <c r="I1253" i="2"/>
  <c r="I1484" i="2"/>
  <c r="I1715" i="2"/>
  <c r="I1946" i="2"/>
  <c r="I2177" i="2"/>
  <c r="I2408" i="2"/>
  <c r="I2639" i="2"/>
  <c r="I2870" i="2"/>
  <c r="I3101" i="2"/>
  <c r="I3332" i="2"/>
  <c r="I3563" i="2"/>
  <c r="I3794" i="2"/>
  <c r="I4025" i="2"/>
  <c r="I4256" i="2"/>
  <c r="I4487" i="2"/>
  <c r="I4718" i="2"/>
  <c r="I99" i="2"/>
  <c r="I330" i="2"/>
  <c r="I561" i="2"/>
  <c r="I792" i="2"/>
  <c r="I1023" i="2"/>
  <c r="I1254" i="2"/>
  <c r="I1485" i="2"/>
  <c r="I1716" i="2"/>
  <c r="I1947" i="2"/>
  <c r="I2178" i="2"/>
  <c r="I2409" i="2"/>
  <c r="I2640" i="2"/>
  <c r="I2871" i="2"/>
  <c r="I3102" i="2"/>
  <c r="I3333" i="2"/>
  <c r="I3564" i="2"/>
  <c r="I3795" i="2"/>
  <c r="I4026" i="2"/>
  <c r="I4257" i="2"/>
  <c r="I4488" i="2"/>
  <c r="I4719" i="2"/>
  <c r="I100" i="2"/>
  <c r="I331" i="2"/>
  <c r="I562" i="2"/>
  <c r="I793" i="2"/>
  <c r="I1024" i="2"/>
  <c r="I1255" i="2"/>
  <c r="I1486" i="2"/>
  <c r="I1717" i="2"/>
  <c r="I1948" i="2"/>
  <c r="I2179" i="2"/>
  <c r="I2410" i="2"/>
  <c r="I2641" i="2"/>
  <c r="I2872" i="2"/>
  <c r="I3103" i="2"/>
  <c r="I3334" i="2"/>
  <c r="I3565" i="2"/>
  <c r="I3796" i="2"/>
  <c r="I4027" i="2"/>
  <c r="I4258" i="2"/>
  <c r="I4489" i="2"/>
  <c r="I4720" i="2"/>
  <c r="I101" i="2"/>
  <c r="I332" i="2"/>
  <c r="I563" i="2"/>
  <c r="I794" i="2"/>
  <c r="I1025" i="2"/>
  <c r="I1256" i="2"/>
  <c r="I1487" i="2"/>
  <c r="I1718" i="2"/>
  <c r="I1949" i="2"/>
  <c r="I2180" i="2"/>
  <c r="I2411" i="2"/>
  <c r="I2642" i="2"/>
  <c r="I2873" i="2"/>
  <c r="I3104" i="2"/>
  <c r="I3335" i="2"/>
  <c r="I3566" i="2"/>
  <c r="I3797" i="2"/>
  <c r="I4028" i="2"/>
  <c r="I4259" i="2"/>
  <c r="I4490" i="2"/>
  <c r="I4721" i="2"/>
  <c r="I102" i="2"/>
  <c r="I333" i="2"/>
  <c r="I564" i="2"/>
  <c r="I795" i="2"/>
  <c r="I1026" i="2"/>
  <c r="I1257" i="2"/>
  <c r="I1488" i="2"/>
  <c r="I1719" i="2"/>
  <c r="I1950" i="2"/>
  <c r="I2181" i="2"/>
  <c r="I2412" i="2"/>
  <c r="I2643" i="2"/>
  <c r="I2874" i="2"/>
  <c r="I3105" i="2"/>
  <c r="I3336" i="2"/>
  <c r="I3567" i="2"/>
  <c r="I3798" i="2"/>
  <c r="I4029" i="2"/>
  <c r="I4260" i="2"/>
  <c r="I4491" i="2"/>
  <c r="I4722" i="2"/>
  <c r="I103" i="2"/>
  <c r="I334" i="2"/>
  <c r="I565" i="2"/>
  <c r="I796" i="2"/>
  <c r="I1027" i="2"/>
  <c r="I1258" i="2"/>
  <c r="I1489" i="2"/>
  <c r="I1720" i="2"/>
  <c r="I1951" i="2"/>
  <c r="I2182" i="2"/>
  <c r="I2413" i="2"/>
  <c r="I2644" i="2"/>
  <c r="I2875" i="2"/>
  <c r="I3106" i="2"/>
  <c r="I3337" i="2"/>
  <c r="I3568" i="2"/>
  <c r="I3799" i="2"/>
  <c r="I4030" i="2"/>
  <c r="I4261" i="2"/>
  <c r="I4492" i="2"/>
  <c r="I4723" i="2"/>
  <c r="I104" i="2"/>
  <c r="I335" i="2"/>
  <c r="I566" i="2"/>
  <c r="I797" i="2"/>
  <c r="I1028" i="2"/>
  <c r="I1259" i="2"/>
  <c r="I1490" i="2"/>
  <c r="I1721" i="2"/>
  <c r="I1952" i="2"/>
  <c r="I2183" i="2"/>
  <c r="I2414" i="2"/>
  <c r="I2645" i="2"/>
  <c r="I2876" i="2"/>
  <c r="I3107" i="2"/>
  <c r="I3338" i="2"/>
  <c r="I3569" i="2"/>
  <c r="I3800" i="2"/>
  <c r="I4031" i="2"/>
  <c r="I4262" i="2"/>
  <c r="I4493" i="2"/>
  <c r="I4724" i="2"/>
  <c r="I105" i="2"/>
  <c r="I336" i="2"/>
  <c r="I567" i="2"/>
  <c r="I798" i="2"/>
  <c r="I1029" i="2"/>
  <c r="I1260" i="2"/>
  <c r="I1491" i="2"/>
  <c r="I1722" i="2"/>
  <c r="I1953" i="2"/>
  <c r="I2184" i="2"/>
  <c r="I2415" i="2"/>
  <c r="I2646" i="2"/>
  <c r="I2877" i="2"/>
  <c r="I3108" i="2"/>
  <c r="I3339" i="2"/>
  <c r="I3570" i="2"/>
  <c r="I3801" i="2"/>
  <c r="I4032" i="2"/>
  <c r="I4263" i="2"/>
  <c r="I4494" i="2"/>
  <c r="I4725" i="2"/>
  <c r="I106" i="2"/>
  <c r="I337" i="2"/>
  <c r="I568" i="2"/>
  <c r="I799" i="2"/>
  <c r="I1030" i="2"/>
  <c r="I1261" i="2"/>
  <c r="I1492" i="2"/>
  <c r="I1723" i="2"/>
  <c r="I1954" i="2"/>
  <c r="I2185" i="2"/>
  <c r="I2416" i="2"/>
  <c r="I2647" i="2"/>
  <c r="I2878" i="2"/>
  <c r="I3109" i="2"/>
  <c r="I3340" i="2"/>
  <c r="I3571" i="2"/>
  <c r="I3802" i="2"/>
  <c r="I4033" i="2"/>
  <c r="I4264" i="2"/>
  <c r="I4495" i="2"/>
  <c r="I4726" i="2"/>
  <c r="I107" i="2"/>
  <c r="I338" i="2"/>
  <c r="I569" i="2"/>
  <c r="I800" i="2"/>
  <c r="I1031" i="2"/>
  <c r="I1262" i="2"/>
  <c r="I1493" i="2"/>
  <c r="I1724" i="2"/>
  <c r="I1955" i="2"/>
  <c r="I2186" i="2"/>
  <c r="I2417" i="2"/>
  <c r="I2648" i="2"/>
  <c r="I2879" i="2"/>
  <c r="I3110" i="2"/>
  <c r="I3341" i="2"/>
  <c r="I3572" i="2"/>
  <c r="I3803" i="2"/>
  <c r="I4034" i="2"/>
  <c r="I4265" i="2"/>
  <c r="I4496" i="2"/>
  <c r="I4727" i="2"/>
  <c r="I108" i="2"/>
  <c r="I339" i="2"/>
  <c r="I570" i="2"/>
  <c r="I801" i="2"/>
  <c r="I1032" i="2"/>
  <c r="I1263" i="2"/>
  <c r="I1494" i="2"/>
  <c r="I1725" i="2"/>
  <c r="I1956" i="2"/>
  <c r="I2187" i="2"/>
  <c r="I2418" i="2"/>
  <c r="I2649" i="2"/>
  <c r="I2880" i="2"/>
  <c r="I3111" i="2"/>
  <c r="I3342" i="2"/>
  <c r="I3573" i="2"/>
  <c r="I3804" i="2"/>
  <c r="I4035" i="2"/>
  <c r="I4266" i="2"/>
  <c r="I4497" i="2"/>
  <c r="I4728" i="2"/>
  <c r="I109" i="2"/>
  <c r="I340" i="2"/>
  <c r="I571" i="2"/>
  <c r="I802" i="2"/>
  <c r="I1033" i="2"/>
  <c r="I1264" i="2"/>
  <c r="I1495" i="2"/>
  <c r="I1726" i="2"/>
  <c r="I1957" i="2"/>
  <c r="I2188" i="2"/>
  <c r="I2419" i="2"/>
  <c r="I2650" i="2"/>
  <c r="I2881" i="2"/>
  <c r="I3112" i="2"/>
  <c r="I3343" i="2"/>
  <c r="I3574" i="2"/>
  <c r="I3805" i="2"/>
  <c r="I4036" i="2"/>
  <c r="I4267" i="2"/>
  <c r="I4498" i="2"/>
  <c r="I4729" i="2"/>
  <c r="I110" i="2"/>
  <c r="I341" i="2"/>
  <c r="I572" i="2"/>
  <c r="I803" i="2"/>
  <c r="I1034" i="2"/>
  <c r="I1265" i="2"/>
  <c r="I1496" i="2"/>
  <c r="I1727" i="2"/>
  <c r="I1958" i="2"/>
  <c r="I2189" i="2"/>
  <c r="I2420" i="2"/>
  <c r="I2651" i="2"/>
  <c r="I2882" i="2"/>
  <c r="I3113" i="2"/>
  <c r="I3344" i="2"/>
  <c r="I3575" i="2"/>
  <c r="I3806" i="2"/>
  <c r="I4037" i="2"/>
  <c r="I4268" i="2"/>
  <c r="I4499" i="2"/>
  <c r="I4730" i="2"/>
  <c r="I111" i="2"/>
  <c r="I342" i="2"/>
  <c r="I573" i="2"/>
  <c r="I804" i="2"/>
  <c r="I1035" i="2"/>
  <c r="I1266" i="2"/>
  <c r="I1497" i="2"/>
  <c r="I1728" i="2"/>
  <c r="I1959" i="2"/>
  <c r="I2190" i="2"/>
  <c r="I2421" i="2"/>
  <c r="I2652" i="2"/>
  <c r="I2883" i="2"/>
  <c r="I3114" i="2"/>
  <c r="I3345" i="2"/>
  <c r="I3576" i="2"/>
  <c r="I3807" i="2"/>
  <c r="I4038" i="2"/>
  <c r="I4269" i="2"/>
  <c r="I4500" i="2"/>
  <c r="I4731" i="2"/>
  <c r="I112" i="2"/>
  <c r="I343" i="2"/>
  <c r="I574" i="2"/>
  <c r="I805" i="2"/>
  <c r="I1036" i="2"/>
  <c r="I1267" i="2"/>
  <c r="I1498" i="2"/>
  <c r="I1729" i="2"/>
  <c r="I1960" i="2"/>
  <c r="I2191" i="2"/>
  <c r="I2422" i="2"/>
  <c r="I2653" i="2"/>
  <c r="I2884" i="2"/>
  <c r="I3115" i="2"/>
  <c r="I3346" i="2"/>
  <c r="I3577" i="2"/>
  <c r="I3808" i="2"/>
  <c r="I4039" i="2"/>
  <c r="I4270" i="2"/>
  <c r="I4501" i="2"/>
  <c r="I4732" i="2"/>
  <c r="I113" i="2"/>
  <c r="I344" i="2"/>
  <c r="I575" i="2"/>
  <c r="I806" i="2"/>
  <c r="I1037" i="2"/>
  <c r="I1268" i="2"/>
  <c r="I1499" i="2"/>
  <c r="I1730" i="2"/>
  <c r="I1961" i="2"/>
  <c r="I2192" i="2"/>
  <c r="I2423" i="2"/>
  <c r="I2654" i="2"/>
  <c r="I2885" i="2"/>
  <c r="I3116" i="2"/>
  <c r="I3347" i="2"/>
  <c r="I3578" i="2"/>
  <c r="I3809" i="2"/>
  <c r="I4040" i="2"/>
  <c r="I4271" i="2"/>
  <c r="I4502" i="2"/>
  <c r="I4733" i="2"/>
  <c r="I114" i="2"/>
  <c r="I345" i="2"/>
  <c r="I576" i="2"/>
  <c r="I807" i="2"/>
  <c r="I1038" i="2"/>
  <c r="I1269" i="2"/>
  <c r="I1500" i="2"/>
  <c r="I1731" i="2"/>
  <c r="I1962" i="2"/>
  <c r="I2193" i="2"/>
  <c r="I2424" i="2"/>
  <c r="I2655" i="2"/>
  <c r="I2886" i="2"/>
  <c r="I3117" i="2"/>
  <c r="I3348" i="2"/>
  <c r="I3579" i="2"/>
  <c r="I3810" i="2"/>
  <c r="I4041" i="2"/>
  <c r="I4272" i="2"/>
  <c r="I4503" i="2"/>
  <c r="I4734" i="2"/>
  <c r="I115" i="2"/>
  <c r="I346" i="2"/>
  <c r="I577" i="2"/>
  <c r="I808" i="2"/>
  <c r="I1039" i="2"/>
  <c r="I1270" i="2"/>
  <c r="I1501" i="2"/>
  <c r="I1732" i="2"/>
  <c r="I1963" i="2"/>
  <c r="I2194" i="2"/>
  <c r="I2425" i="2"/>
  <c r="I2656" i="2"/>
  <c r="I2887" i="2"/>
  <c r="I3118" i="2"/>
  <c r="I3349" i="2"/>
  <c r="I3580" i="2"/>
  <c r="I3811" i="2"/>
  <c r="I4042" i="2"/>
  <c r="I4273" i="2"/>
  <c r="I4504" i="2"/>
  <c r="I4735" i="2"/>
  <c r="I116" i="2"/>
  <c r="I347" i="2"/>
  <c r="I578" i="2"/>
  <c r="I809" i="2"/>
  <c r="I1040" i="2"/>
  <c r="I1271" i="2"/>
  <c r="I1502" i="2"/>
  <c r="I1733" i="2"/>
  <c r="I1964" i="2"/>
  <c r="I2195" i="2"/>
  <c r="I2426" i="2"/>
  <c r="I2657" i="2"/>
  <c r="I2888" i="2"/>
  <c r="I3119" i="2"/>
  <c r="I3350" i="2"/>
  <c r="I3581" i="2"/>
  <c r="I3812" i="2"/>
  <c r="I4043" i="2"/>
  <c r="I4274" i="2"/>
  <c r="I4505" i="2"/>
  <c r="I4736" i="2"/>
  <c r="I117" i="2"/>
  <c r="I348" i="2"/>
  <c r="I579" i="2"/>
  <c r="I810" i="2"/>
  <c r="I1041" i="2"/>
  <c r="I1272" i="2"/>
  <c r="I1503" i="2"/>
  <c r="I1734" i="2"/>
  <c r="I1965" i="2"/>
  <c r="I2196" i="2"/>
  <c r="I2427" i="2"/>
  <c r="I2658" i="2"/>
  <c r="I2889" i="2"/>
  <c r="I3120" i="2"/>
  <c r="I3351" i="2"/>
  <c r="I3582" i="2"/>
  <c r="I3813" i="2"/>
  <c r="I4044" i="2"/>
  <c r="I4275" i="2"/>
  <c r="I4506" i="2"/>
  <c r="I4737" i="2"/>
  <c r="I118" i="2"/>
  <c r="I349" i="2"/>
  <c r="I580" i="2"/>
  <c r="I811" i="2"/>
  <c r="I1042" i="2"/>
  <c r="I1273" i="2"/>
  <c r="I1504" i="2"/>
  <c r="I1735" i="2"/>
  <c r="I1966" i="2"/>
  <c r="I2197" i="2"/>
  <c r="I2428" i="2"/>
  <c r="I2659" i="2"/>
  <c r="I2890" i="2"/>
  <c r="I3121" i="2"/>
  <c r="I3352" i="2"/>
  <c r="I3583" i="2"/>
  <c r="I3814" i="2"/>
  <c r="I4045" i="2"/>
  <c r="I4276" i="2"/>
  <c r="I4507" i="2"/>
  <c r="I4738" i="2"/>
  <c r="I119" i="2"/>
  <c r="I350" i="2"/>
  <c r="I581" i="2"/>
  <c r="I812" i="2"/>
  <c r="I1043" i="2"/>
  <c r="I1274" i="2"/>
  <c r="I1505" i="2"/>
  <c r="I1736" i="2"/>
  <c r="I1967" i="2"/>
  <c r="I2198" i="2"/>
  <c r="I2429" i="2"/>
  <c r="I2660" i="2"/>
  <c r="I2891" i="2"/>
  <c r="I3122" i="2"/>
  <c r="I3353" i="2"/>
  <c r="I3584" i="2"/>
  <c r="I3815" i="2"/>
  <c r="I4046" i="2"/>
  <c r="I4277" i="2"/>
  <c r="I4508" i="2"/>
  <c r="I4739" i="2"/>
  <c r="I120" i="2"/>
  <c r="I351" i="2"/>
  <c r="I582" i="2"/>
  <c r="I813" i="2"/>
  <c r="I1044" i="2"/>
  <c r="I1275" i="2"/>
  <c r="I1506" i="2"/>
  <c r="I1737" i="2"/>
  <c r="I1968" i="2"/>
  <c r="I2199" i="2"/>
  <c r="I2430" i="2"/>
  <c r="I2661" i="2"/>
  <c r="I2892" i="2"/>
  <c r="I3123" i="2"/>
  <c r="I3354" i="2"/>
  <c r="I3585" i="2"/>
  <c r="I3816" i="2"/>
  <c r="I4047" i="2"/>
  <c r="I4278" i="2"/>
  <c r="I4509" i="2"/>
  <c r="I4740" i="2"/>
  <c r="I121" i="2"/>
  <c r="I352" i="2"/>
  <c r="I583" i="2"/>
  <c r="I814" i="2"/>
  <c r="I1045" i="2"/>
  <c r="I1276" i="2"/>
  <c r="I1507" i="2"/>
  <c r="I1738" i="2"/>
  <c r="I1969" i="2"/>
  <c r="I2200" i="2"/>
  <c r="I2431" i="2"/>
  <c r="I2662" i="2"/>
  <c r="I2893" i="2"/>
  <c r="I3124" i="2"/>
  <c r="I3355" i="2"/>
  <c r="I3586" i="2"/>
  <c r="I3817" i="2"/>
  <c r="I4048" i="2"/>
  <c r="I4279" i="2"/>
  <c r="I4510" i="2"/>
  <c r="I4741" i="2"/>
  <c r="I122" i="2"/>
  <c r="I353" i="2"/>
  <c r="I584" i="2"/>
  <c r="I815" i="2"/>
  <c r="I1046" i="2"/>
  <c r="I1277" i="2"/>
  <c r="I1508" i="2"/>
  <c r="I1739" i="2"/>
  <c r="I1970" i="2"/>
  <c r="I2201" i="2"/>
  <c r="I2432" i="2"/>
  <c r="I2663" i="2"/>
  <c r="I2894" i="2"/>
  <c r="I3125" i="2"/>
  <c r="I3356" i="2"/>
  <c r="I3587" i="2"/>
  <c r="I3818" i="2"/>
  <c r="I4049" i="2"/>
  <c r="I4280" i="2"/>
  <c r="I4511" i="2"/>
  <c r="I4742" i="2"/>
  <c r="I123" i="2"/>
  <c r="I354" i="2"/>
  <c r="I585" i="2"/>
  <c r="I816" i="2"/>
  <c r="I1047" i="2"/>
  <c r="I1278" i="2"/>
  <c r="I1509" i="2"/>
  <c r="I1740" i="2"/>
  <c r="I1971" i="2"/>
  <c r="I2202" i="2"/>
  <c r="I2433" i="2"/>
  <c r="I2664" i="2"/>
  <c r="I2895" i="2"/>
  <c r="I3126" i="2"/>
  <c r="I3357" i="2"/>
  <c r="I3588" i="2"/>
  <c r="I3819" i="2"/>
  <c r="I4050" i="2"/>
  <c r="I4281" i="2"/>
  <c r="I4512" i="2"/>
  <c r="I4743" i="2"/>
  <c r="I124" i="2"/>
  <c r="I355" i="2"/>
  <c r="I586" i="2"/>
  <c r="I817" i="2"/>
  <c r="I1048" i="2"/>
  <c r="I1279" i="2"/>
  <c r="I1510" i="2"/>
  <c r="I1741" i="2"/>
  <c r="I1972" i="2"/>
  <c r="I2203" i="2"/>
  <c r="I2434" i="2"/>
  <c r="I2665" i="2"/>
  <c r="I2896" i="2"/>
  <c r="I3127" i="2"/>
  <c r="I3358" i="2"/>
  <c r="I3589" i="2"/>
  <c r="I3820" i="2"/>
  <c r="I4051" i="2"/>
  <c r="I4282" i="2"/>
  <c r="I4513" i="2"/>
  <c r="I4744" i="2"/>
  <c r="I125" i="2"/>
  <c r="I356" i="2"/>
  <c r="I587" i="2"/>
  <c r="I818" i="2"/>
  <c r="I1049" i="2"/>
  <c r="I1280" i="2"/>
  <c r="I1511" i="2"/>
  <c r="I1742" i="2"/>
  <c r="I1973" i="2"/>
  <c r="I2204" i="2"/>
  <c r="I2435" i="2"/>
  <c r="I2666" i="2"/>
  <c r="I2897" i="2"/>
  <c r="I3128" i="2"/>
  <c r="I3359" i="2"/>
  <c r="I3590" i="2"/>
  <c r="I3821" i="2"/>
  <c r="I4052" i="2"/>
  <c r="I4283" i="2"/>
  <c r="I4514" i="2"/>
  <c r="I4745" i="2"/>
  <c r="I126" i="2"/>
  <c r="I357" i="2"/>
  <c r="I588" i="2"/>
  <c r="I819" i="2"/>
  <c r="I1050" i="2"/>
  <c r="I1281" i="2"/>
  <c r="I1512" i="2"/>
  <c r="I1743" i="2"/>
  <c r="I1974" i="2"/>
  <c r="I2205" i="2"/>
  <c r="I2436" i="2"/>
  <c r="I2667" i="2"/>
  <c r="I2898" i="2"/>
  <c r="I3129" i="2"/>
  <c r="I3360" i="2"/>
  <c r="I3591" i="2"/>
  <c r="I3822" i="2"/>
  <c r="I4053" i="2"/>
  <c r="I4284" i="2"/>
  <c r="I4515" i="2"/>
  <c r="I4746" i="2"/>
  <c r="I127" i="2"/>
  <c r="I358" i="2"/>
  <c r="I589" i="2"/>
  <c r="I820" i="2"/>
  <c r="I1051" i="2"/>
  <c r="I1282" i="2"/>
  <c r="I1513" i="2"/>
  <c r="I1744" i="2"/>
  <c r="I1975" i="2"/>
  <c r="I2206" i="2"/>
  <c r="I2437" i="2"/>
  <c r="I2668" i="2"/>
  <c r="I2899" i="2"/>
  <c r="I3130" i="2"/>
  <c r="I3361" i="2"/>
  <c r="I3592" i="2"/>
  <c r="I3823" i="2"/>
  <c r="I4054" i="2"/>
  <c r="I4285" i="2"/>
  <c r="I4516" i="2"/>
  <c r="I4747" i="2"/>
  <c r="I128" i="2"/>
  <c r="I359" i="2"/>
  <c r="I590" i="2"/>
  <c r="I821" i="2"/>
  <c r="I1052" i="2"/>
  <c r="I1283" i="2"/>
  <c r="I1514" i="2"/>
  <c r="I1745" i="2"/>
  <c r="I1976" i="2"/>
  <c r="I2207" i="2"/>
  <c r="I2438" i="2"/>
  <c r="I2669" i="2"/>
  <c r="I2900" i="2"/>
  <c r="I3131" i="2"/>
  <c r="I3362" i="2"/>
  <c r="I3593" i="2"/>
  <c r="I3824" i="2"/>
  <c r="I4055" i="2"/>
  <c r="I4286" i="2"/>
  <c r="I4517" i="2"/>
  <c r="I4748" i="2"/>
  <c r="I129" i="2"/>
  <c r="I360" i="2"/>
  <c r="I591" i="2"/>
  <c r="I822" i="2"/>
  <c r="I1053" i="2"/>
  <c r="I1284" i="2"/>
  <c r="I1515" i="2"/>
  <c r="I1746" i="2"/>
  <c r="I1977" i="2"/>
  <c r="I2208" i="2"/>
  <c r="I2439" i="2"/>
  <c r="I2670" i="2"/>
  <c r="I2901" i="2"/>
  <c r="I3132" i="2"/>
  <c r="I3363" i="2"/>
  <c r="I3594" i="2"/>
  <c r="I3825" i="2"/>
  <c r="I4056" i="2"/>
  <c r="I4287" i="2"/>
  <c r="I4518" i="2"/>
  <c r="I4749" i="2"/>
  <c r="I130" i="2"/>
  <c r="I361" i="2"/>
  <c r="I592" i="2"/>
  <c r="I823" i="2"/>
  <c r="I1054" i="2"/>
  <c r="I1285" i="2"/>
  <c r="I1516" i="2"/>
  <c r="I1747" i="2"/>
  <c r="I1978" i="2"/>
  <c r="I2209" i="2"/>
  <c r="I2440" i="2"/>
  <c r="I2671" i="2"/>
  <c r="I2902" i="2"/>
  <c r="I3133" i="2"/>
  <c r="I3364" i="2"/>
  <c r="I3595" i="2"/>
  <c r="I3826" i="2"/>
  <c r="I4057" i="2"/>
  <c r="I4288" i="2"/>
  <c r="I4519" i="2"/>
  <c r="I4750" i="2"/>
  <c r="I131" i="2"/>
  <c r="I362" i="2"/>
  <c r="I593" i="2"/>
  <c r="I824" i="2"/>
  <c r="I1055" i="2"/>
  <c r="I1286" i="2"/>
  <c r="I1517" i="2"/>
  <c r="I1748" i="2"/>
  <c r="I1979" i="2"/>
  <c r="I2210" i="2"/>
  <c r="I2441" i="2"/>
  <c r="I2672" i="2"/>
  <c r="I2903" i="2"/>
  <c r="I3134" i="2"/>
  <c r="I3365" i="2"/>
  <c r="I3596" i="2"/>
  <c r="I3827" i="2"/>
  <c r="I4058" i="2"/>
  <c r="I4289" i="2"/>
  <c r="I4520" i="2"/>
  <c r="I4751" i="2"/>
  <c r="I132" i="2"/>
  <c r="I363" i="2"/>
  <c r="I594" i="2"/>
  <c r="I825" i="2"/>
  <c r="I1056" i="2"/>
  <c r="I1287" i="2"/>
  <c r="I1518" i="2"/>
  <c r="I1749" i="2"/>
  <c r="I1980" i="2"/>
  <c r="I2211" i="2"/>
  <c r="I2442" i="2"/>
  <c r="I2673" i="2"/>
  <c r="I2904" i="2"/>
  <c r="I3135" i="2"/>
  <c r="I3366" i="2"/>
  <c r="I3597" i="2"/>
  <c r="I3828" i="2"/>
  <c r="I4059" i="2"/>
  <c r="I4290" i="2"/>
  <c r="I4521" i="2"/>
  <c r="I4752" i="2"/>
  <c r="I133" i="2"/>
  <c r="I364" i="2"/>
  <c r="I595" i="2"/>
  <c r="I826" i="2"/>
  <c r="I1057" i="2"/>
  <c r="I1288" i="2"/>
  <c r="I1519" i="2"/>
  <c r="I1750" i="2"/>
  <c r="I1981" i="2"/>
  <c r="I2212" i="2"/>
  <c r="I2443" i="2"/>
  <c r="I2674" i="2"/>
  <c r="I2905" i="2"/>
  <c r="I3136" i="2"/>
  <c r="I3367" i="2"/>
  <c r="I3598" i="2"/>
  <c r="I3829" i="2"/>
  <c r="I4060" i="2"/>
  <c r="I4291" i="2"/>
  <c r="I4522" i="2"/>
  <c r="I4753" i="2"/>
  <c r="I134" i="2"/>
  <c r="I365" i="2"/>
  <c r="I596" i="2"/>
  <c r="I827" i="2"/>
  <c r="I1058" i="2"/>
  <c r="I1289" i="2"/>
  <c r="I1520" i="2"/>
  <c r="I1751" i="2"/>
  <c r="I1982" i="2"/>
  <c r="I2213" i="2"/>
  <c r="I2444" i="2"/>
  <c r="I2675" i="2"/>
  <c r="I2906" i="2"/>
  <c r="I3137" i="2"/>
  <c r="I3368" i="2"/>
  <c r="I3599" i="2"/>
  <c r="I3830" i="2"/>
  <c r="I4061" i="2"/>
  <c r="I4292" i="2"/>
  <c r="I4523" i="2"/>
  <c r="I4754" i="2"/>
  <c r="I135" i="2"/>
  <c r="I366" i="2"/>
  <c r="I597" i="2"/>
  <c r="I828" i="2"/>
  <c r="I1059" i="2"/>
  <c r="I1290" i="2"/>
  <c r="I1521" i="2"/>
  <c r="I1752" i="2"/>
  <c r="I1983" i="2"/>
  <c r="I2214" i="2"/>
  <c r="I2445" i="2"/>
  <c r="I2676" i="2"/>
  <c r="I2907" i="2"/>
  <c r="I3138" i="2"/>
  <c r="I3369" i="2"/>
  <c r="I3600" i="2"/>
  <c r="I3831" i="2"/>
  <c r="I4062" i="2"/>
  <c r="I4293" i="2"/>
  <c r="I4524" i="2"/>
  <c r="I4755" i="2"/>
  <c r="I136" i="2"/>
  <c r="I367" i="2"/>
  <c r="I598" i="2"/>
  <c r="I829" i="2"/>
  <c r="I1060" i="2"/>
  <c r="I1291" i="2"/>
  <c r="I1522" i="2"/>
  <c r="I1753" i="2"/>
  <c r="I1984" i="2"/>
  <c r="I2215" i="2"/>
  <c r="I2446" i="2"/>
  <c r="I2677" i="2"/>
  <c r="I2908" i="2"/>
  <c r="I3139" i="2"/>
  <c r="I3370" i="2"/>
  <c r="I3601" i="2"/>
  <c r="I3832" i="2"/>
  <c r="I4063" i="2"/>
  <c r="I4294" i="2"/>
  <c r="I4525" i="2"/>
  <c r="I4756" i="2"/>
  <c r="I137" i="2"/>
  <c r="I368" i="2"/>
  <c r="I599" i="2"/>
  <c r="I830" i="2"/>
  <c r="I1061" i="2"/>
  <c r="I1292" i="2"/>
  <c r="I1523" i="2"/>
  <c r="I1754" i="2"/>
  <c r="I1985" i="2"/>
  <c r="I2216" i="2"/>
  <c r="I2447" i="2"/>
  <c r="I2678" i="2"/>
  <c r="I2909" i="2"/>
  <c r="I3140" i="2"/>
  <c r="I3371" i="2"/>
  <c r="I3602" i="2"/>
  <c r="I3833" i="2"/>
  <c r="I4064" i="2"/>
  <c r="I4295" i="2"/>
  <c r="I4526" i="2"/>
  <c r="I4757" i="2"/>
  <c r="I138" i="2"/>
  <c r="I369" i="2"/>
  <c r="I600" i="2"/>
  <c r="I831" i="2"/>
  <c r="I1062" i="2"/>
  <c r="I1293" i="2"/>
  <c r="I1524" i="2"/>
  <c r="I1755" i="2"/>
  <c r="I1986" i="2"/>
  <c r="I2217" i="2"/>
  <c r="I2448" i="2"/>
  <c r="I2679" i="2"/>
  <c r="I2910" i="2"/>
  <c r="I3141" i="2"/>
  <c r="I3372" i="2"/>
  <c r="I3603" i="2"/>
  <c r="I3834" i="2"/>
  <c r="I4065" i="2"/>
  <c r="I4296" i="2"/>
  <c r="I4527" i="2"/>
  <c r="I4758" i="2"/>
  <c r="I139" i="2"/>
  <c r="I370" i="2"/>
  <c r="I601" i="2"/>
  <c r="I832" i="2"/>
  <c r="I1063" i="2"/>
  <c r="I1294" i="2"/>
  <c r="I1525" i="2"/>
  <c r="I1756" i="2"/>
  <c r="I1987" i="2"/>
  <c r="I2218" i="2"/>
  <c r="I2449" i="2"/>
  <c r="I2680" i="2"/>
  <c r="I2911" i="2"/>
  <c r="I3142" i="2"/>
  <c r="I3373" i="2"/>
  <c r="I3604" i="2"/>
  <c r="I3835" i="2"/>
  <c r="I4066" i="2"/>
  <c r="I4297" i="2"/>
  <c r="I4528" i="2"/>
  <c r="I4759" i="2"/>
  <c r="I140" i="2"/>
  <c r="I371" i="2"/>
  <c r="I602" i="2"/>
  <c r="I833" i="2"/>
  <c r="I1064" i="2"/>
  <c r="I1295" i="2"/>
  <c r="I1526" i="2"/>
  <c r="I1757" i="2"/>
  <c r="I1988" i="2"/>
  <c r="I2219" i="2"/>
  <c r="I2450" i="2"/>
  <c r="I2681" i="2"/>
  <c r="I2912" i="2"/>
  <c r="I3143" i="2"/>
  <c r="I3374" i="2"/>
  <c r="I3605" i="2"/>
  <c r="I3836" i="2"/>
  <c r="I4067" i="2"/>
  <c r="I4298" i="2"/>
  <c r="I4529" i="2"/>
  <c r="I4760" i="2"/>
  <c r="I141" i="2"/>
  <c r="I372" i="2"/>
  <c r="I603" i="2"/>
  <c r="I834" i="2"/>
  <c r="I1065" i="2"/>
  <c r="I1296" i="2"/>
  <c r="I1527" i="2"/>
  <c r="I1758" i="2"/>
  <c r="I1989" i="2"/>
  <c r="I2220" i="2"/>
  <c r="I2451" i="2"/>
  <c r="I2682" i="2"/>
  <c r="I2913" i="2"/>
  <c r="I3144" i="2"/>
  <c r="I3375" i="2"/>
  <c r="I3606" i="2"/>
  <c r="I3837" i="2"/>
  <c r="I4068" i="2"/>
  <c r="I4299" i="2"/>
  <c r="I4530" i="2"/>
  <c r="I4761" i="2"/>
  <c r="I142" i="2"/>
  <c r="I373" i="2"/>
  <c r="I604" i="2"/>
  <c r="I835" i="2"/>
  <c r="I1066" i="2"/>
  <c r="I1297" i="2"/>
  <c r="I1528" i="2"/>
  <c r="I1759" i="2"/>
  <c r="I1990" i="2"/>
  <c r="I2221" i="2"/>
  <c r="I2452" i="2"/>
  <c r="I2683" i="2"/>
  <c r="I2914" i="2"/>
  <c r="I3145" i="2"/>
  <c r="I3376" i="2"/>
  <c r="I3607" i="2"/>
  <c r="I3838" i="2"/>
  <c r="I4069" i="2"/>
  <c r="I4300" i="2"/>
  <c r="I4531" i="2"/>
  <c r="I4762" i="2"/>
  <c r="I143" i="2"/>
  <c r="I374" i="2"/>
  <c r="I605" i="2"/>
  <c r="I836" i="2"/>
  <c r="I1067" i="2"/>
  <c r="I1298" i="2"/>
  <c r="I1529" i="2"/>
  <c r="I1760" i="2"/>
  <c r="I1991" i="2"/>
  <c r="I2222" i="2"/>
  <c r="I2453" i="2"/>
  <c r="I2684" i="2"/>
  <c r="I2915" i="2"/>
  <c r="I3146" i="2"/>
  <c r="I3377" i="2"/>
  <c r="I3608" i="2"/>
  <c r="I3839" i="2"/>
  <c r="I4070" i="2"/>
  <c r="I4301" i="2"/>
  <c r="I4532" i="2"/>
  <c r="I4763" i="2"/>
  <c r="I144" i="2"/>
  <c r="I375" i="2"/>
  <c r="I606" i="2"/>
  <c r="I837" i="2"/>
  <c r="I1068" i="2"/>
  <c r="I1299" i="2"/>
  <c r="I1530" i="2"/>
  <c r="I1761" i="2"/>
  <c r="I1992" i="2"/>
  <c r="I2223" i="2"/>
  <c r="I2454" i="2"/>
  <c r="I2685" i="2"/>
  <c r="I2916" i="2"/>
  <c r="I3147" i="2"/>
  <c r="I3378" i="2"/>
  <c r="I3609" i="2"/>
  <c r="I3840" i="2"/>
  <c r="I4071" i="2"/>
  <c r="I4302" i="2"/>
  <c r="I4533" i="2"/>
  <c r="I4764" i="2"/>
  <c r="I145" i="2"/>
  <c r="I376" i="2"/>
  <c r="I607" i="2"/>
  <c r="I838" i="2"/>
  <c r="I1069" i="2"/>
  <c r="I1300" i="2"/>
  <c r="I1531" i="2"/>
  <c r="I1762" i="2"/>
  <c r="I1993" i="2"/>
  <c r="I2224" i="2"/>
  <c r="I2455" i="2"/>
  <c r="I2686" i="2"/>
  <c r="I2917" i="2"/>
  <c r="I3148" i="2"/>
  <c r="I3379" i="2"/>
  <c r="I3610" i="2"/>
  <c r="I3841" i="2"/>
  <c r="I4072" i="2"/>
  <c r="I4303" i="2"/>
  <c r="I4534" i="2"/>
  <c r="I4765" i="2"/>
  <c r="I146" i="2"/>
  <c r="I377" i="2"/>
  <c r="I608" i="2"/>
  <c r="I839" i="2"/>
  <c r="I1070" i="2"/>
  <c r="I1301" i="2"/>
  <c r="I1532" i="2"/>
  <c r="I1763" i="2"/>
  <c r="I1994" i="2"/>
  <c r="I2225" i="2"/>
  <c r="I2456" i="2"/>
  <c r="I2687" i="2"/>
  <c r="I2918" i="2"/>
  <c r="I3149" i="2"/>
  <c r="I3380" i="2"/>
  <c r="I3611" i="2"/>
  <c r="I3842" i="2"/>
  <c r="I4073" i="2"/>
  <c r="I4304" i="2"/>
  <c r="I4535" i="2"/>
  <c r="I4766" i="2"/>
  <c r="I147" i="2"/>
  <c r="I378" i="2"/>
  <c r="I609" i="2"/>
  <c r="I840" i="2"/>
  <c r="I1071" i="2"/>
  <c r="I1302" i="2"/>
  <c r="I1533" i="2"/>
  <c r="I1764" i="2"/>
  <c r="I1995" i="2"/>
  <c r="I2226" i="2"/>
  <c r="I2457" i="2"/>
  <c r="I2688" i="2"/>
  <c r="I2919" i="2"/>
  <c r="I3150" i="2"/>
  <c r="I3381" i="2"/>
  <c r="I3612" i="2"/>
  <c r="I3843" i="2"/>
  <c r="I4074" i="2"/>
  <c r="I4305" i="2"/>
  <c r="I4536" i="2"/>
  <c r="I4767" i="2"/>
  <c r="I148" i="2"/>
  <c r="I379" i="2"/>
  <c r="I610" i="2"/>
  <c r="I841" i="2"/>
  <c r="I1072" i="2"/>
  <c r="I1303" i="2"/>
  <c r="I1534" i="2"/>
  <c r="I1765" i="2"/>
  <c r="I1996" i="2"/>
  <c r="I2227" i="2"/>
  <c r="I2458" i="2"/>
  <c r="I2689" i="2"/>
  <c r="I2920" i="2"/>
  <c r="I3151" i="2"/>
  <c r="I3382" i="2"/>
  <c r="I3613" i="2"/>
  <c r="I3844" i="2"/>
  <c r="I4075" i="2"/>
  <c r="I4306" i="2"/>
  <c r="I4537" i="2"/>
  <c r="I4768" i="2"/>
  <c r="I149" i="2"/>
  <c r="I380" i="2"/>
  <c r="I611" i="2"/>
  <c r="I842" i="2"/>
  <c r="I1073" i="2"/>
  <c r="I1304" i="2"/>
  <c r="I1535" i="2"/>
  <c r="I1766" i="2"/>
  <c r="I1997" i="2"/>
  <c r="I2228" i="2"/>
  <c r="I2459" i="2"/>
  <c r="I2690" i="2"/>
  <c r="I2921" i="2"/>
  <c r="I3152" i="2"/>
  <c r="I3383" i="2"/>
  <c r="I3614" i="2"/>
  <c r="I3845" i="2"/>
  <c r="I4076" i="2"/>
  <c r="I4307" i="2"/>
  <c r="I4538" i="2"/>
  <c r="I4769" i="2"/>
  <c r="I150" i="2"/>
  <c r="I381" i="2"/>
  <c r="I612" i="2"/>
  <c r="I843" i="2"/>
  <c r="I1074" i="2"/>
  <c r="I1305" i="2"/>
  <c r="I1536" i="2"/>
  <c r="I1767" i="2"/>
  <c r="I1998" i="2"/>
  <c r="I2229" i="2"/>
  <c r="I2460" i="2"/>
  <c r="I2691" i="2"/>
  <c r="I2922" i="2"/>
  <c r="I3153" i="2"/>
  <c r="I3384" i="2"/>
  <c r="I3615" i="2"/>
  <c r="I3846" i="2"/>
  <c r="I4077" i="2"/>
  <c r="I4308" i="2"/>
  <c r="I4539" i="2"/>
  <c r="I4770" i="2"/>
  <c r="I151" i="2"/>
  <c r="I382" i="2"/>
  <c r="I613" i="2"/>
  <c r="I844" i="2"/>
  <c r="I1075" i="2"/>
  <c r="I1306" i="2"/>
  <c r="I1537" i="2"/>
  <c r="I1768" i="2"/>
  <c r="I1999" i="2"/>
  <c r="I2230" i="2"/>
  <c r="I2461" i="2"/>
  <c r="I2692" i="2"/>
  <c r="I2923" i="2"/>
  <c r="I3154" i="2"/>
  <c r="I3385" i="2"/>
  <c r="I3616" i="2"/>
  <c r="I3847" i="2"/>
  <c r="I4078" i="2"/>
  <c r="I4309" i="2"/>
  <c r="I4540" i="2"/>
  <c r="I4771" i="2"/>
  <c r="I152" i="2"/>
  <c r="I383" i="2"/>
  <c r="I614" i="2"/>
  <c r="I845" i="2"/>
  <c r="I1076" i="2"/>
  <c r="I1307" i="2"/>
  <c r="I1538" i="2"/>
  <c r="I1769" i="2"/>
  <c r="I2000" i="2"/>
  <c r="I2231" i="2"/>
  <c r="I2462" i="2"/>
  <c r="I2693" i="2"/>
  <c r="I2924" i="2"/>
  <c r="I3155" i="2"/>
  <c r="I3386" i="2"/>
  <c r="I3617" i="2"/>
  <c r="I3848" i="2"/>
  <c r="I4079" i="2"/>
  <c r="I4310" i="2"/>
  <c r="I4541" i="2"/>
  <c r="I4772" i="2"/>
  <c r="I153" i="2"/>
  <c r="I384" i="2"/>
  <c r="I615" i="2"/>
  <c r="I846" i="2"/>
  <c r="I1077" i="2"/>
  <c r="I1308" i="2"/>
  <c r="I1539" i="2"/>
  <c r="I1770" i="2"/>
  <c r="I2001" i="2"/>
  <c r="I2232" i="2"/>
  <c r="I2463" i="2"/>
  <c r="I2694" i="2"/>
  <c r="I2925" i="2"/>
  <c r="I3156" i="2"/>
  <c r="I3387" i="2"/>
  <c r="I3618" i="2"/>
  <c r="I3849" i="2"/>
  <c r="I4080" i="2"/>
  <c r="I4311" i="2"/>
  <c r="I4542" i="2"/>
  <c r="I4773" i="2"/>
  <c r="I154" i="2"/>
  <c r="I385" i="2"/>
  <c r="I616" i="2"/>
  <c r="I847" i="2"/>
  <c r="I1078" i="2"/>
  <c r="I1309" i="2"/>
  <c r="I1540" i="2"/>
  <c r="I1771" i="2"/>
  <c r="I2002" i="2"/>
  <c r="I2233" i="2"/>
  <c r="I2464" i="2"/>
  <c r="I2695" i="2"/>
  <c r="I2926" i="2"/>
  <c r="I3157" i="2"/>
  <c r="I3388" i="2"/>
  <c r="I3619" i="2"/>
  <c r="I3850" i="2"/>
  <c r="I4081" i="2"/>
  <c r="I4312" i="2"/>
  <c r="I4543" i="2"/>
  <c r="I4774" i="2"/>
  <c r="I155" i="2"/>
  <c r="I386" i="2"/>
  <c r="I617" i="2"/>
  <c r="I848" i="2"/>
  <c r="I1079" i="2"/>
  <c r="I1310" i="2"/>
  <c r="I1541" i="2"/>
  <c r="I1772" i="2"/>
  <c r="I2003" i="2"/>
  <c r="I2234" i="2"/>
  <c r="I2465" i="2"/>
  <c r="I2696" i="2"/>
  <c r="I2927" i="2"/>
  <c r="I3158" i="2"/>
  <c r="I3389" i="2"/>
  <c r="I3620" i="2"/>
  <c r="I3851" i="2"/>
  <c r="I4082" i="2"/>
  <c r="I4313" i="2"/>
  <c r="I4544" i="2"/>
  <c r="I4775" i="2"/>
  <c r="I156" i="2"/>
  <c r="I387" i="2"/>
  <c r="I618" i="2"/>
  <c r="I849" i="2"/>
  <c r="I1080" i="2"/>
  <c r="I1311" i="2"/>
  <c r="I1542" i="2"/>
  <c r="I1773" i="2"/>
  <c r="I2004" i="2"/>
  <c r="I2235" i="2"/>
  <c r="I2466" i="2"/>
  <c r="I2697" i="2"/>
  <c r="I2928" i="2"/>
  <c r="I3159" i="2"/>
  <c r="I3390" i="2"/>
  <c r="I3621" i="2"/>
  <c r="I3852" i="2"/>
  <c r="I4083" i="2"/>
  <c r="I4314" i="2"/>
  <c r="I4545" i="2"/>
  <c r="I4776" i="2"/>
  <c r="I157" i="2"/>
  <c r="I388" i="2"/>
  <c r="I619" i="2"/>
  <c r="I850" i="2"/>
  <c r="I1081" i="2"/>
  <c r="I1312" i="2"/>
  <c r="I1543" i="2"/>
  <c r="I1774" i="2"/>
  <c r="I2005" i="2"/>
  <c r="I2236" i="2"/>
  <c r="I2467" i="2"/>
  <c r="I2698" i="2"/>
  <c r="I2929" i="2"/>
  <c r="I3160" i="2"/>
  <c r="I3391" i="2"/>
  <c r="I3622" i="2"/>
  <c r="I3853" i="2"/>
  <c r="I4084" i="2"/>
  <c r="I4315" i="2"/>
  <c r="I4546" i="2"/>
  <c r="I4777" i="2"/>
  <c r="I158" i="2"/>
  <c r="I389" i="2"/>
  <c r="I620" i="2"/>
  <c r="I851" i="2"/>
  <c r="I1082" i="2"/>
  <c r="I1313" i="2"/>
  <c r="I1544" i="2"/>
  <c r="I1775" i="2"/>
  <c r="I2006" i="2"/>
  <c r="I2237" i="2"/>
  <c r="I2468" i="2"/>
  <c r="I2699" i="2"/>
  <c r="I2930" i="2"/>
  <c r="I3161" i="2"/>
  <c r="I3392" i="2"/>
  <c r="I3623" i="2"/>
  <c r="I3854" i="2"/>
  <c r="I4085" i="2"/>
  <c r="I4316" i="2"/>
  <c r="I4547" i="2"/>
  <c r="I4778" i="2"/>
  <c r="I159" i="2"/>
  <c r="I390" i="2"/>
  <c r="I621" i="2"/>
  <c r="I852" i="2"/>
  <c r="I1083" i="2"/>
  <c r="I1314" i="2"/>
  <c r="I1545" i="2"/>
  <c r="I1776" i="2"/>
  <c r="I2007" i="2"/>
  <c r="I2238" i="2"/>
  <c r="I2469" i="2"/>
  <c r="I2700" i="2"/>
  <c r="I2931" i="2"/>
  <c r="I3162" i="2"/>
  <c r="I3393" i="2"/>
  <c r="I3624" i="2"/>
  <c r="I3855" i="2"/>
  <c r="I4086" i="2"/>
  <c r="I4317" i="2"/>
  <c r="I4548" i="2"/>
  <c r="I4779" i="2"/>
  <c r="I160" i="2"/>
  <c r="I391" i="2"/>
  <c r="I622" i="2"/>
  <c r="I853" i="2"/>
  <c r="I1084" i="2"/>
  <c r="I1315" i="2"/>
  <c r="I1546" i="2"/>
  <c r="I1777" i="2"/>
  <c r="I2008" i="2"/>
  <c r="I2239" i="2"/>
  <c r="I2470" i="2"/>
  <c r="I2701" i="2"/>
  <c r="I2932" i="2"/>
  <c r="I3163" i="2"/>
  <c r="I3394" i="2"/>
  <c r="I3625" i="2"/>
  <c r="I3856" i="2"/>
  <c r="I4087" i="2"/>
  <c r="I4318" i="2"/>
  <c r="I4549" i="2"/>
  <c r="I4780" i="2"/>
  <c r="I161" i="2"/>
  <c r="I392" i="2"/>
  <c r="I623" i="2"/>
  <c r="I854" i="2"/>
  <c r="I1085" i="2"/>
  <c r="I1316" i="2"/>
  <c r="I1547" i="2"/>
  <c r="I1778" i="2"/>
  <c r="I2009" i="2"/>
  <c r="I2240" i="2"/>
  <c r="I2471" i="2"/>
  <c r="I2702" i="2"/>
  <c r="I2933" i="2"/>
  <c r="I3164" i="2"/>
  <c r="I3395" i="2"/>
  <c r="I3626" i="2"/>
  <c r="I3857" i="2"/>
  <c r="I4088" i="2"/>
  <c r="I4319" i="2"/>
  <c r="I4550" i="2"/>
  <c r="I4781" i="2"/>
  <c r="I162" i="2"/>
  <c r="I393" i="2"/>
  <c r="I624" i="2"/>
  <c r="I855" i="2"/>
  <c r="I1086" i="2"/>
  <c r="I1317" i="2"/>
  <c r="I1548" i="2"/>
  <c r="I1779" i="2"/>
  <c r="I2010" i="2"/>
  <c r="I2241" i="2"/>
  <c r="I2472" i="2"/>
  <c r="I2703" i="2"/>
  <c r="I2934" i="2"/>
  <c r="I3165" i="2"/>
  <c r="I3396" i="2"/>
  <c r="I3627" i="2"/>
  <c r="I3858" i="2"/>
  <c r="I4089" i="2"/>
  <c r="I4320" i="2"/>
  <c r="I4551" i="2"/>
  <c r="I4782" i="2"/>
  <c r="I163" i="2"/>
  <c r="I394" i="2"/>
  <c r="I625" i="2"/>
  <c r="I856" i="2"/>
  <c r="I1087" i="2"/>
  <c r="I1318" i="2"/>
  <c r="I1549" i="2"/>
  <c r="I1780" i="2"/>
  <c r="I2011" i="2"/>
  <c r="I2242" i="2"/>
  <c r="I2473" i="2"/>
  <c r="I2704" i="2"/>
  <c r="I2935" i="2"/>
  <c r="I3166" i="2"/>
  <c r="I3397" i="2"/>
  <c r="I3628" i="2"/>
  <c r="I3859" i="2"/>
  <c r="I4090" i="2"/>
  <c r="I4321" i="2"/>
  <c r="I4552" i="2"/>
  <c r="I4783" i="2"/>
  <c r="I164" i="2"/>
  <c r="I395" i="2"/>
  <c r="I626" i="2"/>
  <c r="I857" i="2"/>
  <c r="I1088" i="2"/>
  <c r="I1319" i="2"/>
  <c r="I1550" i="2"/>
  <c r="I1781" i="2"/>
  <c r="I2012" i="2"/>
  <c r="I2243" i="2"/>
  <c r="I2474" i="2"/>
  <c r="I2705" i="2"/>
  <c r="I2936" i="2"/>
  <c r="I3167" i="2"/>
  <c r="I3398" i="2"/>
  <c r="I3629" i="2"/>
  <c r="I3860" i="2"/>
  <c r="I4091" i="2"/>
  <c r="I4322" i="2"/>
  <c r="I4553" i="2"/>
  <c r="I4784" i="2"/>
  <c r="I165" i="2"/>
  <c r="I396" i="2"/>
  <c r="I627" i="2"/>
  <c r="I858" i="2"/>
  <c r="I1089" i="2"/>
  <c r="I1320" i="2"/>
  <c r="I1551" i="2"/>
  <c r="I1782" i="2"/>
  <c r="I2013" i="2"/>
  <c r="I2244" i="2"/>
  <c r="I2475" i="2"/>
  <c r="I2706" i="2"/>
  <c r="I2937" i="2"/>
  <c r="I3168" i="2"/>
  <c r="I3399" i="2"/>
  <c r="I3630" i="2"/>
  <c r="I3861" i="2"/>
  <c r="I4092" i="2"/>
  <c r="I4323" i="2"/>
  <c r="I4554" i="2"/>
  <c r="I4785" i="2"/>
  <c r="I166" i="2"/>
  <c r="I397" i="2"/>
  <c r="I628" i="2"/>
  <c r="I859" i="2"/>
  <c r="I1090" i="2"/>
  <c r="I1321" i="2"/>
  <c r="I1552" i="2"/>
  <c r="I1783" i="2"/>
  <c r="I2014" i="2"/>
  <c r="I2245" i="2"/>
  <c r="I2476" i="2"/>
  <c r="I2707" i="2"/>
  <c r="I2938" i="2"/>
  <c r="I3169" i="2"/>
  <c r="I3400" i="2"/>
  <c r="I3631" i="2"/>
  <c r="I3862" i="2"/>
  <c r="I4093" i="2"/>
  <c r="I4324" i="2"/>
  <c r="I4555" i="2"/>
  <c r="I4786" i="2"/>
  <c r="I167" i="2"/>
  <c r="I398" i="2"/>
  <c r="I629" i="2"/>
  <c r="I860" i="2"/>
  <c r="I1091" i="2"/>
  <c r="I1322" i="2"/>
  <c r="I1553" i="2"/>
  <c r="I1784" i="2"/>
  <c r="I2015" i="2"/>
  <c r="I2246" i="2"/>
  <c r="I2477" i="2"/>
  <c r="I2708" i="2"/>
  <c r="I2939" i="2"/>
  <c r="I3170" i="2"/>
  <c r="I3401" i="2"/>
  <c r="I3632" i="2"/>
  <c r="I3863" i="2"/>
  <c r="I4094" i="2"/>
  <c r="I4325" i="2"/>
  <c r="I4556" i="2"/>
  <c r="I4787" i="2"/>
  <c r="I168" i="2"/>
  <c r="I399" i="2"/>
  <c r="I630" i="2"/>
  <c r="I861" i="2"/>
  <c r="I1092" i="2"/>
  <c r="I1323" i="2"/>
  <c r="I1554" i="2"/>
  <c r="I1785" i="2"/>
  <c r="I2016" i="2"/>
  <c r="I2247" i="2"/>
  <c r="I2478" i="2"/>
  <c r="I2709" i="2"/>
  <c r="I2940" i="2"/>
  <c r="I3171" i="2"/>
  <c r="I3402" i="2"/>
  <c r="I3633" i="2"/>
  <c r="I3864" i="2"/>
  <c r="I4095" i="2"/>
  <c r="I4326" i="2"/>
  <c r="I4557" i="2"/>
  <c r="I4788" i="2"/>
  <c r="I169" i="2"/>
  <c r="I400" i="2"/>
  <c r="I631" i="2"/>
  <c r="I862" i="2"/>
  <c r="I1093" i="2"/>
  <c r="I1324" i="2"/>
  <c r="I1555" i="2"/>
  <c r="I1786" i="2"/>
  <c r="I2017" i="2"/>
  <c r="I2248" i="2"/>
  <c r="I2479" i="2"/>
  <c r="I2710" i="2"/>
  <c r="I2941" i="2"/>
  <c r="I3172" i="2"/>
  <c r="I3403" i="2"/>
  <c r="I3634" i="2"/>
  <c r="I3865" i="2"/>
  <c r="I4096" i="2"/>
  <c r="I4327" i="2"/>
  <c r="I4558" i="2"/>
  <c r="I4789" i="2"/>
  <c r="I170" i="2"/>
  <c r="I401" i="2"/>
  <c r="I632" i="2"/>
  <c r="I863" i="2"/>
  <c r="I1094" i="2"/>
  <c r="I1325" i="2"/>
  <c r="I1556" i="2"/>
  <c r="I1787" i="2"/>
  <c r="I2018" i="2"/>
  <c r="I2249" i="2"/>
  <c r="I2480" i="2"/>
  <c r="I2711" i="2"/>
  <c r="I2942" i="2"/>
  <c r="I3173" i="2"/>
  <c r="I3404" i="2"/>
  <c r="I3635" i="2"/>
  <c r="I3866" i="2"/>
  <c r="I4097" i="2"/>
  <c r="I4328" i="2"/>
  <c r="I4559" i="2"/>
  <c r="I4790" i="2"/>
  <c r="I171" i="2"/>
  <c r="I402" i="2"/>
  <c r="I633" i="2"/>
  <c r="I864" i="2"/>
  <c r="I1095" i="2"/>
  <c r="I1326" i="2"/>
  <c r="I1557" i="2"/>
  <c r="I1788" i="2"/>
  <c r="I2019" i="2"/>
  <c r="I2250" i="2"/>
  <c r="I2481" i="2"/>
  <c r="I2712" i="2"/>
  <c r="I2943" i="2"/>
  <c r="I3174" i="2"/>
  <c r="I3405" i="2"/>
  <c r="I3636" i="2"/>
  <c r="I3867" i="2"/>
  <c r="I4098" i="2"/>
  <c r="I4329" i="2"/>
  <c r="I4560" i="2"/>
  <c r="I4791" i="2"/>
  <c r="I172" i="2"/>
  <c r="I403" i="2"/>
  <c r="I634" i="2"/>
  <c r="I865" i="2"/>
  <c r="I1096" i="2"/>
  <c r="I1327" i="2"/>
  <c r="I1558" i="2"/>
  <c r="I1789" i="2"/>
  <c r="I2020" i="2"/>
  <c r="I2251" i="2"/>
  <c r="I2482" i="2"/>
  <c r="I2713" i="2"/>
  <c r="I2944" i="2"/>
  <c r="I3175" i="2"/>
  <c r="I3406" i="2"/>
  <c r="I3637" i="2"/>
  <c r="I3868" i="2"/>
  <c r="I4099" i="2"/>
  <c r="I4330" i="2"/>
  <c r="I4561" i="2"/>
  <c r="I4792" i="2"/>
  <c r="I173" i="2"/>
  <c r="I404" i="2"/>
  <c r="I635" i="2"/>
  <c r="I866" i="2"/>
  <c r="I1097" i="2"/>
  <c r="I1328" i="2"/>
  <c r="I1559" i="2"/>
  <c r="I1790" i="2"/>
  <c r="I2021" i="2"/>
  <c r="I2252" i="2"/>
  <c r="I2483" i="2"/>
  <c r="I2714" i="2"/>
  <c r="I2945" i="2"/>
  <c r="I3176" i="2"/>
  <c r="I3407" i="2"/>
  <c r="I3638" i="2"/>
  <c r="I3869" i="2"/>
  <c r="I4100" i="2"/>
  <c r="I4331" i="2"/>
  <c r="I4562" i="2"/>
  <c r="I4793" i="2"/>
  <c r="I174" i="2"/>
  <c r="I405" i="2"/>
  <c r="I636" i="2"/>
  <c r="I867" i="2"/>
  <c r="I1098" i="2"/>
  <c r="I1329" i="2"/>
  <c r="I1560" i="2"/>
  <c r="I1791" i="2"/>
  <c r="I2022" i="2"/>
  <c r="I2253" i="2"/>
  <c r="I2484" i="2"/>
  <c r="I2715" i="2"/>
  <c r="I2946" i="2"/>
  <c r="I3177" i="2"/>
  <c r="I3408" i="2"/>
  <c r="I3639" i="2"/>
  <c r="I3870" i="2"/>
  <c r="I4101" i="2"/>
  <c r="I4332" i="2"/>
  <c r="I4563" i="2"/>
  <c r="I4794" i="2"/>
  <c r="I175" i="2"/>
  <c r="I406" i="2"/>
  <c r="I637" i="2"/>
  <c r="I868" i="2"/>
  <c r="I1099" i="2"/>
  <c r="I1330" i="2"/>
  <c r="I1561" i="2"/>
  <c r="I1792" i="2"/>
  <c r="I2023" i="2"/>
  <c r="I2254" i="2"/>
  <c r="I2485" i="2"/>
  <c r="I2716" i="2"/>
  <c r="I2947" i="2"/>
  <c r="I3178" i="2"/>
  <c r="I3409" i="2"/>
  <c r="I3640" i="2"/>
  <c r="I3871" i="2"/>
  <c r="I4102" i="2"/>
  <c r="I4333" i="2"/>
  <c r="I4564" i="2"/>
  <c r="I4795" i="2"/>
  <c r="I176" i="2"/>
  <c r="I407" i="2"/>
  <c r="I638" i="2"/>
  <c r="I869" i="2"/>
  <c r="I1100" i="2"/>
  <c r="I1331" i="2"/>
  <c r="I1562" i="2"/>
  <c r="I1793" i="2"/>
  <c r="I2024" i="2"/>
  <c r="I2255" i="2"/>
  <c r="I2486" i="2"/>
  <c r="I2717" i="2"/>
  <c r="I2948" i="2"/>
  <c r="I3179" i="2"/>
  <c r="I3410" i="2"/>
  <c r="I3641" i="2"/>
  <c r="I3872" i="2"/>
  <c r="I4103" i="2"/>
  <c r="I4334" i="2"/>
  <c r="I4565" i="2"/>
  <c r="I4796" i="2"/>
  <c r="I177" i="2"/>
  <c r="I408" i="2"/>
  <c r="I639" i="2"/>
  <c r="I870" i="2"/>
  <c r="I1101" i="2"/>
  <c r="I1332" i="2"/>
  <c r="I1563" i="2"/>
  <c r="I1794" i="2"/>
  <c r="I2025" i="2"/>
  <c r="I2256" i="2"/>
  <c r="I2487" i="2"/>
  <c r="I2718" i="2"/>
  <c r="I2949" i="2"/>
  <c r="I3180" i="2"/>
  <c r="I3411" i="2"/>
  <c r="I3642" i="2"/>
  <c r="I3873" i="2"/>
  <c r="I4104" i="2"/>
  <c r="I4335" i="2"/>
  <c r="I4566" i="2"/>
  <c r="I4797" i="2"/>
  <c r="I178" i="2"/>
  <c r="I409" i="2"/>
  <c r="I640" i="2"/>
  <c r="I871" i="2"/>
  <c r="I1102" i="2"/>
  <c r="I1333" i="2"/>
  <c r="I1564" i="2"/>
  <c r="I1795" i="2"/>
  <c r="I2026" i="2"/>
  <c r="I2257" i="2"/>
  <c r="I2488" i="2"/>
  <c r="I2719" i="2"/>
  <c r="I2950" i="2"/>
  <c r="I3181" i="2"/>
  <c r="I3412" i="2"/>
  <c r="I3643" i="2"/>
  <c r="I3874" i="2"/>
  <c r="I4105" i="2"/>
  <c r="I4336" i="2"/>
  <c r="I4567" i="2"/>
  <c r="I4798" i="2"/>
  <c r="I179" i="2"/>
  <c r="I410" i="2"/>
  <c r="I641" i="2"/>
  <c r="I872" i="2"/>
  <c r="I1103" i="2"/>
  <c r="I1334" i="2"/>
  <c r="I1565" i="2"/>
  <c r="I1796" i="2"/>
  <c r="I2027" i="2"/>
  <c r="I2258" i="2"/>
  <c r="I2489" i="2"/>
  <c r="I2720" i="2"/>
  <c r="I2951" i="2"/>
  <c r="I3182" i="2"/>
  <c r="I3413" i="2"/>
  <c r="I3644" i="2"/>
  <c r="I3875" i="2"/>
  <c r="I4106" i="2"/>
  <c r="I4337" i="2"/>
  <c r="I4568" i="2"/>
  <c r="I4799" i="2"/>
  <c r="I180" i="2"/>
  <c r="I411" i="2"/>
  <c r="I642" i="2"/>
  <c r="I873" i="2"/>
  <c r="I1104" i="2"/>
  <c r="I1335" i="2"/>
  <c r="I1566" i="2"/>
  <c r="I1797" i="2"/>
  <c r="I2028" i="2"/>
  <c r="I2259" i="2"/>
  <c r="I2490" i="2"/>
  <c r="I2721" i="2"/>
  <c r="I2952" i="2"/>
  <c r="I3183" i="2"/>
  <c r="I3414" i="2"/>
  <c r="I3645" i="2"/>
  <c r="I3876" i="2"/>
  <c r="I4107" i="2"/>
  <c r="I4338" i="2"/>
  <c r="I4569" i="2"/>
  <c r="I4800" i="2"/>
  <c r="I181" i="2"/>
  <c r="I412" i="2"/>
  <c r="I643" i="2"/>
  <c r="I874" i="2"/>
  <c r="I1105" i="2"/>
  <c r="I1336" i="2"/>
  <c r="I1567" i="2"/>
  <c r="I1798" i="2"/>
  <c r="I2029" i="2"/>
  <c r="I2260" i="2"/>
  <c r="I2491" i="2"/>
  <c r="I2722" i="2"/>
  <c r="I2953" i="2"/>
  <c r="I3184" i="2"/>
  <c r="I3415" i="2"/>
  <c r="I3646" i="2"/>
  <c r="I3877" i="2"/>
  <c r="I4108" i="2"/>
  <c r="I4339" i="2"/>
  <c r="I4570" i="2"/>
  <c r="I4801" i="2"/>
  <c r="I182" i="2"/>
  <c r="I413" i="2"/>
  <c r="I644" i="2"/>
  <c r="I875" i="2"/>
  <c r="I1106" i="2"/>
  <c r="I1337" i="2"/>
  <c r="I1568" i="2"/>
  <c r="I1799" i="2"/>
  <c r="I2030" i="2"/>
  <c r="I2261" i="2"/>
  <c r="I2492" i="2"/>
  <c r="I2723" i="2"/>
  <c r="I2954" i="2"/>
  <c r="I3185" i="2"/>
  <c r="I3416" i="2"/>
  <c r="I3647" i="2"/>
  <c r="I3878" i="2"/>
  <c r="I4109" i="2"/>
  <c r="I4340" i="2"/>
  <c r="I4571" i="2"/>
  <c r="I4802" i="2"/>
  <c r="I183" i="2"/>
  <c r="I414" i="2"/>
  <c r="I645" i="2"/>
  <c r="I876" i="2"/>
  <c r="I1107" i="2"/>
  <c r="I1338" i="2"/>
  <c r="I1569" i="2"/>
  <c r="I1800" i="2"/>
  <c r="I2031" i="2"/>
  <c r="I2262" i="2"/>
  <c r="I2493" i="2"/>
  <c r="I2724" i="2"/>
  <c r="I2955" i="2"/>
  <c r="I3186" i="2"/>
  <c r="I3417" i="2"/>
  <c r="I3648" i="2"/>
  <c r="I3879" i="2"/>
  <c r="I4110" i="2"/>
  <c r="I4341" i="2"/>
  <c r="I4572" i="2"/>
  <c r="I4803" i="2"/>
  <c r="I184" i="2"/>
  <c r="I415" i="2"/>
  <c r="I646" i="2"/>
  <c r="I877" i="2"/>
  <c r="I1108" i="2"/>
  <c r="I1339" i="2"/>
  <c r="I1570" i="2"/>
  <c r="I1801" i="2"/>
  <c r="I2032" i="2"/>
  <c r="I2263" i="2"/>
  <c r="I2494" i="2"/>
  <c r="I2725" i="2"/>
  <c r="I2956" i="2"/>
  <c r="I3187" i="2"/>
  <c r="I3418" i="2"/>
  <c r="I3649" i="2"/>
  <c r="I3880" i="2"/>
  <c r="I4111" i="2"/>
  <c r="I4342" i="2"/>
  <c r="I4573" i="2"/>
  <c r="I4804" i="2"/>
  <c r="I185" i="2"/>
  <c r="I416" i="2"/>
  <c r="I647" i="2"/>
  <c r="I878" i="2"/>
  <c r="I1109" i="2"/>
  <c r="I1340" i="2"/>
  <c r="I1571" i="2"/>
  <c r="I1802" i="2"/>
  <c r="I2033" i="2"/>
  <c r="I2264" i="2"/>
  <c r="I2495" i="2"/>
  <c r="I2726" i="2"/>
  <c r="I2957" i="2"/>
  <c r="I3188" i="2"/>
  <c r="I3419" i="2"/>
  <c r="I3650" i="2"/>
  <c r="I3881" i="2"/>
  <c r="I4112" i="2"/>
  <c r="I4343" i="2"/>
  <c r="I4574" i="2"/>
  <c r="I4805" i="2"/>
  <c r="I186" i="2"/>
  <c r="I417" i="2"/>
  <c r="I648" i="2"/>
  <c r="I879" i="2"/>
  <c r="I1110" i="2"/>
  <c r="I1341" i="2"/>
  <c r="I1572" i="2"/>
  <c r="I1803" i="2"/>
  <c r="I2034" i="2"/>
  <c r="I2265" i="2"/>
  <c r="I2496" i="2"/>
  <c r="I2727" i="2"/>
  <c r="I2958" i="2"/>
  <c r="I3189" i="2"/>
  <c r="I3420" i="2"/>
  <c r="I3651" i="2"/>
  <c r="I3882" i="2"/>
  <c r="I4113" i="2"/>
  <c r="I4344" i="2"/>
  <c r="I4575" i="2"/>
  <c r="I4806" i="2"/>
  <c r="I187" i="2"/>
  <c r="I418" i="2"/>
  <c r="I649" i="2"/>
  <c r="I880" i="2"/>
  <c r="I1111" i="2"/>
  <c r="I1342" i="2"/>
  <c r="I1573" i="2"/>
  <c r="I1804" i="2"/>
  <c r="I2035" i="2"/>
  <c r="I2266" i="2"/>
  <c r="I2497" i="2"/>
  <c r="I2728" i="2"/>
  <c r="I2959" i="2"/>
  <c r="I3190" i="2"/>
  <c r="I3421" i="2"/>
  <c r="I3652" i="2"/>
  <c r="I3883" i="2"/>
  <c r="I4114" i="2"/>
  <c r="I4345" i="2"/>
  <c r="I4576" i="2"/>
  <c r="I4807" i="2"/>
  <c r="I188" i="2"/>
  <c r="I419" i="2"/>
  <c r="I650" i="2"/>
  <c r="I881" i="2"/>
  <c r="I1112" i="2"/>
  <c r="I1343" i="2"/>
  <c r="I1574" i="2"/>
  <c r="I1805" i="2"/>
  <c r="I2036" i="2"/>
  <c r="I2267" i="2"/>
  <c r="I2498" i="2"/>
  <c r="I2729" i="2"/>
  <c r="I2960" i="2"/>
  <c r="I3191" i="2"/>
  <c r="I3422" i="2"/>
  <c r="I3653" i="2"/>
  <c r="I3884" i="2"/>
  <c r="I4115" i="2"/>
  <c r="I4346" i="2"/>
  <c r="I4577" i="2"/>
  <c r="I4808" i="2"/>
  <c r="I189" i="2"/>
  <c r="I420" i="2"/>
  <c r="I651" i="2"/>
  <c r="I882" i="2"/>
  <c r="I1113" i="2"/>
  <c r="I1344" i="2"/>
  <c r="I1575" i="2"/>
  <c r="I1806" i="2"/>
  <c r="I2037" i="2"/>
  <c r="I2268" i="2"/>
  <c r="I2499" i="2"/>
  <c r="I2730" i="2"/>
  <c r="I2961" i="2"/>
  <c r="I3192" i="2"/>
  <c r="I3423" i="2"/>
  <c r="I3654" i="2"/>
  <c r="I3885" i="2"/>
  <c r="I4116" i="2"/>
  <c r="I4347" i="2"/>
  <c r="I4578" i="2"/>
  <c r="I4809" i="2"/>
  <c r="I190" i="2"/>
  <c r="I421" i="2"/>
  <c r="I652" i="2"/>
  <c r="I883" i="2"/>
  <c r="I1114" i="2"/>
  <c r="I1345" i="2"/>
  <c r="I1576" i="2"/>
  <c r="I1807" i="2"/>
  <c r="I2038" i="2"/>
  <c r="I2269" i="2"/>
  <c r="I2500" i="2"/>
  <c r="I2731" i="2"/>
  <c r="I2962" i="2"/>
  <c r="I3193" i="2"/>
  <c r="I3424" i="2"/>
  <c r="I3655" i="2"/>
  <c r="I3886" i="2"/>
  <c r="I4117" i="2"/>
  <c r="I4348" i="2"/>
  <c r="I4579" i="2"/>
  <c r="I4810" i="2"/>
  <c r="I191" i="2"/>
  <c r="I422" i="2"/>
  <c r="I653" i="2"/>
  <c r="I884" i="2"/>
  <c r="I1115" i="2"/>
  <c r="I1346" i="2"/>
  <c r="I1577" i="2"/>
  <c r="I1808" i="2"/>
  <c r="I2039" i="2"/>
  <c r="I2270" i="2"/>
  <c r="I2501" i="2"/>
  <c r="I2732" i="2"/>
  <c r="I2963" i="2"/>
  <c r="I3194" i="2"/>
  <c r="I3425" i="2"/>
  <c r="I3656" i="2"/>
  <c r="I3887" i="2"/>
  <c r="I4118" i="2"/>
  <c r="I4349" i="2"/>
  <c r="I4580" i="2"/>
  <c r="I4811" i="2"/>
  <c r="I192" i="2"/>
  <c r="I423" i="2"/>
  <c r="I654" i="2"/>
  <c r="I885" i="2"/>
  <c r="I1116" i="2"/>
  <c r="I1347" i="2"/>
  <c r="I1578" i="2"/>
  <c r="I1809" i="2"/>
  <c r="I2040" i="2"/>
  <c r="I2271" i="2"/>
  <c r="I2502" i="2"/>
  <c r="I2733" i="2"/>
  <c r="I2964" i="2"/>
  <c r="I3195" i="2"/>
  <c r="I3426" i="2"/>
  <c r="I3657" i="2"/>
  <c r="I3888" i="2"/>
  <c r="I4119" i="2"/>
  <c r="I4350" i="2"/>
  <c r="I4581" i="2"/>
  <c r="I4812" i="2"/>
  <c r="I193" i="2"/>
  <c r="I424" i="2"/>
  <c r="I655" i="2"/>
  <c r="I886" i="2"/>
  <c r="I1117" i="2"/>
  <c r="I1348" i="2"/>
  <c r="I1579" i="2"/>
  <c r="I1810" i="2"/>
  <c r="I2041" i="2"/>
  <c r="I2272" i="2"/>
  <c r="I2503" i="2"/>
  <c r="I2734" i="2"/>
  <c r="I2965" i="2"/>
  <c r="I3196" i="2"/>
  <c r="I3427" i="2"/>
  <c r="I3658" i="2"/>
  <c r="I3889" i="2"/>
  <c r="I4120" i="2"/>
  <c r="I4351" i="2"/>
  <c r="I4582" i="2"/>
  <c r="I4813" i="2"/>
  <c r="I194" i="2"/>
  <c r="I425" i="2"/>
  <c r="I656" i="2"/>
  <c r="I887" i="2"/>
  <c r="I1118" i="2"/>
  <c r="I1349" i="2"/>
  <c r="I1580" i="2"/>
  <c r="I1811" i="2"/>
  <c r="I2042" i="2"/>
  <c r="I2273" i="2"/>
  <c r="I2504" i="2"/>
  <c r="I2735" i="2"/>
  <c r="I2966" i="2"/>
  <c r="I3197" i="2"/>
  <c r="I3428" i="2"/>
  <c r="I3659" i="2"/>
  <c r="I3890" i="2"/>
  <c r="I4121" i="2"/>
  <c r="I4352" i="2"/>
  <c r="I4583" i="2"/>
  <c r="I4814" i="2"/>
  <c r="I195" i="2"/>
  <c r="I426" i="2"/>
  <c r="I657" i="2"/>
  <c r="I888" i="2"/>
  <c r="I1119" i="2"/>
  <c r="I1350" i="2"/>
  <c r="I1581" i="2"/>
  <c r="I1812" i="2"/>
  <c r="I2043" i="2"/>
  <c r="I2274" i="2"/>
  <c r="I2505" i="2"/>
  <c r="I2736" i="2"/>
  <c r="I2967" i="2"/>
  <c r="I3198" i="2"/>
  <c r="I3429" i="2"/>
  <c r="I3660" i="2"/>
  <c r="I3891" i="2"/>
  <c r="I4122" i="2"/>
  <c r="I4353" i="2"/>
  <c r="I4584" i="2"/>
  <c r="I4815" i="2"/>
  <c r="I196" i="2"/>
  <c r="I427" i="2"/>
  <c r="I658" i="2"/>
  <c r="I889" i="2"/>
  <c r="I1120" i="2"/>
  <c r="I1351" i="2"/>
  <c r="I1582" i="2"/>
  <c r="I1813" i="2"/>
  <c r="I2044" i="2"/>
  <c r="I2275" i="2"/>
  <c r="I2506" i="2"/>
  <c r="I2737" i="2"/>
  <c r="I2968" i="2"/>
  <c r="I3199" i="2"/>
  <c r="I3430" i="2"/>
  <c r="I3661" i="2"/>
  <c r="I3892" i="2"/>
  <c r="I4123" i="2"/>
  <c r="I4354" i="2"/>
  <c r="I4585" i="2"/>
  <c r="I4816" i="2"/>
  <c r="I197" i="2"/>
  <c r="I428" i="2"/>
  <c r="I659" i="2"/>
  <c r="I890" i="2"/>
  <c r="I1121" i="2"/>
  <c r="I1352" i="2"/>
  <c r="I1583" i="2"/>
  <c r="I1814" i="2"/>
  <c r="I2045" i="2"/>
  <c r="I2276" i="2"/>
  <c r="I2507" i="2"/>
  <c r="I2738" i="2"/>
  <c r="I2969" i="2"/>
  <c r="I3200" i="2"/>
  <c r="I3431" i="2"/>
  <c r="I3662" i="2"/>
  <c r="I3893" i="2"/>
  <c r="I4124" i="2"/>
  <c r="I4355" i="2"/>
  <c r="I4586" i="2"/>
  <c r="I4817" i="2"/>
  <c r="I198" i="2"/>
  <c r="I429" i="2"/>
  <c r="I660" i="2"/>
  <c r="I891" i="2"/>
  <c r="I1122" i="2"/>
  <c r="I1353" i="2"/>
  <c r="I1584" i="2"/>
  <c r="I1815" i="2"/>
  <c r="I2046" i="2"/>
  <c r="I2277" i="2"/>
  <c r="I2508" i="2"/>
  <c r="I2739" i="2"/>
  <c r="I2970" i="2"/>
  <c r="I3201" i="2"/>
  <c r="I3432" i="2"/>
  <c r="I3663" i="2"/>
  <c r="I3894" i="2"/>
  <c r="I4125" i="2"/>
  <c r="I4356" i="2"/>
  <c r="I4587" i="2"/>
  <c r="I4818" i="2"/>
  <c r="I199" i="2"/>
  <c r="I430" i="2"/>
  <c r="I661" i="2"/>
  <c r="I892" i="2"/>
  <c r="I1123" i="2"/>
  <c r="I1354" i="2"/>
  <c r="I1585" i="2"/>
  <c r="I1816" i="2"/>
  <c r="I2047" i="2"/>
  <c r="I2278" i="2"/>
  <c r="I2509" i="2"/>
  <c r="I2740" i="2"/>
  <c r="I2971" i="2"/>
  <c r="I3202" i="2"/>
  <c r="I3433" i="2"/>
  <c r="I3664" i="2"/>
  <c r="I3895" i="2"/>
  <c r="I4126" i="2"/>
  <c r="I4357" i="2"/>
  <c r="I4588" i="2"/>
  <c r="I4819" i="2"/>
  <c r="I200" i="2"/>
  <c r="I431" i="2"/>
  <c r="I662" i="2"/>
  <c r="I893" i="2"/>
  <c r="I1124" i="2"/>
  <c r="I1355" i="2"/>
  <c r="I1586" i="2"/>
  <c r="I1817" i="2"/>
  <c r="I2048" i="2"/>
  <c r="I2279" i="2"/>
  <c r="I2510" i="2"/>
  <c r="I2741" i="2"/>
  <c r="I2972" i="2"/>
  <c r="I3203" i="2"/>
  <c r="I3434" i="2"/>
  <c r="I3665" i="2"/>
  <c r="I3896" i="2"/>
  <c r="I4127" i="2"/>
  <c r="I4358" i="2"/>
  <c r="I4589" i="2"/>
  <c r="I4820" i="2"/>
  <c r="I201" i="2"/>
  <c r="I432" i="2"/>
  <c r="I663" i="2"/>
  <c r="I894" i="2"/>
  <c r="I1125" i="2"/>
  <c r="I1356" i="2"/>
  <c r="I1587" i="2"/>
  <c r="I1818" i="2"/>
  <c r="I2049" i="2"/>
  <c r="I2280" i="2"/>
  <c r="I2511" i="2"/>
  <c r="I2742" i="2"/>
  <c r="I2973" i="2"/>
  <c r="I3204" i="2"/>
  <c r="I3435" i="2"/>
  <c r="I3666" i="2"/>
  <c r="I3897" i="2"/>
  <c r="I4128" i="2"/>
  <c r="I4359" i="2"/>
  <c r="I4590" i="2"/>
  <c r="I4821" i="2"/>
  <c r="I202" i="2"/>
  <c r="I433" i="2"/>
  <c r="I664" i="2"/>
  <c r="I895" i="2"/>
  <c r="I1126" i="2"/>
  <c r="I1357" i="2"/>
  <c r="I1588" i="2"/>
  <c r="I1819" i="2"/>
  <c r="I2050" i="2"/>
  <c r="I2281" i="2"/>
  <c r="I2512" i="2"/>
  <c r="I2743" i="2"/>
  <c r="I2974" i="2"/>
  <c r="I3205" i="2"/>
  <c r="I3436" i="2"/>
  <c r="I3667" i="2"/>
  <c r="I3898" i="2"/>
  <c r="I4129" i="2"/>
  <c r="I4360" i="2"/>
  <c r="I4591" i="2"/>
  <c r="I4822" i="2"/>
  <c r="I203" i="2"/>
  <c r="I434" i="2"/>
  <c r="I665" i="2"/>
  <c r="I896" i="2"/>
  <c r="I1127" i="2"/>
  <c r="I1358" i="2"/>
  <c r="I1589" i="2"/>
  <c r="I1820" i="2"/>
  <c r="I2051" i="2"/>
  <c r="I2282" i="2"/>
  <c r="I2513" i="2"/>
  <c r="I2744" i="2"/>
  <c r="I2975" i="2"/>
  <c r="I3206" i="2"/>
  <c r="I3437" i="2"/>
  <c r="I3668" i="2"/>
  <c r="I3899" i="2"/>
  <c r="I4130" i="2"/>
  <c r="I4361" i="2"/>
  <c r="I4592" i="2"/>
  <c r="I4823" i="2"/>
  <c r="I204" i="2"/>
  <c r="I435" i="2"/>
  <c r="I666" i="2"/>
  <c r="I897" i="2"/>
  <c r="I1128" i="2"/>
  <c r="I1359" i="2"/>
  <c r="I1590" i="2"/>
  <c r="I1821" i="2"/>
  <c r="I2052" i="2"/>
  <c r="I2283" i="2"/>
  <c r="I2514" i="2"/>
  <c r="I2745" i="2"/>
  <c r="I2976" i="2"/>
  <c r="I3207" i="2"/>
  <c r="I3438" i="2"/>
  <c r="I3669" i="2"/>
  <c r="I3900" i="2"/>
  <c r="I4131" i="2"/>
  <c r="I4362" i="2"/>
  <c r="I4593" i="2"/>
  <c r="I4824" i="2"/>
  <c r="I205" i="2"/>
  <c r="I436" i="2"/>
  <c r="I667" i="2"/>
  <c r="I898" i="2"/>
  <c r="I1129" i="2"/>
  <c r="I1360" i="2"/>
  <c r="I1591" i="2"/>
  <c r="I1822" i="2"/>
  <c r="I2053" i="2"/>
  <c r="I2284" i="2"/>
  <c r="I2515" i="2"/>
  <c r="I2746" i="2"/>
  <c r="I2977" i="2"/>
  <c r="I3208" i="2"/>
  <c r="I3439" i="2"/>
  <c r="I3670" i="2"/>
  <c r="I3901" i="2"/>
  <c r="I4132" i="2"/>
  <c r="I4363" i="2"/>
  <c r="I4594" i="2"/>
  <c r="I4825" i="2"/>
  <c r="I206" i="2"/>
  <c r="I437" i="2"/>
  <c r="I668" i="2"/>
  <c r="I899" i="2"/>
  <c r="I1130" i="2"/>
  <c r="I1361" i="2"/>
  <c r="I1592" i="2"/>
  <c r="I1823" i="2"/>
  <c r="I2054" i="2"/>
  <c r="I2285" i="2"/>
  <c r="I2516" i="2"/>
  <c r="I2747" i="2"/>
  <c r="I2978" i="2"/>
  <c r="I3209" i="2"/>
  <c r="I3440" i="2"/>
  <c r="I3671" i="2"/>
  <c r="I3902" i="2"/>
  <c r="I4133" i="2"/>
  <c r="I4364" i="2"/>
  <c r="I4595" i="2"/>
  <c r="I4826" i="2"/>
  <c r="I207" i="2"/>
  <c r="I438" i="2"/>
  <c r="I669" i="2"/>
  <c r="I900" i="2"/>
  <c r="I1131" i="2"/>
  <c r="I1362" i="2"/>
  <c r="I1593" i="2"/>
  <c r="I1824" i="2"/>
  <c r="I2055" i="2"/>
  <c r="I2286" i="2"/>
  <c r="I2517" i="2"/>
  <c r="I2748" i="2"/>
  <c r="I2979" i="2"/>
  <c r="I3210" i="2"/>
  <c r="I3441" i="2"/>
  <c r="I3672" i="2"/>
  <c r="I3903" i="2"/>
  <c r="I4134" i="2"/>
  <c r="I4365" i="2"/>
  <c r="I4596" i="2"/>
  <c r="I4827" i="2"/>
  <c r="I208" i="2"/>
  <c r="I439" i="2"/>
  <c r="I670" i="2"/>
  <c r="I901" i="2"/>
  <c r="I1132" i="2"/>
  <c r="I1363" i="2"/>
  <c r="I1594" i="2"/>
  <c r="I1825" i="2"/>
  <c r="I2056" i="2"/>
  <c r="I2287" i="2"/>
  <c r="I2518" i="2"/>
  <c r="I2749" i="2"/>
  <c r="I2980" i="2"/>
  <c r="I3211" i="2"/>
  <c r="I3442" i="2"/>
  <c r="I3673" i="2"/>
  <c r="I3904" i="2"/>
  <c r="I4135" i="2"/>
  <c r="I4366" i="2"/>
  <c r="I4597" i="2"/>
  <c r="I4828" i="2"/>
  <c r="I209" i="2"/>
  <c r="I440" i="2"/>
  <c r="I671" i="2"/>
  <c r="I902" i="2"/>
  <c r="I1133" i="2"/>
  <c r="I1364" i="2"/>
  <c r="I1595" i="2"/>
  <c r="I1826" i="2"/>
  <c r="I2057" i="2"/>
  <c r="I2288" i="2"/>
  <c r="I2519" i="2"/>
  <c r="I2750" i="2"/>
  <c r="I2981" i="2"/>
  <c r="I3212" i="2"/>
  <c r="I3443" i="2"/>
  <c r="I3674" i="2"/>
  <c r="I3905" i="2"/>
  <c r="I4136" i="2"/>
  <c r="I4367" i="2"/>
  <c r="I4598" i="2"/>
  <c r="I4829" i="2"/>
  <c r="I210" i="2"/>
  <c r="I441" i="2"/>
  <c r="I672" i="2"/>
  <c r="I903" i="2"/>
  <c r="I1134" i="2"/>
  <c r="I1365" i="2"/>
  <c r="I1596" i="2"/>
  <c r="I1827" i="2"/>
  <c r="I2058" i="2"/>
  <c r="I2289" i="2"/>
  <c r="I2520" i="2"/>
  <c r="I2751" i="2"/>
  <c r="I2982" i="2"/>
  <c r="I3213" i="2"/>
  <c r="I3444" i="2"/>
  <c r="I3675" i="2"/>
  <c r="I3906" i="2"/>
  <c r="I4137" i="2"/>
  <c r="I4368" i="2"/>
  <c r="I4599" i="2"/>
  <c r="I4830" i="2"/>
  <c r="I211" i="2"/>
  <c r="I442" i="2"/>
  <c r="I673" i="2"/>
  <c r="I904" i="2"/>
  <c r="I1135" i="2"/>
  <c r="I1366" i="2"/>
  <c r="I1597" i="2"/>
  <c r="I1828" i="2"/>
  <c r="I2059" i="2"/>
  <c r="I2290" i="2"/>
  <c r="I2521" i="2"/>
  <c r="I2752" i="2"/>
  <c r="I2983" i="2"/>
  <c r="I3214" i="2"/>
  <c r="I3445" i="2"/>
  <c r="I3676" i="2"/>
  <c r="I3907" i="2"/>
  <c r="I4138" i="2"/>
  <c r="I4369" i="2"/>
  <c r="I4600" i="2"/>
  <c r="I4831" i="2"/>
  <c r="I212" i="2"/>
  <c r="I443" i="2"/>
  <c r="I674" i="2"/>
  <c r="I905" i="2"/>
  <c r="I1136" i="2"/>
  <c r="I1367" i="2"/>
  <c r="I1598" i="2"/>
  <c r="I1829" i="2"/>
  <c r="I2060" i="2"/>
  <c r="I2291" i="2"/>
  <c r="I2522" i="2"/>
  <c r="I2753" i="2"/>
  <c r="I2984" i="2"/>
  <c r="I3215" i="2"/>
  <c r="I3446" i="2"/>
  <c r="I3677" i="2"/>
  <c r="I3908" i="2"/>
  <c r="I4139" i="2"/>
  <c r="I4370" i="2"/>
  <c r="I4601" i="2"/>
  <c r="I4832" i="2"/>
  <c r="I213" i="2"/>
  <c r="I444" i="2"/>
  <c r="I675" i="2"/>
  <c r="I906" i="2"/>
  <c r="I1137" i="2"/>
  <c r="I1368" i="2"/>
  <c r="I1599" i="2"/>
  <c r="I1830" i="2"/>
  <c r="I2061" i="2"/>
  <c r="I2292" i="2"/>
  <c r="I2523" i="2"/>
  <c r="I2754" i="2"/>
  <c r="I2985" i="2"/>
  <c r="I3216" i="2"/>
  <c r="I3447" i="2"/>
  <c r="I3678" i="2"/>
  <c r="I3909" i="2"/>
  <c r="I4140" i="2"/>
  <c r="I4371" i="2"/>
  <c r="I4602" i="2"/>
  <c r="I4833" i="2"/>
  <c r="I214" i="2"/>
  <c r="I445" i="2"/>
  <c r="I676" i="2"/>
  <c r="I907" i="2"/>
  <c r="I1138" i="2"/>
  <c r="I1369" i="2"/>
  <c r="I1600" i="2"/>
  <c r="I1831" i="2"/>
  <c r="I2062" i="2"/>
  <c r="I2293" i="2"/>
  <c r="I2524" i="2"/>
  <c r="I2755" i="2"/>
  <c r="I2986" i="2"/>
  <c r="I3217" i="2"/>
  <c r="I3448" i="2"/>
  <c r="I3679" i="2"/>
  <c r="I3910" i="2"/>
  <c r="I4141" i="2"/>
  <c r="I4372" i="2"/>
  <c r="I4603" i="2"/>
  <c r="I4834" i="2"/>
  <c r="I215" i="2"/>
  <c r="I446" i="2"/>
  <c r="I677" i="2"/>
  <c r="I908" i="2"/>
  <c r="I1139" i="2"/>
  <c r="I1370" i="2"/>
  <c r="I1601" i="2"/>
  <c r="I1832" i="2"/>
  <c r="I2063" i="2"/>
  <c r="I2294" i="2"/>
  <c r="I2525" i="2"/>
  <c r="I2756" i="2"/>
  <c r="I2987" i="2"/>
  <c r="I3218" i="2"/>
  <c r="I3449" i="2"/>
  <c r="I3680" i="2"/>
  <c r="I3911" i="2"/>
  <c r="I4142" i="2"/>
  <c r="I4373" i="2"/>
  <c r="I4604" i="2"/>
  <c r="I4835" i="2"/>
  <c r="I216" i="2"/>
  <c r="I447" i="2"/>
  <c r="I678" i="2"/>
  <c r="I909" i="2"/>
  <c r="I1140" i="2"/>
  <c r="I1371" i="2"/>
  <c r="I1602" i="2"/>
  <c r="I1833" i="2"/>
  <c r="I2064" i="2"/>
  <c r="I2295" i="2"/>
  <c r="I2526" i="2"/>
  <c r="I2757" i="2"/>
  <c r="I2988" i="2"/>
  <c r="I3219" i="2"/>
  <c r="I3450" i="2"/>
  <c r="I3681" i="2"/>
  <c r="I3912" i="2"/>
  <c r="I4143" i="2"/>
  <c r="I4374" i="2"/>
  <c r="I4605" i="2"/>
  <c r="I4836" i="2"/>
  <c r="I217" i="2"/>
  <c r="I448" i="2"/>
  <c r="I679" i="2"/>
  <c r="I910" i="2"/>
  <c r="I1141" i="2"/>
  <c r="I1372" i="2"/>
  <c r="I1603" i="2"/>
  <c r="I1834" i="2"/>
  <c r="I2065" i="2"/>
  <c r="I2296" i="2"/>
  <c r="I2527" i="2"/>
  <c r="I2758" i="2"/>
  <c r="I2989" i="2"/>
  <c r="I3220" i="2"/>
  <c r="I3451" i="2"/>
  <c r="I3682" i="2"/>
  <c r="I3913" i="2"/>
  <c r="I4144" i="2"/>
  <c r="I4375" i="2"/>
  <c r="I4606" i="2"/>
  <c r="I4837" i="2"/>
  <c r="I218" i="2"/>
  <c r="I449" i="2"/>
  <c r="I680" i="2"/>
  <c r="I911" i="2"/>
  <c r="I1142" i="2"/>
  <c r="I1373" i="2"/>
  <c r="I1604" i="2"/>
  <c r="I1835" i="2"/>
  <c r="I2066" i="2"/>
  <c r="I2297" i="2"/>
  <c r="I2528" i="2"/>
  <c r="I2759" i="2"/>
  <c r="I2990" i="2"/>
  <c r="I3221" i="2"/>
  <c r="I3452" i="2"/>
  <c r="I3683" i="2"/>
  <c r="I3914" i="2"/>
  <c r="I4145" i="2"/>
  <c r="I4376" i="2"/>
  <c r="I4607" i="2"/>
  <c r="I4838" i="2"/>
  <c r="I219" i="2"/>
  <c r="I450" i="2"/>
  <c r="I681" i="2"/>
  <c r="I912" i="2"/>
  <c r="I1143" i="2"/>
  <c r="I1374" i="2"/>
  <c r="I1605" i="2"/>
  <c r="I1836" i="2"/>
  <c r="I2067" i="2"/>
  <c r="I2298" i="2"/>
  <c r="I2529" i="2"/>
  <c r="I2760" i="2"/>
  <c r="I2991" i="2"/>
  <c r="I3222" i="2"/>
  <c r="I3453" i="2"/>
  <c r="I3684" i="2"/>
  <c r="I3915" i="2"/>
  <c r="I4146" i="2"/>
  <c r="I4377" i="2"/>
  <c r="I4608" i="2"/>
  <c r="I4839" i="2"/>
  <c r="I220" i="2"/>
  <c r="I451" i="2"/>
  <c r="I682" i="2"/>
  <c r="I913" i="2"/>
  <c r="I1144" i="2"/>
  <c r="I1375" i="2"/>
  <c r="I1606" i="2"/>
  <c r="I1837" i="2"/>
  <c r="I2068" i="2"/>
  <c r="I2299" i="2"/>
  <c r="I2530" i="2"/>
  <c r="I2761" i="2"/>
  <c r="I2992" i="2"/>
  <c r="I3223" i="2"/>
  <c r="I3454" i="2"/>
  <c r="I3685" i="2"/>
  <c r="I3916" i="2"/>
  <c r="I4147" i="2"/>
  <c r="I4378" i="2"/>
  <c r="I4609" i="2"/>
  <c r="I4840" i="2"/>
  <c r="I221" i="2"/>
  <c r="I452" i="2"/>
  <c r="I683" i="2"/>
  <c r="I914" i="2"/>
  <c r="I1145" i="2"/>
  <c r="I1376" i="2"/>
  <c r="I1607" i="2"/>
  <c r="I1838" i="2"/>
  <c r="I2069" i="2"/>
  <c r="I2300" i="2"/>
  <c r="I2531" i="2"/>
  <c r="I2762" i="2"/>
  <c r="I2993" i="2"/>
  <c r="I3224" i="2"/>
  <c r="I3455" i="2"/>
  <c r="I3686" i="2"/>
  <c r="I3917" i="2"/>
  <c r="I4148" i="2"/>
  <c r="I4379" i="2"/>
  <c r="I4610" i="2"/>
  <c r="I4841" i="2"/>
  <c r="I222" i="2"/>
  <c r="I453" i="2"/>
  <c r="I684" i="2"/>
  <c r="I915" i="2"/>
  <c r="I1146" i="2"/>
  <c r="I1377" i="2"/>
  <c r="I1608" i="2"/>
  <c r="I1839" i="2"/>
  <c r="I2070" i="2"/>
  <c r="I2301" i="2"/>
  <c r="I2532" i="2"/>
  <c r="I2763" i="2"/>
  <c r="I2994" i="2"/>
  <c r="I3225" i="2"/>
  <c r="I3456" i="2"/>
  <c r="I3687" i="2"/>
  <c r="I3918" i="2"/>
  <c r="I4149" i="2"/>
  <c r="I4380" i="2"/>
  <c r="I4611" i="2"/>
  <c r="I4842" i="2"/>
  <c r="I223" i="2"/>
  <c r="I454" i="2"/>
  <c r="I685" i="2"/>
  <c r="I916" i="2"/>
  <c r="I1147" i="2"/>
  <c r="I1378" i="2"/>
  <c r="I1609" i="2"/>
  <c r="I1840" i="2"/>
  <c r="I2071" i="2"/>
  <c r="I2302" i="2"/>
  <c r="I2533" i="2"/>
  <c r="I2764" i="2"/>
  <c r="I2995" i="2"/>
  <c r="I3226" i="2"/>
  <c r="I3457" i="2"/>
  <c r="I3688" i="2"/>
  <c r="I3919" i="2"/>
  <c r="I4150" i="2"/>
  <c r="I4381" i="2"/>
  <c r="I4612" i="2"/>
  <c r="I4843" i="2"/>
  <c r="I224" i="2"/>
  <c r="I455" i="2"/>
  <c r="I686" i="2"/>
  <c r="I917" i="2"/>
  <c r="I1148" i="2"/>
  <c r="I1379" i="2"/>
  <c r="I1610" i="2"/>
  <c r="I1841" i="2"/>
  <c r="I2072" i="2"/>
  <c r="I2303" i="2"/>
  <c r="I2534" i="2"/>
  <c r="I2765" i="2"/>
  <c r="I2996" i="2"/>
  <c r="I3227" i="2"/>
  <c r="I3458" i="2"/>
  <c r="I3689" i="2"/>
  <c r="I3920" i="2"/>
  <c r="I4151" i="2"/>
  <c r="I4382" i="2"/>
  <c r="I4613" i="2"/>
  <c r="I4844" i="2"/>
  <c r="I225" i="2"/>
  <c r="I456" i="2"/>
  <c r="I687" i="2"/>
  <c r="I918" i="2"/>
  <c r="I1149" i="2"/>
  <c r="I1380" i="2"/>
  <c r="I1611" i="2"/>
  <c r="I1842" i="2"/>
  <c r="I2073" i="2"/>
  <c r="I2304" i="2"/>
  <c r="I2535" i="2"/>
  <c r="I2766" i="2"/>
  <c r="I2997" i="2"/>
  <c r="I3228" i="2"/>
  <c r="I3459" i="2"/>
  <c r="I3690" i="2"/>
  <c r="I3921" i="2"/>
  <c r="I4152" i="2"/>
  <c r="I4383" i="2"/>
  <c r="I4614" i="2"/>
  <c r="I4845" i="2"/>
  <c r="I226" i="2"/>
  <c r="I457" i="2"/>
  <c r="I688" i="2"/>
  <c r="I919" i="2"/>
  <c r="I1150" i="2"/>
  <c r="I1381" i="2"/>
  <c r="I1612" i="2"/>
  <c r="I1843" i="2"/>
  <c r="I2074" i="2"/>
  <c r="I2305" i="2"/>
  <c r="I2536" i="2"/>
  <c r="I2767" i="2"/>
  <c r="I2998" i="2"/>
  <c r="I3229" i="2"/>
  <c r="I3460" i="2"/>
  <c r="I3691" i="2"/>
  <c r="I3922" i="2"/>
  <c r="I4153" i="2"/>
  <c r="I4384" i="2"/>
  <c r="I4615" i="2"/>
  <c r="I4846" i="2"/>
  <c r="I227" i="2"/>
  <c r="I458" i="2"/>
  <c r="I689" i="2"/>
  <c r="I920" i="2"/>
  <c r="I1151" i="2"/>
  <c r="I1382" i="2"/>
  <c r="I1613" i="2"/>
  <c r="I1844" i="2"/>
  <c r="I2075" i="2"/>
  <c r="I2306" i="2"/>
  <c r="I2537" i="2"/>
  <c r="I2768" i="2"/>
  <c r="I2999" i="2"/>
  <c r="I3230" i="2"/>
  <c r="I3461" i="2"/>
  <c r="I3692" i="2"/>
  <c r="I3923" i="2"/>
  <c r="I4154" i="2"/>
  <c r="I4385" i="2"/>
  <c r="I4616" i="2"/>
  <c r="I4847" i="2"/>
  <c r="I228" i="2"/>
  <c r="I459" i="2"/>
  <c r="I690" i="2"/>
  <c r="I921" i="2"/>
  <c r="I1152" i="2"/>
  <c r="I1383" i="2"/>
  <c r="I1614" i="2"/>
  <c r="I1845" i="2"/>
  <c r="I2076" i="2"/>
  <c r="I2307" i="2"/>
  <c r="I2538" i="2"/>
  <c r="I2769" i="2"/>
  <c r="I3000" i="2"/>
  <c r="I3231" i="2"/>
  <c r="I3462" i="2"/>
  <c r="I3693" i="2"/>
  <c r="I3924" i="2"/>
  <c r="I4155" i="2"/>
  <c r="I4386" i="2"/>
  <c r="I4617" i="2"/>
  <c r="I4848" i="2"/>
  <c r="I229" i="2"/>
  <c r="I460" i="2"/>
  <c r="I691" i="2"/>
  <c r="I922" i="2"/>
  <c r="I1153" i="2"/>
  <c r="I1384" i="2"/>
  <c r="I1615" i="2"/>
  <c r="I1846" i="2"/>
  <c r="I2077" i="2"/>
  <c r="I2308" i="2"/>
  <c r="I2539" i="2"/>
  <c r="I2770" i="2"/>
  <c r="I3001" i="2"/>
  <c r="I3232" i="2"/>
  <c r="I3463" i="2"/>
  <c r="I3694" i="2"/>
  <c r="I3925" i="2"/>
  <c r="I4156" i="2"/>
  <c r="I4387" i="2"/>
  <c r="I4618" i="2"/>
  <c r="I4849" i="2"/>
  <c r="I230" i="2"/>
  <c r="I461" i="2"/>
  <c r="I692" i="2"/>
  <c r="I923" i="2"/>
  <c r="I1154" i="2"/>
  <c r="I1385" i="2"/>
  <c r="I1616" i="2"/>
  <c r="I1847" i="2"/>
  <c r="I2078" i="2"/>
  <c r="I2309" i="2"/>
  <c r="I2540" i="2"/>
  <c r="I2771" i="2"/>
  <c r="I3002" i="2"/>
  <c r="I3233" i="2"/>
  <c r="I3464" i="2"/>
  <c r="I3695" i="2"/>
  <c r="I3926" i="2"/>
  <c r="I4157" i="2"/>
  <c r="I4388" i="2"/>
  <c r="I4619" i="2"/>
  <c r="I4850" i="2"/>
  <c r="I231" i="2"/>
  <c r="I462" i="2"/>
  <c r="I693" i="2"/>
  <c r="I924" i="2"/>
  <c r="I1155" i="2"/>
  <c r="I1386" i="2"/>
  <c r="I1617" i="2"/>
  <c r="I1848" i="2"/>
  <c r="I2079" i="2"/>
  <c r="I2310" i="2"/>
  <c r="I2541" i="2"/>
  <c r="I2772" i="2"/>
  <c r="I3003" i="2"/>
  <c r="I3234" i="2"/>
  <c r="I3465" i="2"/>
  <c r="I3696" i="2"/>
  <c r="I3927" i="2"/>
  <c r="I4158" i="2"/>
  <c r="I4389" i="2"/>
  <c r="I4620" i="2"/>
  <c r="I4851" i="2"/>
  <c r="I232" i="2"/>
  <c r="I463" i="2"/>
  <c r="I694" i="2"/>
  <c r="I925" i="2"/>
  <c r="I1156" i="2"/>
  <c r="I1387" i="2"/>
  <c r="I1618" i="2"/>
  <c r="I1849" i="2"/>
  <c r="I2080" i="2"/>
  <c r="I2311" i="2"/>
  <c r="I2542" i="2"/>
  <c r="I2773" i="2"/>
  <c r="I3004" i="2"/>
  <c r="I3235" i="2"/>
  <c r="I3466" i="2"/>
  <c r="I3697" i="2"/>
  <c r="I3928" i="2"/>
  <c r="I4159" i="2"/>
  <c r="I4390" i="2"/>
  <c r="I4621" i="2"/>
  <c r="I4852" i="2"/>
  <c r="I233" i="2"/>
  <c r="I464" i="2"/>
  <c r="I695" i="2"/>
  <c r="I926" i="2"/>
  <c r="I1157" i="2"/>
  <c r="I1388" i="2"/>
  <c r="I1619" i="2"/>
  <c r="I1850" i="2"/>
  <c r="I2081" i="2"/>
  <c r="I2312" i="2"/>
  <c r="I2543" i="2"/>
  <c r="I2774" i="2"/>
  <c r="I3005" i="2"/>
  <c r="I3236" i="2"/>
  <c r="I3467" i="2"/>
  <c r="I3698" i="2"/>
  <c r="I3929" i="2"/>
  <c r="I4160" i="2"/>
  <c r="I4391" i="2"/>
  <c r="I4622" i="2"/>
  <c r="I4853" i="2"/>
  <c r="L125" i="4"/>
  <c r="Q125" i="4" s="1"/>
  <c r="L126" i="4"/>
  <c r="Q126" i="4" s="1"/>
  <c r="L127" i="4"/>
  <c r="Q127" i="4" s="1"/>
  <c r="L128" i="4"/>
  <c r="Q128" i="4" s="1"/>
  <c r="L129" i="4"/>
  <c r="Q129" i="4" s="1"/>
  <c r="L130" i="4"/>
  <c r="L131" i="4"/>
  <c r="Q131" i="4" s="1"/>
  <c r="L132" i="4"/>
  <c r="Q132" i="4" s="1"/>
  <c r="L133" i="4"/>
  <c r="Q133" i="4" s="1"/>
  <c r="L134" i="4"/>
  <c r="Q134" i="4" s="1"/>
  <c r="L135" i="4"/>
  <c r="Q135" i="4" s="1"/>
  <c r="L136" i="4"/>
  <c r="Q136" i="4" s="1"/>
  <c r="L137" i="4"/>
  <c r="Q137" i="4" s="1"/>
  <c r="L138" i="4"/>
  <c r="L139" i="4"/>
  <c r="Q139" i="4" s="1"/>
  <c r="L140" i="4"/>
  <c r="Q140" i="4" s="1"/>
  <c r="L141" i="4"/>
  <c r="Q141" i="4" s="1"/>
  <c r="L142" i="4"/>
  <c r="Q142" i="4" s="1"/>
  <c r="L143" i="4"/>
  <c r="Q143" i="4" s="1"/>
  <c r="L144" i="4"/>
  <c r="Q144" i="4" s="1"/>
  <c r="L145" i="4"/>
  <c r="Q145" i="4" s="1"/>
  <c r="L146" i="4"/>
  <c r="L147" i="4"/>
  <c r="Q147" i="4" s="1"/>
  <c r="L148" i="4"/>
  <c r="Q148" i="4" s="1"/>
  <c r="L149" i="4"/>
  <c r="Q149" i="4" s="1"/>
  <c r="L150" i="4"/>
  <c r="Q150" i="4" s="1"/>
  <c r="L151" i="4"/>
  <c r="Q151" i="4" s="1"/>
  <c r="L152" i="4"/>
  <c r="Q152" i="4" s="1"/>
  <c r="L153" i="4"/>
  <c r="Q153" i="4" s="1"/>
  <c r="L154" i="4"/>
  <c r="L155" i="4"/>
  <c r="Q155" i="4" s="1"/>
  <c r="L156" i="4"/>
  <c r="Q156" i="4" s="1"/>
  <c r="L157" i="4"/>
  <c r="Q157" i="4" s="1"/>
  <c r="L158" i="4"/>
  <c r="Q158" i="4" s="1"/>
  <c r="L159" i="4"/>
  <c r="Q159" i="4" s="1"/>
  <c r="L160" i="4"/>
  <c r="Q160" i="4" s="1"/>
  <c r="L161" i="4"/>
  <c r="Q161" i="4" s="1"/>
  <c r="L162" i="4"/>
  <c r="L163" i="4"/>
  <c r="Q163" i="4" s="1"/>
  <c r="L164" i="4"/>
  <c r="Q164" i="4" s="1"/>
  <c r="L165" i="4"/>
  <c r="Q165" i="4" s="1"/>
  <c r="L166" i="4"/>
  <c r="Q166" i="4" s="1"/>
  <c r="L167" i="4"/>
  <c r="Q167" i="4" s="1"/>
  <c r="L168" i="4"/>
  <c r="Q168" i="4" s="1"/>
  <c r="L169" i="4"/>
  <c r="Q169" i="4" s="1"/>
  <c r="L170" i="4"/>
  <c r="L171" i="4"/>
  <c r="Q171" i="4" s="1"/>
  <c r="L172" i="4"/>
  <c r="Q172" i="4" s="1"/>
  <c r="L173" i="4"/>
  <c r="Q173" i="4" s="1"/>
  <c r="L174" i="4"/>
  <c r="Q174" i="4" s="1"/>
  <c r="L175" i="4"/>
  <c r="Q175" i="4" s="1"/>
  <c r="L176" i="4"/>
  <c r="Q176" i="4" s="1"/>
  <c r="L177" i="4"/>
  <c r="Q177" i="4" s="1"/>
  <c r="L178" i="4"/>
  <c r="L179" i="4"/>
  <c r="Q179" i="4" s="1"/>
  <c r="L180" i="4"/>
  <c r="Q180" i="4" s="1"/>
  <c r="L181" i="4"/>
  <c r="Q181" i="4" s="1"/>
  <c r="L182" i="4"/>
  <c r="Q182" i="4" s="1"/>
  <c r="L183" i="4"/>
  <c r="Q183" i="4" s="1"/>
  <c r="L184" i="4"/>
  <c r="Q184" i="4" s="1"/>
  <c r="L185" i="4"/>
  <c r="Q185" i="4" s="1"/>
  <c r="L186" i="4"/>
  <c r="L187" i="4"/>
  <c r="Q187" i="4" s="1"/>
  <c r="L188" i="4"/>
  <c r="Q188" i="4" s="1"/>
  <c r="L189" i="4"/>
  <c r="Q189" i="4" s="1"/>
  <c r="L190" i="4"/>
  <c r="Q190" i="4" s="1"/>
  <c r="L191" i="4"/>
  <c r="Q191" i="4" s="1"/>
  <c r="L192" i="4"/>
  <c r="Q192" i="4" s="1"/>
  <c r="L193" i="4"/>
  <c r="Q193" i="4" s="1"/>
  <c r="L194" i="4"/>
  <c r="L195" i="4"/>
  <c r="Q195" i="4" s="1"/>
  <c r="L196" i="4"/>
  <c r="Q196" i="4" s="1"/>
  <c r="L197" i="4"/>
  <c r="Q197" i="4" s="1"/>
  <c r="L198" i="4"/>
  <c r="Q198" i="4" s="1"/>
  <c r="L199" i="4"/>
  <c r="Q199" i="4" s="1"/>
  <c r="L200" i="4"/>
  <c r="Q200" i="4" s="1"/>
  <c r="L201" i="4"/>
  <c r="Q201" i="4" s="1"/>
  <c r="L202" i="4"/>
  <c r="L203" i="4"/>
  <c r="Q203" i="4" s="1"/>
  <c r="L204" i="4"/>
  <c r="Q204" i="4" s="1"/>
  <c r="L205" i="4"/>
  <c r="Q205" i="4" s="1"/>
  <c r="L206" i="4"/>
  <c r="Q206" i="4" s="1"/>
  <c r="L207" i="4"/>
  <c r="Q207" i="4" s="1"/>
  <c r="L208" i="4"/>
  <c r="Q208" i="4" s="1"/>
  <c r="L209" i="4"/>
  <c r="Q209" i="4" s="1"/>
  <c r="L210" i="4"/>
  <c r="L211" i="4"/>
  <c r="Q211" i="4" s="1"/>
  <c r="L212" i="4"/>
  <c r="Q212" i="4" s="1"/>
  <c r="L213" i="4"/>
  <c r="Q213" i="4" s="1"/>
  <c r="L214" i="4"/>
  <c r="Q214" i="4" s="1"/>
  <c r="L215" i="4"/>
  <c r="Q215" i="4" s="1"/>
  <c r="L216" i="4"/>
  <c r="Q216" i="4" s="1"/>
  <c r="L217" i="4"/>
  <c r="Q217" i="4" s="1"/>
  <c r="L218" i="4"/>
  <c r="L219" i="4"/>
  <c r="Q219" i="4" s="1"/>
  <c r="L220" i="4"/>
  <c r="Q220" i="4" s="1"/>
  <c r="L221" i="4"/>
  <c r="Q221" i="4" s="1"/>
  <c r="L222" i="4"/>
  <c r="Q222" i="4" s="1"/>
  <c r="L223" i="4"/>
  <c r="Q223" i="4" s="1"/>
  <c r="L224" i="4"/>
  <c r="Q224" i="4" s="1"/>
  <c r="L225" i="4"/>
  <c r="Q225" i="4" s="1"/>
  <c r="L226" i="4"/>
  <c r="L227" i="4"/>
  <c r="Q227" i="4" s="1"/>
  <c r="L228" i="4"/>
  <c r="Q228" i="4" s="1"/>
  <c r="L229" i="4"/>
  <c r="Q229" i="4" s="1"/>
  <c r="L230" i="4"/>
  <c r="Q230" i="4" s="1"/>
  <c r="L231" i="4"/>
  <c r="Q231" i="4" s="1"/>
  <c r="L232" i="4"/>
  <c r="Q232" i="4" s="1"/>
  <c r="N125" i="4"/>
  <c r="O125" i="4" s="1"/>
  <c r="N126" i="4"/>
  <c r="O126" i="4" s="1"/>
  <c r="N127" i="4"/>
  <c r="O127" i="4" s="1"/>
  <c r="N128" i="4"/>
  <c r="O128" i="4" s="1"/>
  <c r="N129" i="4"/>
  <c r="O129" i="4" s="1"/>
  <c r="N130" i="4"/>
  <c r="O130" i="4" s="1"/>
  <c r="N131" i="4"/>
  <c r="O131" i="4" s="1"/>
  <c r="N132" i="4"/>
  <c r="O132" i="4" s="1"/>
  <c r="N133" i="4"/>
  <c r="O133" i="4" s="1"/>
  <c r="N134" i="4"/>
  <c r="O134" i="4" s="1"/>
  <c r="N135" i="4"/>
  <c r="O135" i="4" s="1"/>
  <c r="N136" i="4"/>
  <c r="O136" i="4" s="1"/>
  <c r="N137" i="4"/>
  <c r="O137" i="4" s="1"/>
  <c r="N138" i="4"/>
  <c r="O138" i="4" s="1"/>
  <c r="N139" i="4"/>
  <c r="O139" i="4" s="1"/>
  <c r="N140" i="4"/>
  <c r="O140" i="4" s="1"/>
  <c r="N141" i="4"/>
  <c r="O141" i="4" s="1"/>
  <c r="N142" i="4"/>
  <c r="O142" i="4" s="1"/>
  <c r="N143" i="4"/>
  <c r="O143" i="4" s="1"/>
  <c r="N144" i="4"/>
  <c r="O144" i="4" s="1"/>
  <c r="N145" i="4"/>
  <c r="O145" i="4" s="1"/>
  <c r="N146" i="4"/>
  <c r="O146" i="4" s="1"/>
  <c r="N147" i="4"/>
  <c r="O147" i="4" s="1"/>
  <c r="N148" i="4"/>
  <c r="O148" i="4" s="1"/>
  <c r="N149" i="4"/>
  <c r="O149" i="4" s="1"/>
  <c r="N150" i="4"/>
  <c r="O150" i="4" s="1"/>
  <c r="N151" i="4"/>
  <c r="O151" i="4" s="1"/>
  <c r="N152" i="4"/>
  <c r="O152" i="4" s="1"/>
  <c r="N153" i="4"/>
  <c r="O153" i="4" s="1"/>
  <c r="N154" i="4"/>
  <c r="O154" i="4" s="1"/>
  <c r="N155" i="4"/>
  <c r="O155" i="4" s="1"/>
  <c r="N156" i="4"/>
  <c r="O156" i="4" s="1"/>
  <c r="N157" i="4"/>
  <c r="O157" i="4" s="1"/>
  <c r="N158" i="4"/>
  <c r="O158" i="4" s="1"/>
  <c r="N159" i="4"/>
  <c r="O159" i="4" s="1"/>
  <c r="N160" i="4"/>
  <c r="O160" i="4" s="1"/>
  <c r="N161" i="4"/>
  <c r="O161" i="4" s="1"/>
  <c r="N162" i="4"/>
  <c r="O162" i="4" s="1"/>
  <c r="N163" i="4"/>
  <c r="O163" i="4" s="1"/>
  <c r="N164" i="4"/>
  <c r="O164" i="4" s="1"/>
  <c r="N165" i="4"/>
  <c r="O165" i="4" s="1"/>
  <c r="N166" i="4"/>
  <c r="O166" i="4" s="1"/>
  <c r="N167" i="4"/>
  <c r="O167" i="4" s="1"/>
  <c r="N168" i="4"/>
  <c r="O168" i="4" s="1"/>
  <c r="N169" i="4"/>
  <c r="O169" i="4" s="1"/>
  <c r="N170" i="4"/>
  <c r="O170" i="4" s="1"/>
  <c r="N171" i="4"/>
  <c r="O171" i="4" s="1"/>
  <c r="N172" i="4"/>
  <c r="O172" i="4" s="1"/>
  <c r="N173" i="4"/>
  <c r="O173" i="4" s="1"/>
  <c r="N174" i="4"/>
  <c r="O174" i="4" s="1"/>
  <c r="N175" i="4"/>
  <c r="O175" i="4" s="1"/>
  <c r="N176" i="4"/>
  <c r="O176" i="4" s="1"/>
  <c r="N177" i="4"/>
  <c r="O177" i="4" s="1"/>
  <c r="N178" i="4"/>
  <c r="O178" i="4" s="1"/>
  <c r="N179" i="4"/>
  <c r="O179" i="4" s="1"/>
  <c r="N180" i="4"/>
  <c r="O180" i="4" s="1"/>
  <c r="N181" i="4"/>
  <c r="O181" i="4" s="1"/>
  <c r="N182" i="4"/>
  <c r="O182" i="4" s="1"/>
  <c r="N183" i="4"/>
  <c r="O183" i="4" s="1"/>
  <c r="N184" i="4"/>
  <c r="O184" i="4" s="1"/>
  <c r="N185" i="4"/>
  <c r="O185" i="4" s="1"/>
  <c r="N186" i="4"/>
  <c r="O186" i="4" s="1"/>
  <c r="N187" i="4"/>
  <c r="O187" i="4" s="1"/>
  <c r="N188" i="4"/>
  <c r="O188" i="4" s="1"/>
  <c r="N189" i="4"/>
  <c r="O189" i="4" s="1"/>
  <c r="N190" i="4"/>
  <c r="O190" i="4" s="1"/>
  <c r="N191" i="4"/>
  <c r="O191" i="4" s="1"/>
  <c r="N192" i="4"/>
  <c r="O192" i="4" s="1"/>
  <c r="N193" i="4"/>
  <c r="O193" i="4" s="1"/>
  <c r="N194" i="4"/>
  <c r="O194" i="4" s="1"/>
  <c r="N195" i="4"/>
  <c r="O195" i="4"/>
  <c r="N196" i="4"/>
  <c r="O196" i="4" s="1"/>
  <c r="N197" i="4"/>
  <c r="O197" i="4" s="1"/>
  <c r="N198" i="4"/>
  <c r="O198" i="4" s="1"/>
  <c r="N199" i="4"/>
  <c r="O199" i="4" s="1"/>
  <c r="N200" i="4"/>
  <c r="O200" i="4" s="1"/>
  <c r="N201" i="4"/>
  <c r="O201" i="4" s="1"/>
  <c r="N202" i="4"/>
  <c r="O202" i="4" s="1"/>
  <c r="N203" i="4"/>
  <c r="O203" i="4" s="1"/>
  <c r="N204" i="4"/>
  <c r="O204" i="4" s="1"/>
  <c r="N205" i="4"/>
  <c r="O205" i="4" s="1"/>
  <c r="N206" i="4"/>
  <c r="O206" i="4" s="1"/>
  <c r="N207" i="4"/>
  <c r="O207" i="4" s="1"/>
  <c r="N208" i="4"/>
  <c r="O208" i="4" s="1"/>
  <c r="N209" i="4"/>
  <c r="O209" i="4" s="1"/>
  <c r="N210" i="4"/>
  <c r="O210" i="4" s="1"/>
  <c r="N211" i="4"/>
  <c r="O211" i="4" s="1"/>
  <c r="N212" i="4"/>
  <c r="O212" i="4" s="1"/>
  <c r="N213" i="4"/>
  <c r="O213" i="4" s="1"/>
  <c r="N214" i="4"/>
  <c r="O214" i="4" s="1"/>
  <c r="N215" i="4"/>
  <c r="O215" i="4" s="1"/>
  <c r="N216" i="4"/>
  <c r="O216" i="4" s="1"/>
  <c r="N217" i="4"/>
  <c r="O217" i="4" s="1"/>
  <c r="N218" i="4"/>
  <c r="O218" i="4" s="1"/>
  <c r="N219" i="4"/>
  <c r="O219" i="4" s="1"/>
  <c r="N220" i="4"/>
  <c r="O220" i="4" s="1"/>
  <c r="N221" i="4"/>
  <c r="O221" i="4" s="1"/>
  <c r="N222" i="4"/>
  <c r="O222" i="4" s="1"/>
  <c r="N223" i="4"/>
  <c r="O223" i="4"/>
  <c r="N224" i="4"/>
  <c r="O224" i="4" s="1"/>
  <c r="N225" i="4"/>
  <c r="O225" i="4" s="1"/>
  <c r="N226" i="4"/>
  <c r="O226" i="4" s="1"/>
  <c r="N227" i="4"/>
  <c r="O227" i="4" s="1"/>
  <c r="N228" i="4"/>
  <c r="O228" i="4" s="1"/>
  <c r="N229" i="4"/>
  <c r="O229" i="4" s="1"/>
  <c r="N230" i="4"/>
  <c r="O230" i="4" s="1"/>
  <c r="N231" i="4"/>
  <c r="O231" i="4" s="1"/>
  <c r="N232" i="4"/>
  <c r="O232" i="4" s="1"/>
  <c r="L110" i="4"/>
  <c r="Q110" i="4" s="1"/>
  <c r="L111" i="4"/>
  <c r="Q111" i="4" s="1"/>
  <c r="L112" i="4"/>
  <c r="Q112" i="4" s="1"/>
  <c r="L113" i="4"/>
  <c r="Q113" i="4" s="1"/>
  <c r="L114" i="4"/>
  <c r="L115" i="4"/>
  <c r="Q115" i="4" s="1"/>
  <c r="L116" i="4"/>
  <c r="Q116" i="4" s="1"/>
  <c r="L117" i="4"/>
  <c r="Q117" i="4" s="1"/>
  <c r="L118" i="4"/>
  <c r="Q118" i="4" s="1"/>
  <c r="L119" i="4"/>
  <c r="Q119" i="4" s="1"/>
  <c r="L120" i="4"/>
  <c r="Q120" i="4" s="1"/>
  <c r="L121" i="4"/>
  <c r="Q121" i="4" s="1"/>
  <c r="L122" i="4"/>
  <c r="L123" i="4"/>
  <c r="Q123" i="4" s="1"/>
  <c r="L124" i="4"/>
  <c r="Q124" i="4" s="1"/>
  <c r="N114" i="4"/>
  <c r="O114" i="4" s="1"/>
  <c r="N115" i="4"/>
  <c r="O115" i="4" s="1"/>
  <c r="N116" i="4"/>
  <c r="O116" i="4" s="1"/>
  <c r="N117" i="4"/>
  <c r="O117" i="4" s="1"/>
  <c r="N118" i="4"/>
  <c r="O118" i="4" s="1"/>
  <c r="N119" i="4"/>
  <c r="O119" i="4" s="1"/>
  <c r="N120" i="4"/>
  <c r="O120" i="4" s="1"/>
  <c r="N121" i="4"/>
  <c r="O121" i="4" s="1"/>
  <c r="N122" i="4"/>
  <c r="O122" i="4" s="1"/>
  <c r="N123" i="4"/>
  <c r="O123" i="4" s="1"/>
  <c r="N124" i="4"/>
  <c r="O124" i="4" s="1"/>
  <c r="U159" i="6"/>
  <c r="AD159" i="6" s="1"/>
  <c r="V159" i="6"/>
  <c r="U160" i="6"/>
  <c r="AE160" i="6" s="1"/>
  <c r="V160" i="6"/>
  <c r="U161" i="6"/>
  <c r="AE161" i="6" s="1"/>
  <c r="V161" i="6"/>
  <c r="U162" i="6"/>
  <c r="AE162" i="6" s="1"/>
  <c r="V162" i="6"/>
  <c r="U163" i="6"/>
  <c r="AE163" i="6" s="1"/>
  <c r="V163" i="6"/>
  <c r="U164" i="6"/>
  <c r="AD164" i="6" s="1"/>
  <c r="V164" i="6"/>
  <c r="U165" i="6"/>
  <c r="AD165" i="6" s="1"/>
  <c r="V165" i="6"/>
  <c r="U166" i="6"/>
  <c r="AD166" i="6" s="1"/>
  <c r="V166" i="6"/>
  <c r="U167" i="6"/>
  <c r="AD167" i="6" s="1"/>
  <c r="V167" i="6"/>
  <c r="U168" i="6"/>
  <c r="AE168" i="6" s="1"/>
  <c r="V168" i="6"/>
  <c r="U169" i="6"/>
  <c r="AE169" i="6" s="1"/>
  <c r="V169" i="6"/>
  <c r="U170" i="6"/>
  <c r="AE170" i="6" s="1"/>
  <c r="V170" i="6"/>
  <c r="U171" i="6"/>
  <c r="AE171" i="6" s="1"/>
  <c r="V171" i="6"/>
  <c r="U172" i="6"/>
  <c r="AD172" i="6" s="1"/>
  <c r="V172" i="6"/>
  <c r="U173" i="6"/>
  <c r="AD173" i="6" s="1"/>
  <c r="V173" i="6"/>
  <c r="U174" i="6"/>
  <c r="AD174" i="6" s="1"/>
  <c r="V174" i="6"/>
  <c r="U175" i="6"/>
  <c r="AD175" i="6" s="1"/>
  <c r="V175" i="6"/>
  <c r="U176" i="6"/>
  <c r="AE176" i="6" s="1"/>
  <c r="V176" i="6"/>
  <c r="U177" i="6"/>
  <c r="AE177" i="6" s="1"/>
  <c r="V177" i="6"/>
  <c r="U178" i="6"/>
  <c r="AE178" i="6" s="1"/>
  <c r="V178" i="6"/>
  <c r="U179" i="6"/>
  <c r="AE179" i="6" s="1"/>
  <c r="V179" i="6"/>
  <c r="U180" i="6"/>
  <c r="AD180" i="6" s="1"/>
  <c r="V180" i="6"/>
  <c r="U181" i="6"/>
  <c r="AD181" i="6" s="1"/>
  <c r="V181" i="6"/>
  <c r="U182" i="6"/>
  <c r="AD182" i="6" s="1"/>
  <c r="V182" i="6"/>
  <c r="U183" i="6"/>
  <c r="AD183" i="6" s="1"/>
  <c r="V183" i="6"/>
  <c r="U184" i="6"/>
  <c r="AE184" i="6" s="1"/>
  <c r="V184" i="6"/>
  <c r="U185" i="6"/>
  <c r="AE185" i="6" s="1"/>
  <c r="V185" i="6"/>
  <c r="U186" i="6"/>
  <c r="AE186" i="6" s="1"/>
  <c r="V186" i="6"/>
  <c r="U187" i="6"/>
  <c r="AE187" i="6" s="1"/>
  <c r="V187" i="6"/>
  <c r="U188" i="6"/>
  <c r="AD188" i="6" s="1"/>
  <c r="V188" i="6"/>
  <c r="U189" i="6"/>
  <c r="AD189" i="6" s="1"/>
  <c r="V189" i="6"/>
  <c r="U190" i="6"/>
  <c r="AD190" i="6" s="1"/>
  <c r="V190" i="6"/>
  <c r="U191" i="6"/>
  <c r="AD191" i="6" s="1"/>
  <c r="V191" i="6"/>
  <c r="U192" i="6"/>
  <c r="AE192" i="6" s="1"/>
  <c r="V192" i="6"/>
  <c r="U193" i="6"/>
  <c r="AE193" i="6" s="1"/>
  <c r="V193" i="6"/>
  <c r="U194" i="6"/>
  <c r="AE194" i="6" s="1"/>
  <c r="V194" i="6"/>
  <c r="U195" i="6"/>
  <c r="AE195" i="6" s="1"/>
  <c r="V195" i="6"/>
  <c r="U196" i="6"/>
  <c r="AD196" i="6" s="1"/>
  <c r="V196" i="6"/>
  <c r="U197" i="6"/>
  <c r="AD197" i="6" s="1"/>
  <c r="V197" i="6"/>
  <c r="U198" i="6"/>
  <c r="AD198" i="6" s="1"/>
  <c r="V198" i="6"/>
  <c r="U199" i="6"/>
  <c r="AD199" i="6" s="1"/>
  <c r="V199" i="6"/>
  <c r="U200" i="6"/>
  <c r="AE200" i="6" s="1"/>
  <c r="V200" i="6"/>
  <c r="U201" i="6"/>
  <c r="AE201" i="6" s="1"/>
  <c r="V201" i="6"/>
  <c r="U202" i="6"/>
  <c r="AE202" i="6" s="1"/>
  <c r="V202" i="6"/>
  <c r="U203" i="6"/>
  <c r="AE203" i="6" s="1"/>
  <c r="V203" i="6"/>
  <c r="U204" i="6"/>
  <c r="AD204" i="6" s="1"/>
  <c r="V204" i="6"/>
  <c r="U205" i="6"/>
  <c r="AD205" i="6" s="1"/>
  <c r="V205" i="6"/>
  <c r="U206" i="6"/>
  <c r="AD206" i="6" s="1"/>
  <c r="V206" i="6"/>
  <c r="U207" i="6"/>
  <c r="AD207" i="6" s="1"/>
  <c r="V207" i="6"/>
  <c r="U208" i="6"/>
  <c r="AE208" i="6" s="1"/>
  <c r="V208" i="6"/>
  <c r="U209" i="6"/>
  <c r="AE209" i="6" s="1"/>
  <c r="V209" i="6"/>
  <c r="U210" i="6"/>
  <c r="AE210" i="6" s="1"/>
  <c r="V210" i="6"/>
  <c r="U211" i="6"/>
  <c r="AE211" i="6" s="1"/>
  <c r="V211" i="6"/>
  <c r="U212" i="6"/>
  <c r="AD212" i="6" s="1"/>
  <c r="V212" i="6"/>
  <c r="U213" i="6"/>
  <c r="AD213" i="6" s="1"/>
  <c r="V213" i="6"/>
  <c r="U214" i="6"/>
  <c r="AD214" i="6" s="1"/>
  <c r="V214" i="6"/>
  <c r="U215" i="6"/>
  <c r="AD215" i="6" s="1"/>
  <c r="V215" i="6"/>
  <c r="U216" i="6"/>
  <c r="AE216" i="6" s="1"/>
  <c r="V216" i="6"/>
  <c r="U217" i="6"/>
  <c r="AE217" i="6" s="1"/>
  <c r="V217" i="6"/>
  <c r="U218" i="6"/>
  <c r="AE218" i="6" s="1"/>
  <c r="V218" i="6"/>
  <c r="U219" i="6"/>
  <c r="AE219" i="6" s="1"/>
  <c r="V219" i="6"/>
  <c r="U220" i="6"/>
  <c r="AD220" i="6" s="1"/>
  <c r="V220" i="6"/>
  <c r="U221" i="6"/>
  <c r="AD221" i="6" s="1"/>
  <c r="V221" i="6"/>
  <c r="U222" i="6"/>
  <c r="AD222" i="6" s="1"/>
  <c r="V222" i="6"/>
  <c r="U223" i="6"/>
  <c r="AD223" i="6" s="1"/>
  <c r="V223" i="6"/>
  <c r="U224" i="6"/>
  <c r="AE224" i="6" s="1"/>
  <c r="V224" i="6"/>
  <c r="U225" i="6"/>
  <c r="AE225" i="6" s="1"/>
  <c r="V225" i="6"/>
  <c r="U226" i="6"/>
  <c r="AE226" i="6" s="1"/>
  <c r="V226" i="6"/>
  <c r="U227" i="6"/>
  <c r="AE227" i="6" s="1"/>
  <c r="V227" i="6"/>
  <c r="U228" i="6"/>
  <c r="AD228" i="6" s="1"/>
  <c r="V228" i="6"/>
  <c r="U229" i="6"/>
  <c r="AD229" i="6" s="1"/>
  <c r="V229" i="6"/>
  <c r="U230" i="6"/>
  <c r="AD230" i="6" s="1"/>
  <c r="V230" i="6"/>
  <c r="U231" i="6"/>
  <c r="AD231" i="6" s="1"/>
  <c r="V231" i="6"/>
  <c r="U232" i="6"/>
  <c r="AE232" i="6" s="1"/>
  <c r="V232" i="6"/>
  <c r="Z234" i="6" l="1"/>
  <c r="X57" i="6"/>
  <c r="AC249" i="6"/>
  <c r="AD249" i="6"/>
  <c r="AD247" i="6"/>
  <c r="AD250" i="6"/>
  <c r="AC251" i="6"/>
  <c r="AD251" i="6"/>
  <c r="AC247" i="6"/>
  <c r="AD193" i="6"/>
  <c r="AD209" i="6"/>
  <c r="AE237" i="6"/>
  <c r="AE173" i="6"/>
  <c r="AD201" i="6"/>
  <c r="AE229" i="6"/>
  <c r="AE165" i="6"/>
  <c r="AE221" i="6"/>
  <c r="AD185" i="6"/>
  <c r="AE213" i="6"/>
  <c r="AD177" i="6"/>
  <c r="AE205" i="6"/>
  <c r="AD233" i="6"/>
  <c r="AD169" i="6"/>
  <c r="AE197" i="6"/>
  <c r="AD225" i="6"/>
  <c r="AD161" i="6"/>
  <c r="AE189" i="6"/>
  <c r="AD217" i="6"/>
  <c r="AE181" i="6"/>
  <c r="AD246" i="6"/>
  <c r="AD235" i="6"/>
  <c r="AD227" i="6"/>
  <c r="AD219" i="6"/>
  <c r="AD211" i="6"/>
  <c r="AD203" i="6"/>
  <c r="AD195" i="6"/>
  <c r="AD187" i="6"/>
  <c r="AD179" i="6"/>
  <c r="AD171" i="6"/>
  <c r="AD163" i="6"/>
  <c r="AE231" i="6"/>
  <c r="AE223" i="6"/>
  <c r="AE215" i="6"/>
  <c r="AE207" i="6"/>
  <c r="AE199" i="6"/>
  <c r="AE191" i="6"/>
  <c r="AE183" i="6"/>
  <c r="AE175" i="6"/>
  <c r="AE167" i="6"/>
  <c r="AE159" i="6"/>
  <c r="AD234" i="6"/>
  <c r="AD226" i="6"/>
  <c r="AD218" i="6"/>
  <c r="AD210" i="6"/>
  <c r="AD202" i="6"/>
  <c r="AD194" i="6"/>
  <c r="AD186" i="6"/>
  <c r="AD178" i="6"/>
  <c r="AD170" i="6"/>
  <c r="AD162" i="6"/>
  <c r="AE238" i="6"/>
  <c r="AE230" i="6"/>
  <c r="AE222" i="6"/>
  <c r="AE214" i="6"/>
  <c r="AE206" i="6"/>
  <c r="AE198" i="6"/>
  <c r="AE190" i="6"/>
  <c r="AE182" i="6"/>
  <c r="AE174" i="6"/>
  <c r="AE166" i="6"/>
  <c r="AD232" i="6"/>
  <c r="AD224" i="6"/>
  <c r="AD216" i="6"/>
  <c r="AD208" i="6"/>
  <c r="AD200" i="6"/>
  <c r="AD192" i="6"/>
  <c r="AD184" i="6"/>
  <c r="AD176" i="6"/>
  <c r="AD168" i="6"/>
  <c r="AD160" i="6"/>
  <c r="AE236" i="6"/>
  <c r="AE228" i="6"/>
  <c r="AE220" i="6"/>
  <c r="AE212" i="6"/>
  <c r="AE204" i="6"/>
  <c r="AE196" i="6"/>
  <c r="AE188" i="6"/>
  <c r="AE180" i="6"/>
  <c r="AE172" i="6"/>
  <c r="AE164" i="6"/>
  <c r="Z238" i="6"/>
  <c r="Z237" i="6"/>
  <c r="Z236" i="6"/>
  <c r="Q226" i="4"/>
  <c r="Q218" i="4"/>
  <c r="Q210" i="4"/>
  <c r="Q202" i="4"/>
  <c r="Q194" i="4"/>
  <c r="Q186" i="4"/>
  <c r="Q178" i="4"/>
  <c r="Q170" i="4"/>
  <c r="Q162" i="4"/>
  <c r="Q154" i="4"/>
  <c r="Q146" i="4"/>
  <c r="Q138" i="4"/>
  <c r="Q130" i="4"/>
  <c r="Z223" i="6"/>
  <c r="Z235" i="6"/>
  <c r="Z191" i="6"/>
  <c r="Z159" i="6"/>
  <c r="Z127" i="6"/>
  <c r="Z56" i="6"/>
  <c r="Z48" i="6"/>
  <c r="Z40" i="6"/>
  <c r="Z32" i="6"/>
  <c r="Z24" i="6"/>
  <c r="Z16" i="6"/>
  <c r="Z8" i="6"/>
  <c r="Z95" i="6"/>
  <c r="Z232" i="6"/>
  <c r="Z224" i="6"/>
  <c r="Z216" i="6"/>
  <c r="Z208" i="6"/>
  <c r="Z200" i="6"/>
  <c r="Z192" i="6"/>
  <c r="Z184" i="6"/>
  <c r="Z176" i="6"/>
  <c r="Z168" i="6"/>
  <c r="Z160" i="6"/>
  <c r="Z152" i="6"/>
  <c r="Z144" i="6"/>
  <c r="Z136" i="6"/>
  <c r="Z128" i="6"/>
  <c r="Z120" i="6"/>
  <c r="Z112" i="6"/>
  <c r="Z104" i="6"/>
  <c r="Z96" i="6"/>
  <c r="Z88" i="6"/>
  <c r="Z80" i="6"/>
  <c r="Z72" i="6"/>
  <c r="Z64" i="6"/>
  <c r="Z63" i="6"/>
  <c r="Z231" i="6"/>
  <c r="Z207" i="6"/>
  <c r="Z199" i="6"/>
  <c r="Z175" i="6"/>
  <c r="Z167" i="6"/>
  <c r="Z143" i="6"/>
  <c r="Z135" i="6"/>
  <c r="Z111" i="6"/>
  <c r="Z103" i="6"/>
  <c r="Z79" i="6"/>
  <c r="Z71" i="6"/>
  <c r="Z31" i="6"/>
  <c r="Z222" i="6"/>
  <c r="Z190" i="6"/>
  <c r="Z158" i="6"/>
  <c r="Z126" i="6"/>
  <c r="Z94" i="6"/>
  <c r="Z62" i="6"/>
  <c r="Z30" i="6"/>
  <c r="Z215" i="6"/>
  <c r="Z183" i="6"/>
  <c r="Z151" i="6"/>
  <c r="Z119" i="6"/>
  <c r="Z87" i="6"/>
  <c r="Z55" i="6"/>
  <c r="Z23" i="6"/>
  <c r="Z214" i="6"/>
  <c r="Z182" i="6"/>
  <c r="Z150" i="6"/>
  <c r="Z118" i="6"/>
  <c r="Z86" i="6"/>
  <c r="Z54" i="6"/>
  <c r="Z22" i="6"/>
  <c r="Z47" i="6"/>
  <c r="Z15" i="6"/>
  <c r="Z206" i="6"/>
  <c r="Z174" i="6"/>
  <c r="Z142" i="6"/>
  <c r="Z110" i="6"/>
  <c r="Z78" i="6"/>
  <c r="Z46" i="6"/>
  <c r="Z14" i="6"/>
  <c r="Z39" i="6"/>
  <c r="Z7" i="6"/>
  <c r="Z230" i="6"/>
  <c r="Z198" i="6"/>
  <c r="Z166" i="6"/>
  <c r="Z134" i="6"/>
  <c r="Z102" i="6"/>
  <c r="Z70" i="6"/>
  <c r="Z38" i="6"/>
  <c r="Z6" i="6"/>
  <c r="Z229" i="6"/>
  <c r="Z221" i="6"/>
  <c r="Z213" i="6"/>
  <c r="Z205" i="6"/>
  <c r="Z197" i="6"/>
  <c r="Z189" i="6"/>
  <c r="Z181" i="6"/>
  <c r="Z173" i="6"/>
  <c r="Z165" i="6"/>
  <c r="Z157" i="6"/>
  <c r="Z149" i="6"/>
  <c r="Z141" i="6"/>
  <c r="Z133" i="6"/>
  <c r="Z125" i="6"/>
  <c r="Z117" i="6"/>
  <c r="Z109" i="6"/>
  <c r="Z101" i="6"/>
  <c r="Z93" i="6"/>
  <c r="Z85" i="6"/>
  <c r="Z77" i="6"/>
  <c r="Z69" i="6"/>
  <c r="Z61" i="6"/>
  <c r="Z53" i="6"/>
  <c r="Z45" i="6"/>
  <c r="Z37" i="6"/>
  <c r="Z29" i="6"/>
  <c r="Z21" i="6"/>
  <c r="Z13" i="6"/>
  <c r="Z5" i="6"/>
  <c r="Z228" i="6"/>
  <c r="Z220" i="6"/>
  <c r="Z212" i="6"/>
  <c r="Z204" i="6"/>
  <c r="Z196" i="6"/>
  <c r="Z188" i="6"/>
  <c r="Z180" i="6"/>
  <c r="Z172" i="6"/>
  <c r="Z164" i="6"/>
  <c r="Z156" i="6"/>
  <c r="Z148" i="6"/>
  <c r="Z140" i="6"/>
  <c r="Z132" i="6"/>
  <c r="Z124" i="6"/>
  <c r="Z116" i="6"/>
  <c r="Z108" i="6"/>
  <c r="Z100" i="6"/>
  <c r="Z92" i="6"/>
  <c r="Z84" i="6"/>
  <c r="Z76" i="6"/>
  <c r="Z68" i="6"/>
  <c r="Z60" i="6"/>
  <c r="Z52" i="6"/>
  <c r="Z44" i="6"/>
  <c r="Z36" i="6"/>
  <c r="Z28" i="6"/>
  <c r="Z20" i="6"/>
  <c r="Z12" i="6"/>
  <c r="Z4" i="6"/>
  <c r="Z3" i="6"/>
  <c r="Z227" i="6"/>
  <c r="Z219" i="6"/>
  <c r="Z211" i="6"/>
  <c r="Z203" i="6"/>
  <c r="Z195" i="6"/>
  <c r="Z187" i="6"/>
  <c r="Z179" i="6"/>
  <c r="Z171" i="6"/>
  <c r="Z163" i="6"/>
  <c r="Z155" i="6"/>
  <c r="Z147" i="6"/>
  <c r="Z139" i="6"/>
  <c r="Z131" i="6"/>
  <c r="Z123" i="6"/>
  <c r="Z115" i="6"/>
  <c r="Z107" i="6"/>
  <c r="Z99" i="6"/>
  <c r="Z91" i="6"/>
  <c r="Z83" i="6"/>
  <c r="Z75" i="6"/>
  <c r="Z67" i="6"/>
  <c r="Z59" i="6"/>
  <c r="Z51" i="6"/>
  <c r="Z43" i="6"/>
  <c r="Z35" i="6"/>
  <c r="Z27" i="6"/>
  <c r="Z19" i="6"/>
  <c r="Z11" i="6"/>
  <c r="Z226" i="6"/>
  <c r="Z218" i="6"/>
  <c r="Z210" i="6"/>
  <c r="Z202" i="6"/>
  <c r="Z194" i="6"/>
  <c r="Z186" i="6"/>
  <c r="Z178" i="6"/>
  <c r="Z170" i="6"/>
  <c r="Z162" i="6"/>
  <c r="Z154" i="6"/>
  <c r="Z146" i="6"/>
  <c r="Z138" i="6"/>
  <c r="Z130" i="6"/>
  <c r="Z122" i="6"/>
  <c r="Z114" i="6"/>
  <c r="Z106" i="6"/>
  <c r="Z98" i="6"/>
  <c r="Z90" i="6"/>
  <c r="Z82" i="6"/>
  <c r="Z74" i="6"/>
  <c r="Z66" i="6"/>
  <c r="Z58" i="6"/>
  <c r="Z50" i="6"/>
  <c r="Z42" i="6"/>
  <c r="Z34" i="6"/>
  <c r="Z26" i="6"/>
  <c r="Z18" i="6"/>
  <c r="Z10" i="6"/>
  <c r="Z233" i="6"/>
  <c r="Z225" i="6"/>
  <c r="Z217" i="6"/>
  <c r="Z209" i="6"/>
  <c r="Z201" i="6"/>
  <c r="Z193" i="6"/>
  <c r="Z185" i="6"/>
  <c r="Z177" i="6"/>
  <c r="Z169" i="6"/>
  <c r="Z161" i="6"/>
  <c r="Z153" i="6"/>
  <c r="Z145" i="6"/>
  <c r="Z137" i="6"/>
  <c r="Z129" i="6"/>
  <c r="Z121" i="6"/>
  <c r="Z113" i="6"/>
  <c r="Z105" i="6"/>
  <c r="Z97" i="6"/>
  <c r="Z89" i="6"/>
  <c r="Z81" i="6"/>
  <c r="Z73" i="6"/>
  <c r="Z65" i="6"/>
  <c r="Z57" i="6"/>
  <c r="Z49" i="6"/>
  <c r="Z41" i="6"/>
  <c r="Z33" i="6"/>
  <c r="Z25" i="6"/>
  <c r="Z17" i="6"/>
  <c r="Z9" i="6"/>
  <c r="AH81" i="6"/>
  <c r="AI81" i="6"/>
  <c r="D45" i="5"/>
  <c r="D44" i="5"/>
  <c r="D40" i="5"/>
  <c r="D47" i="5"/>
  <c r="D30" i="5"/>
  <c r="D46" i="5"/>
  <c r="D32" i="5"/>
  <c r="D34" i="5"/>
  <c r="D29" i="5"/>
  <c r="D41" i="5"/>
  <c r="U114" i="6"/>
  <c r="V114" i="6"/>
  <c r="U115" i="6"/>
  <c r="V115" i="6"/>
  <c r="U116" i="6"/>
  <c r="V116" i="6"/>
  <c r="U117" i="6"/>
  <c r="V117" i="6"/>
  <c r="U118" i="6"/>
  <c r="V118" i="6"/>
  <c r="U119" i="6"/>
  <c r="V119" i="6"/>
  <c r="U120" i="6"/>
  <c r="V120" i="6"/>
  <c r="U121" i="6"/>
  <c r="V121" i="6"/>
  <c r="U122" i="6"/>
  <c r="V122" i="6"/>
  <c r="U123" i="6"/>
  <c r="V123" i="6"/>
  <c r="U124" i="6"/>
  <c r="V124" i="6"/>
  <c r="U125" i="6"/>
  <c r="V125" i="6"/>
  <c r="U126" i="6"/>
  <c r="V126" i="6"/>
  <c r="U127" i="6"/>
  <c r="V127" i="6"/>
  <c r="U128" i="6"/>
  <c r="V128" i="6"/>
  <c r="U129" i="6"/>
  <c r="V129" i="6"/>
  <c r="U130" i="6"/>
  <c r="V130" i="6"/>
  <c r="U131" i="6"/>
  <c r="V131" i="6"/>
  <c r="U132" i="6"/>
  <c r="V132" i="6"/>
  <c r="U133" i="6"/>
  <c r="V133" i="6"/>
  <c r="U134" i="6"/>
  <c r="V134" i="6"/>
  <c r="U135" i="6"/>
  <c r="V135" i="6"/>
  <c r="U136" i="6"/>
  <c r="V136" i="6"/>
  <c r="U137" i="6"/>
  <c r="V137" i="6"/>
  <c r="U138" i="6"/>
  <c r="V138" i="6"/>
  <c r="U139" i="6"/>
  <c r="V139" i="6"/>
  <c r="U140" i="6"/>
  <c r="V140" i="6"/>
  <c r="U141" i="6"/>
  <c r="V141" i="6"/>
  <c r="U142" i="6"/>
  <c r="V142" i="6"/>
  <c r="U143" i="6"/>
  <c r="V143" i="6"/>
  <c r="U144" i="6"/>
  <c r="V144" i="6"/>
  <c r="U145" i="6"/>
  <c r="V145" i="6"/>
  <c r="U146" i="6"/>
  <c r="V146" i="6"/>
  <c r="U147" i="6"/>
  <c r="V147" i="6"/>
  <c r="U148" i="6"/>
  <c r="V148" i="6"/>
  <c r="U149" i="6"/>
  <c r="V149" i="6"/>
  <c r="U150" i="6"/>
  <c r="V150" i="6"/>
  <c r="U151" i="6"/>
  <c r="V151" i="6"/>
  <c r="U152" i="6"/>
  <c r="V152" i="6"/>
  <c r="U153" i="6"/>
  <c r="V153" i="6"/>
  <c r="U154" i="6"/>
  <c r="V154" i="6"/>
  <c r="U155" i="6"/>
  <c r="V155" i="6"/>
  <c r="U156" i="6"/>
  <c r="V156" i="6"/>
  <c r="U157" i="6"/>
  <c r="V157" i="6"/>
  <c r="U158" i="6"/>
  <c r="V158" i="6"/>
  <c r="U113" i="6"/>
  <c r="AD248" i="6" l="1"/>
  <c r="AC248" i="6"/>
  <c r="AE113" i="6"/>
  <c r="AD113" i="6"/>
  <c r="AE155" i="6"/>
  <c r="AD155" i="6"/>
  <c r="AD151" i="6"/>
  <c r="AE151" i="6"/>
  <c r="AE147" i="6"/>
  <c r="AD147" i="6"/>
  <c r="AD143" i="6"/>
  <c r="AE143" i="6"/>
  <c r="AE139" i="6"/>
  <c r="AD139" i="6"/>
  <c r="AD135" i="6"/>
  <c r="AE135" i="6"/>
  <c r="AE131" i="6"/>
  <c r="AD131" i="6"/>
  <c r="AD127" i="6"/>
  <c r="AE127" i="6"/>
  <c r="AE123" i="6"/>
  <c r="AD123" i="6"/>
  <c r="AD119" i="6"/>
  <c r="AE119" i="6"/>
  <c r="AE115" i="6"/>
  <c r="AD115" i="6"/>
  <c r="AD158" i="6"/>
  <c r="AE158" i="6"/>
  <c r="AD126" i="6"/>
  <c r="AE126" i="6"/>
  <c r="AE146" i="6"/>
  <c r="AD146" i="6"/>
  <c r="AD134" i="6"/>
  <c r="AE134" i="6"/>
  <c r="AE114" i="6"/>
  <c r="AD114" i="6"/>
  <c r="AD142" i="6"/>
  <c r="AE142" i="6"/>
  <c r="AE130" i="6"/>
  <c r="AD130" i="6"/>
  <c r="AD118" i="6"/>
  <c r="AE118" i="6"/>
  <c r="AE157" i="6"/>
  <c r="AD157" i="6"/>
  <c r="AE145" i="6"/>
  <c r="AD145" i="6"/>
  <c r="AD137" i="6"/>
  <c r="AE137" i="6"/>
  <c r="AE129" i="6"/>
  <c r="AD129" i="6"/>
  <c r="AD125" i="6"/>
  <c r="AE125" i="6"/>
  <c r="AE121" i="6"/>
  <c r="AD121" i="6"/>
  <c r="AD117" i="6"/>
  <c r="AE117" i="6"/>
  <c r="AD150" i="6"/>
  <c r="AE150" i="6"/>
  <c r="AE153" i="6"/>
  <c r="AD153" i="6"/>
  <c r="AD141" i="6"/>
  <c r="AE141" i="6"/>
  <c r="AE154" i="6"/>
  <c r="AD154" i="6"/>
  <c r="AE138" i="6"/>
  <c r="AD138" i="6"/>
  <c r="AE122" i="6"/>
  <c r="AD122" i="6"/>
  <c r="AD149" i="6"/>
  <c r="AE149" i="6"/>
  <c r="AD133" i="6"/>
  <c r="AE133" i="6"/>
  <c r="AD156" i="6"/>
  <c r="AE156" i="6"/>
  <c r="AE152" i="6"/>
  <c r="AD152" i="6"/>
  <c r="AD148" i="6"/>
  <c r="AE148" i="6"/>
  <c r="AE144" i="6"/>
  <c r="AD144" i="6"/>
  <c r="AD140" i="6"/>
  <c r="AE140" i="6"/>
  <c r="AE136" i="6"/>
  <c r="AD136" i="6"/>
  <c r="AD132" i="6"/>
  <c r="AE132" i="6"/>
  <c r="AE128" i="6"/>
  <c r="AD128" i="6"/>
  <c r="AD124" i="6"/>
  <c r="AE124" i="6"/>
  <c r="AE120" i="6"/>
  <c r="AD120" i="6"/>
  <c r="AD116" i="6"/>
  <c r="AE116" i="6"/>
  <c r="U43" i="6"/>
  <c r="V43" i="6"/>
  <c r="U44" i="6"/>
  <c r="V44" i="6"/>
  <c r="U45" i="6"/>
  <c r="V45" i="6"/>
  <c r="U46" i="6"/>
  <c r="V46" i="6"/>
  <c r="U47" i="6"/>
  <c r="V47" i="6"/>
  <c r="U48" i="6"/>
  <c r="V48" i="6"/>
  <c r="U49" i="6"/>
  <c r="V49" i="6"/>
  <c r="U50" i="6"/>
  <c r="V50" i="6"/>
  <c r="U51" i="6"/>
  <c r="V51" i="6"/>
  <c r="U52" i="6"/>
  <c r="V52" i="6"/>
  <c r="U53" i="6"/>
  <c r="V53" i="6"/>
  <c r="U54" i="6"/>
  <c r="V54" i="6"/>
  <c r="U55" i="6"/>
  <c r="V55" i="6"/>
  <c r="U56" i="6"/>
  <c r="V56" i="6"/>
  <c r="U57" i="6"/>
  <c r="V57" i="6"/>
  <c r="U58" i="6"/>
  <c r="V58" i="6"/>
  <c r="U59" i="6"/>
  <c r="V59" i="6"/>
  <c r="U60" i="6"/>
  <c r="V60" i="6"/>
  <c r="U61" i="6"/>
  <c r="V61" i="6"/>
  <c r="U62" i="6"/>
  <c r="V62" i="6"/>
  <c r="U63" i="6"/>
  <c r="V63" i="6"/>
  <c r="U64" i="6"/>
  <c r="V64" i="6"/>
  <c r="U65" i="6"/>
  <c r="V65" i="6"/>
  <c r="U66" i="6"/>
  <c r="V66" i="6"/>
  <c r="U67" i="6"/>
  <c r="V67" i="6"/>
  <c r="U68" i="6"/>
  <c r="V68" i="6"/>
  <c r="U69" i="6"/>
  <c r="V69" i="6"/>
  <c r="U70" i="6"/>
  <c r="V70" i="6"/>
  <c r="U71" i="6"/>
  <c r="V71" i="6"/>
  <c r="U72" i="6"/>
  <c r="V72" i="6"/>
  <c r="U73" i="6"/>
  <c r="V73" i="6"/>
  <c r="U74" i="6"/>
  <c r="V74" i="6"/>
  <c r="U75" i="6"/>
  <c r="V75" i="6"/>
  <c r="U76" i="6"/>
  <c r="V76" i="6"/>
  <c r="U77" i="6"/>
  <c r="V77" i="6"/>
  <c r="U78" i="6"/>
  <c r="V78" i="6"/>
  <c r="U79" i="6"/>
  <c r="V79" i="6"/>
  <c r="U80" i="6"/>
  <c r="V80" i="6"/>
  <c r="U81" i="6"/>
  <c r="V81" i="6"/>
  <c r="U82" i="6"/>
  <c r="V82" i="6"/>
  <c r="U83" i="6"/>
  <c r="V83" i="6"/>
  <c r="U84" i="6"/>
  <c r="V84" i="6"/>
  <c r="U85" i="6"/>
  <c r="V85" i="6"/>
  <c r="U86" i="6"/>
  <c r="V86" i="6"/>
  <c r="U87" i="6"/>
  <c r="V87" i="6"/>
  <c r="U88" i="6"/>
  <c r="V88" i="6"/>
  <c r="U89" i="6"/>
  <c r="V89" i="6"/>
  <c r="U90" i="6"/>
  <c r="V90" i="6"/>
  <c r="U91" i="6"/>
  <c r="V91" i="6"/>
  <c r="U92" i="6"/>
  <c r="V92" i="6"/>
  <c r="U93" i="6"/>
  <c r="V93" i="6"/>
  <c r="U94" i="6"/>
  <c r="V94" i="6"/>
  <c r="U95" i="6"/>
  <c r="V95" i="6"/>
  <c r="U96" i="6"/>
  <c r="V96" i="6"/>
  <c r="U97" i="6"/>
  <c r="V97" i="6"/>
  <c r="U98" i="6"/>
  <c r="V98" i="6"/>
  <c r="U99" i="6"/>
  <c r="V99" i="6"/>
  <c r="U100" i="6"/>
  <c r="V100" i="6"/>
  <c r="U101" i="6"/>
  <c r="V101" i="6"/>
  <c r="U102" i="6"/>
  <c r="V102" i="6"/>
  <c r="U103" i="6"/>
  <c r="V103" i="6"/>
  <c r="U104" i="6"/>
  <c r="V104" i="6"/>
  <c r="U105" i="6"/>
  <c r="V105" i="6"/>
  <c r="U106" i="6"/>
  <c r="V106" i="6"/>
  <c r="U107" i="6"/>
  <c r="V107" i="6"/>
  <c r="U108" i="6"/>
  <c r="V108" i="6"/>
  <c r="U109" i="6"/>
  <c r="V109" i="6"/>
  <c r="U110" i="6"/>
  <c r="V110" i="6"/>
  <c r="U111" i="6"/>
  <c r="V111" i="6"/>
  <c r="U112" i="6"/>
  <c r="V112" i="6"/>
  <c r="V113" i="6"/>
  <c r="N43" i="4"/>
  <c r="O43" i="4" s="1"/>
  <c r="N44" i="4"/>
  <c r="O44" i="4" s="1"/>
  <c r="N45" i="4"/>
  <c r="O45" i="4" s="1"/>
  <c r="N46" i="4"/>
  <c r="O46" i="4" s="1"/>
  <c r="N47" i="4"/>
  <c r="O47" i="4" s="1"/>
  <c r="N48" i="4"/>
  <c r="O48" i="4" s="1"/>
  <c r="N49" i="4"/>
  <c r="O49" i="4" s="1"/>
  <c r="N50" i="4"/>
  <c r="O50" i="4" s="1"/>
  <c r="N51" i="4"/>
  <c r="O51" i="4" s="1"/>
  <c r="N52" i="4"/>
  <c r="O52" i="4" s="1"/>
  <c r="N53" i="4"/>
  <c r="O53" i="4" s="1"/>
  <c r="N54" i="4"/>
  <c r="O54" i="4" s="1"/>
  <c r="N55" i="4"/>
  <c r="O55" i="4" s="1"/>
  <c r="N56" i="4"/>
  <c r="O56" i="4" s="1"/>
  <c r="N57" i="4"/>
  <c r="O57" i="4" s="1"/>
  <c r="N58" i="4"/>
  <c r="O58" i="4" s="1"/>
  <c r="N59" i="4"/>
  <c r="O59" i="4" s="1"/>
  <c r="N60" i="4"/>
  <c r="O60" i="4" s="1"/>
  <c r="N61" i="4"/>
  <c r="O61" i="4" s="1"/>
  <c r="N62" i="4"/>
  <c r="O62" i="4" s="1"/>
  <c r="N63" i="4"/>
  <c r="O63" i="4" s="1"/>
  <c r="N64" i="4"/>
  <c r="O64" i="4" s="1"/>
  <c r="N65" i="4"/>
  <c r="O65" i="4" s="1"/>
  <c r="N66" i="4"/>
  <c r="O66" i="4" s="1"/>
  <c r="N67" i="4"/>
  <c r="O67" i="4" s="1"/>
  <c r="N68" i="4"/>
  <c r="O68" i="4" s="1"/>
  <c r="N69" i="4"/>
  <c r="O69" i="4" s="1"/>
  <c r="N70" i="4"/>
  <c r="O70" i="4" s="1"/>
  <c r="N71" i="4"/>
  <c r="O71" i="4" s="1"/>
  <c r="N72" i="4"/>
  <c r="O72" i="4" s="1"/>
  <c r="N73" i="4"/>
  <c r="O73" i="4" s="1"/>
  <c r="N74" i="4"/>
  <c r="O74" i="4" s="1"/>
  <c r="N75" i="4"/>
  <c r="O75" i="4" s="1"/>
  <c r="N76" i="4"/>
  <c r="O76" i="4" s="1"/>
  <c r="N77" i="4"/>
  <c r="O77" i="4" s="1"/>
  <c r="N78" i="4"/>
  <c r="O78" i="4" s="1"/>
  <c r="N79" i="4"/>
  <c r="O79" i="4" s="1"/>
  <c r="N80" i="4"/>
  <c r="O80" i="4" s="1"/>
  <c r="N81" i="4"/>
  <c r="O81" i="4" s="1"/>
  <c r="N82" i="4"/>
  <c r="O82" i="4" s="1"/>
  <c r="N83" i="4"/>
  <c r="O83" i="4" s="1"/>
  <c r="N84" i="4"/>
  <c r="O84" i="4" s="1"/>
  <c r="N85" i="4"/>
  <c r="O85" i="4" s="1"/>
  <c r="N86" i="4"/>
  <c r="O86" i="4" s="1"/>
  <c r="N87" i="4"/>
  <c r="O87" i="4" s="1"/>
  <c r="N88" i="4"/>
  <c r="O88" i="4" s="1"/>
  <c r="N89" i="4"/>
  <c r="O89" i="4" s="1"/>
  <c r="N90" i="4"/>
  <c r="O90" i="4" s="1"/>
  <c r="N91" i="4"/>
  <c r="O91" i="4" s="1"/>
  <c r="N92" i="4"/>
  <c r="O92" i="4" s="1"/>
  <c r="N93" i="4"/>
  <c r="O93" i="4" s="1"/>
  <c r="N94" i="4"/>
  <c r="O94" i="4" s="1"/>
  <c r="N95" i="4"/>
  <c r="O95" i="4" s="1"/>
  <c r="N96" i="4"/>
  <c r="O96" i="4" s="1"/>
  <c r="N97" i="4"/>
  <c r="O97" i="4" s="1"/>
  <c r="N98" i="4"/>
  <c r="O98" i="4" s="1"/>
  <c r="N99" i="4"/>
  <c r="O99" i="4" s="1"/>
  <c r="N100" i="4"/>
  <c r="O100" i="4" s="1"/>
  <c r="N101" i="4"/>
  <c r="O101" i="4" s="1"/>
  <c r="N102" i="4"/>
  <c r="O102" i="4" s="1"/>
  <c r="N103" i="4"/>
  <c r="O103" i="4" s="1"/>
  <c r="N104" i="4"/>
  <c r="O104" i="4" s="1"/>
  <c r="N105" i="4"/>
  <c r="O105" i="4" s="1"/>
  <c r="N106" i="4"/>
  <c r="O106" i="4" s="1"/>
  <c r="N107" i="4"/>
  <c r="O107" i="4" s="1"/>
  <c r="N108" i="4"/>
  <c r="O108" i="4" s="1"/>
  <c r="N109" i="4"/>
  <c r="O109" i="4" s="1"/>
  <c r="N110" i="4"/>
  <c r="O110" i="4" s="1"/>
  <c r="N111" i="4"/>
  <c r="O111" i="4" s="1"/>
  <c r="N112" i="4"/>
  <c r="O112" i="4" s="1"/>
  <c r="N113" i="4"/>
  <c r="O113" i="4" s="1"/>
  <c r="L43" i="4"/>
  <c r="Q43" i="4" s="1"/>
  <c r="L44" i="4"/>
  <c r="Q44" i="4" s="1"/>
  <c r="L45" i="4"/>
  <c r="Q45" i="4" s="1"/>
  <c r="L46" i="4"/>
  <c r="Q46" i="4" s="1"/>
  <c r="L47" i="4"/>
  <c r="Q47" i="4" s="1"/>
  <c r="L48" i="4"/>
  <c r="Q48" i="4" s="1"/>
  <c r="L49" i="4"/>
  <c r="Q49" i="4" s="1"/>
  <c r="L50" i="4"/>
  <c r="Q50" i="4" s="1"/>
  <c r="L51" i="4"/>
  <c r="Q51" i="4" s="1"/>
  <c r="L52" i="4"/>
  <c r="Q52" i="4" s="1"/>
  <c r="L53" i="4"/>
  <c r="Q53" i="4" s="1"/>
  <c r="L54" i="4"/>
  <c r="Q54" i="4" s="1"/>
  <c r="L55" i="4"/>
  <c r="Q55" i="4" s="1"/>
  <c r="L56" i="4"/>
  <c r="Q56" i="4" s="1"/>
  <c r="L57" i="4"/>
  <c r="Q57" i="4" s="1"/>
  <c r="L58" i="4"/>
  <c r="Q58" i="4" s="1"/>
  <c r="L59" i="4"/>
  <c r="Q59" i="4" s="1"/>
  <c r="L60" i="4"/>
  <c r="Q60" i="4" s="1"/>
  <c r="L61" i="4"/>
  <c r="Q61" i="4" s="1"/>
  <c r="L62" i="4"/>
  <c r="Q62" i="4" s="1"/>
  <c r="L63" i="4"/>
  <c r="Q63" i="4" s="1"/>
  <c r="L64" i="4"/>
  <c r="Q64" i="4" s="1"/>
  <c r="L65" i="4"/>
  <c r="Q65" i="4" s="1"/>
  <c r="L66" i="4"/>
  <c r="Q66" i="4" s="1"/>
  <c r="L67" i="4"/>
  <c r="Q67" i="4" s="1"/>
  <c r="L68" i="4"/>
  <c r="Q68" i="4" s="1"/>
  <c r="L69" i="4"/>
  <c r="Q69" i="4" s="1"/>
  <c r="L70" i="4"/>
  <c r="Q70" i="4" s="1"/>
  <c r="L71" i="4"/>
  <c r="Q71" i="4" s="1"/>
  <c r="L72" i="4"/>
  <c r="Q72" i="4" s="1"/>
  <c r="L73" i="4"/>
  <c r="Q73" i="4" s="1"/>
  <c r="L74" i="4"/>
  <c r="Q74" i="4" s="1"/>
  <c r="L75" i="4"/>
  <c r="Q75" i="4" s="1"/>
  <c r="L76" i="4"/>
  <c r="Q76" i="4" s="1"/>
  <c r="L77" i="4"/>
  <c r="Q77" i="4" s="1"/>
  <c r="L78" i="4"/>
  <c r="Q78" i="4" s="1"/>
  <c r="L79" i="4"/>
  <c r="Q79" i="4" s="1"/>
  <c r="L80" i="4"/>
  <c r="Q80" i="4" s="1"/>
  <c r="L81" i="4"/>
  <c r="Q81" i="4" s="1"/>
  <c r="L82" i="4"/>
  <c r="Q82" i="4" s="1"/>
  <c r="L83" i="4"/>
  <c r="Q83" i="4" s="1"/>
  <c r="L84" i="4"/>
  <c r="Q84" i="4" s="1"/>
  <c r="L85" i="4"/>
  <c r="Q85" i="4" s="1"/>
  <c r="L86" i="4"/>
  <c r="Q86" i="4" s="1"/>
  <c r="L87" i="4"/>
  <c r="Q87" i="4" s="1"/>
  <c r="L88" i="4"/>
  <c r="Q88" i="4" s="1"/>
  <c r="L89" i="4"/>
  <c r="Q89" i="4" s="1"/>
  <c r="L90" i="4"/>
  <c r="Q90" i="4" s="1"/>
  <c r="L91" i="4"/>
  <c r="Q91" i="4" s="1"/>
  <c r="L92" i="4"/>
  <c r="Q92" i="4" s="1"/>
  <c r="L93" i="4"/>
  <c r="Q93" i="4" s="1"/>
  <c r="L94" i="4"/>
  <c r="Q94" i="4" s="1"/>
  <c r="L95" i="4"/>
  <c r="Q95" i="4" s="1"/>
  <c r="L96" i="4"/>
  <c r="Q96" i="4" s="1"/>
  <c r="L97" i="4"/>
  <c r="Q97" i="4" s="1"/>
  <c r="L98" i="4"/>
  <c r="Q98" i="4" s="1"/>
  <c r="L99" i="4"/>
  <c r="Q99" i="4" s="1"/>
  <c r="L100" i="4"/>
  <c r="Q100" i="4" s="1"/>
  <c r="L101" i="4"/>
  <c r="Q101" i="4" s="1"/>
  <c r="L102" i="4"/>
  <c r="Q102" i="4" s="1"/>
  <c r="L103" i="4"/>
  <c r="Q103" i="4" s="1"/>
  <c r="L104" i="4"/>
  <c r="Q104" i="4" s="1"/>
  <c r="L105" i="4"/>
  <c r="Q105" i="4" s="1"/>
  <c r="L106" i="4"/>
  <c r="Q106" i="4" s="1"/>
  <c r="L107" i="4"/>
  <c r="Q107" i="4" s="1"/>
  <c r="L108" i="4"/>
  <c r="Q108" i="4" s="1"/>
  <c r="L109" i="4"/>
  <c r="Q109" i="4" s="1"/>
  <c r="T28" i="4"/>
  <c r="AD100" i="6" l="1"/>
  <c r="AE100" i="6"/>
  <c r="AD84" i="6"/>
  <c r="AE84" i="6"/>
  <c r="AE56" i="6"/>
  <c r="AD56" i="6"/>
  <c r="AE88" i="6"/>
  <c r="AD88" i="6"/>
  <c r="AD68" i="6"/>
  <c r="AE68" i="6"/>
  <c r="AD52" i="6"/>
  <c r="AE52" i="6"/>
  <c r="AD44" i="6"/>
  <c r="AE44" i="6"/>
  <c r="AE107" i="6"/>
  <c r="AD107" i="6"/>
  <c r="AD103" i="6"/>
  <c r="AE103" i="6"/>
  <c r="AE99" i="6"/>
  <c r="AD99" i="6"/>
  <c r="AD95" i="6"/>
  <c r="AE95" i="6"/>
  <c r="AE91" i="6"/>
  <c r="AD91" i="6"/>
  <c r="AD87" i="6"/>
  <c r="AE87" i="6"/>
  <c r="AE83" i="6"/>
  <c r="AD83" i="6"/>
  <c r="AD79" i="6"/>
  <c r="AE79" i="6"/>
  <c r="AE75" i="6"/>
  <c r="AD75" i="6"/>
  <c r="AD71" i="6"/>
  <c r="AE71" i="6"/>
  <c r="AE67" i="6"/>
  <c r="AD67" i="6"/>
  <c r="AD63" i="6"/>
  <c r="AE63" i="6"/>
  <c r="AE59" i="6"/>
  <c r="AD59" i="6"/>
  <c r="AD55" i="6"/>
  <c r="AE55" i="6"/>
  <c r="AE51" i="6"/>
  <c r="AD51" i="6"/>
  <c r="AD47" i="6"/>
  <c r="AE47" i="6"/>
  <c r="AE43" i="6"/>
  <c r="AD43" i="6"/>
  <c r="AD92" i="6"/>
  <c r="AE92" i="6"/>
  <c r="AD60" i="6"/>
  <c r="AE60" i="6"/>
  <c r="AD108" i="6"/>
  <c r="AE108" i="6"/>
  <c r="AD76" i="6"/>
  <c r="AE76" i="6"/>
  <c r="AD110" i="6"/>
  <c r="AE110" i="6"/>
  <c r="AD102" i="6"/>
  <c r="AE102" i="6"/>
  <c r="AE98" i="6"/>
  <c r="AD98" i="6"/>
  <c r="AD94" i="6"/>
  <c r="AE94" i="6"/>
  <c r="AE90" i="6"/>
  <c r="AD90" i="6"/>
  <c r="AD86" i="6"/>
  <c r="AE86" i="6"/>
  <c r="AE82" i="6"/>
  <c r="AD82" i="6"/>
  <c r="AD78" i="6"/>
  <c r="AE78" i="6"/>
  <c r="AE74" i="6"/>
  <c r="AD74" i="6"/>
  <c r="AD70" i="6"/>
  <c r="AE70" i="6"/>
  <c r="AE66" i="6"/>
  <c r="AD66" i="6"/>
  <c r="AD62" i="6"/>
  <c r="AE62" i="6"/>
  <c r="AE58" i="6"/>
  <c r="AD58" i="6"/>
  <c r="AD54" i="6"/>
  <c r="AE54" i="6"/>
  <c r="AE50" i="6"/>
  <c r="AD50" i="6"/>
  <c r="AD46" i="6"/>
  <c r="AE46" i="6"/>
  <c r="AE112" i="6"/>
  <c r="AD112" i="6"/>
  <c r="AE96" i="6"/>
  <c r="AD96" i="6"/>
  <c r="AE80" i="6"/>
  <c r="AD80" i="6"/>
  <c r="AE64" i="6"/>
  <c r="AD64" i="6"/>
  <c r="AE48" i="6"/>
  <c r="AD48" i="6"/>
  <c r="AD111" i="6"/>
  <c r="AE111" i="6"/>
  <c r="AE106" i="6"/>
  <c r="AD106" i="6"/>
  <c r="AE104" i="6"/>
  <c r="AD104" i="6"/>
  <c r="AE72" i="6"/>
  <c r="AD72" i="6"/>
  <c r="AE109" i="6"/>
  <c r="AD109" i="6"/>
  <c r="AE105" i="6"/>
  <c r="AD105" i="6"/>
  <c r="AD101" i="6"/>
  <c r="AE101" i="6"/>
  <c r="AE97" i="6"/>
  <c r="AD97" i="6"/>
  <c r="AE93" i="6"/>
  <c r="AD93" i="6"/>
  <c r="AE89" i="6"/>
  <c r="AD89" i="6"/>
  <c r="AD85" i="6"/>
  <c r="AE85" i="6"/>
  <c r="AD81" i="6"/>
  <c r="AE81" i="6"/>
  <c r="AE77" i="6"/>
  <c r="AD77" i="6"/>
  <c r="AE73" i="6"/>
  <c r="AD73" i="6"/>
  <c r="AE69" i="6"/>
  <c r="AD69" i="6"/>
  <c r="AE65" i="6"/>
  <c r="AD65" i="6"/>
  <c r="AD61" i="6"/>
  <c r="AE61" i="6"/>
  <c r="AE57" i="6"/>
  <c r="AD57" i="6"/>
  <c r="AE53" i="6"/>
  <c r="AD53" i="6"/>
  <c r="AE49" i="6"/>
  <c r="AD49" i="6"/>
  <c r="AD45" i="6"/>
  <c r="AE45" i="6"/>
  <c r="R238" i="4"/>
  <c r="R237" i="4"/>
  <c r="R236" i="4"/>
  <c r="R235" i="4"/>
  <c r="R234" i="4"/>
  <c r="R7" i="4"/>
  <c r="R15" i="4"/>
  <c r="R23" i="4"/>
  <c r="R31" i="4"/>
  <c r="R39" i="4"/>
  <c r="R47" i="4"/>
  <c r="R55" i="4"/>
  <c r="R63" i="4"/>
  <c r="R71" i="4"/>
  <c r="R79" i="4"/>
  <c r="R87" i="4"/>
  <c r="R95" i="4"/>
  <c r="R103" i="4"/>
  <c r="R111" i="4"/>
  <c r="R119" i="4"/>
  <c r="R127" i="4"/>
  <c r="R135" i="4"/>
  <c r="R143" i="4"/>
  <c r="R151" i="4"/>
  <c r="R159" i="4"/>
  <c r="R167" i="4"/>
  <c r="R175" i="4"/>
  <c r="R183" i="4"/>
  <c r="R191" i="4"/>
  <c r="R199" i="4"/>
  <c r="R207" i="4"/>
  <c r="R215" i="4"/>
  <c r="R223" i="4"/>
  <c r="R231" i="4"/>
  <c r="R13" i="4"/>
  <c r="R45" i="4"/>
  <c r="R93" i="4"/>
  <c r="R109" i="4"/>
  <c r="R141" i="4"/>
  <c r="R173" i="4"/>
  <c r="R205" i="4"/>
  <c r="R62" i="4"/>
  <c r="R126" i="4"/>
  <c r="R182" i="4"/>
  <c r="R8" i="4"/>
  <c r="R16" i="4"/>
  <c r="R24" i="4"/>
  <c r="R32" i="4"/>
  <c r="R40" i="4"/>
  <c r="R48" i="4"/>
  <c r="R56" i="4"/>
  <c r="R64" i="4"/>
  <c r="R72" i="4"/>
  <c r="R80" i="4"/>
  <c r="R88" i="4"/>
  <c r="R96" i="4"/>
  <c r="R104" i="4"/>
  <c r="R112" i="4"/>
  <c r="R120" i="4"/>
  <c r="R128" i="4"/>
  <c r="R136" i="4"/>
  <c r="R144" i="4"/>
  <c r="R152" i="4"/>
  <c r="R160" i="4"/>
  <c r="R168" i="4"/>
  <c r="R176" i="4"/>
  <c r="R184" i="4"/>
  <c r="R192" i="4"/>
  <c r="R200" i="4"/>
  <c r="R208" i="4"/>
  <c r="R216" i="4"/>
  <c r="R224" i="4"/>
  <c r="R232" i="4"/>
  <c r="R61" i="4"/>
  <c r="R165" i="4"/>
  <c r="R22" i="4"/>
  <c r="R86" i="4"/>
  <c r="R150" i="4"/>
  <c r="R206" i="4"/>
  <c r="R9" i="4"/>
  <c r="R17" i="4"/>
  <c r="R25" i="4"/>
  <c r="R33" i="4"/>
  <c r="R41" i="4"/>
  <c r="R49" i="4"/>
  <c r="R57" i="4"/>
  <c r="R65" i="4"/>
  <c r="R73" i="4"/>
  <c r="R81" i="4"/>
  <c r="R89" i="4"/>
  <c r="R97" i="4"/>
  <c r="R105" i="4"/>
  <c r="R113" i="4"/>
  <c r="R121" i="4"/>
  <c r="R129" i="4"/>
  <c r="R137" i="4"/>
  <c r="R145" i="4"/>
  <c r="R153" i="4"/>
  <c r="R161" i="4"/>
  <c r="R169" i="4"/>
  <c r="R177" i="4"/>
  <c r="R185" i="4"/>
  <c r="R193" i="4"/>
  <c r="R201" i="4"/>
  <c r="R209" i="4"/>
  <c r="R217" i="4"/>
  <c r="R225" i="4"/>
  <c r="R233" i="4"/>
  <c r="R5" i="4"/>
  <c r="R53" i="4"/>
  <c r="R101" i="4"/>
  <c r="R117" i="4"/>
  <c r="R157" i="4"/>
  <c r="R197" i="4"/>
  <c r="R221" i="4"/>
  <c r="R54" i="4"/>
  <c r="R142" i="4"/>
  <c r="R214" i="4"/>
  <c r="R10" i="4"/>
  <c r="R18" i="4"/>
  <c r="R26" i="4"/>
  <c r="R34" i="4"/>
  <c r="R42" i="4"/>
  <c r="R50" i="4"/>
  <c r="R58" i="4"/>
  <c r="R66" i="4"/>
  <c r="R74" i="4"/>
  <c r="R82" i="4"/>
  <c r="R90" i="4"/>
  <c r="R98" i="4"/>
  <c r="R106" i="4"/>
  <c r="R114" i="4"/>
  <c r="R122" i="4"/>
  <c r="R130" i="4"/>
  <c r="R138" i="4"/>
  <c r="R146" i="4"/>
  <c r="R154" i="4"/>
  <c r="R162" i="4"/>
  <c r="R170" i="4"/>
  <c r="R178" i="4"/>
  <c r="R186" i="4"/>
  <c r="R194" i="4"/>
  <c r="R202" i="4"/>
  <c r="R210" i="4"/>
  <c r="R218" i="4"/>
  <c r="R226" i="4"/>
  <c r="R37" i="4"/>
  <c r="R77" i="4"/>
  <c r="R125" i="4"/>
  <c r="R181" i="4"/>
  <c r="R229" i="4"/>
  <c r="R6" i="4"/>
  <c r="R30" i="4"/>
  <c r="R70" i="4"/>
  <c r="R102" i="4"/>
  <c r="R134" i="4"/>
  <c r="R166" i="4"/>
  <c r="R190" i="4"/>
  <c r="R222" i="4"/>
  <c r="R3" i="4"/>
  <c r="R11" i="4"/>
  <c r="R19" i="4"/>
  <c r="R27" i="4"/>
  <c r="R35" i="4"/>
  <c r="R43" i="4"/>
  <c r="R51" i="4"/>
  <c r="R59" i="4"/>
  <c r="R67" i="4"/>
  <c r="R75" i="4"/>
  <c r="R83" i="4"/>
  <c r="R91" i="4"/>
  <c r="R99" i="4"/>
  <c r="R107" i="4"/>
  <c r="R115" i="4"/>
  <c r="R123" i="4"/>
  <c r="R131" i="4"/>
  <c r="R139" i="4"/>
  <c r="R147" i="4"/>
  <c r="R155" i="4"/>
  <c r="R163" i="4"/>
  <c r="R171" i="4"/>
  <c r="R179" i="4"/>
  <c r="R187" i="4"/>
  <c r="R195" i="4"/>
  <c r="R203" i="4"/>
  <c r="R211" i="4"/>
  <c r="R219" i="4"/>
  <c r="R227" i="4"/>
  <c r="R21" i="4"/>
  <c r="R69" i="4"/>
  <c r="R149" i="4"/>
  <c r="R213" i="4"/>
  <c r="R46" i="4"/>
  <c r="R110" i="4"/>
  <c r="R174" i="4"/>
  <c r="R4" i="4"/>
  <c r="R12" i="4"/>
  <c r="R20" i="4"/>
  <c r="R28" i="4"/>
  <c r="R36" i="4"/>
  <c r="R44" i="4"/>
  <c r="R52" i="4"/>
  <c r="R60" i="4"/>
  <c r="R68" i="4"/>
  <c r="R76" i="4"/>
  <c r="R84" i="4"/>
  <c r="R92" i="4"/>
  <c r="R100" i="4"/>
  <c r="R108" i="4"/>
  <c r="R116" i="4"/>
  <c r="R124" i="4"/>
  <c r="R132" i="4"/>
  <c r="R140" i="4"/>
  <c r="R148" i="4"/>
  <c r="R156" i="4"/>
  <c r="R164" i="4"/>
  <c r="R172" i="4"/>
  <c r="R180" i="4"/>
  <c r="R188" i="4"/>
  <c r="R196" i="4"/>
  <c r="R204" i="4"/>
  <c r="R212" i="4"/>
  <c r="R220" i="4"/>
  <c r="R228" i="4"/>
  <c r="R29" i="4"/>
  <c r="R85" i="4"/>
  <c r="R133" i="4"/>
  <c r="R189" i="4"/>
  <c r="R14" i="4"/>
  <c r="R38" i="4"/>
  <c r="R78" i="4"/>
  <c r="R94" i="4"/>
  <c r="R118" i="4"/>
  <c r="R158" i="4"/>
  <c r="R198" i="4"/>
  <c r="R230" i="4"/>
  <c r="V42" i="6"/>
  <c r="U42" i="6"/>
  <c r="V41" i="6"/>
  <c r="U41" i="6"/>
  <c r="V40" i="6"/>
  <c r="U40" i="6"/>
  <c r="V39" i="6"/>
  <c r="U39" i="6"/>
  <c r="V38" i="6"/>
  <c r="U38" i="6"/>
  <c r="V37" i="6"/>
  <c r="U37" i="6"/>
  <c r="V36" i="6"/>
  <c r="U36" i="6"/>
  <c r="V35" i="6"/>
  <c r="U35" i="6"/>
  <c r="V34" i="6"/>
  <c r="U34" i="6"/>
  <c r="V33" i="6"/>
  <c r="U33" i="6"/>
  <c r="V32" i="6"/>
  <c r="U32" i="6"/>
  <c r="V31" i="6"/>
  <c r="U31" i="6"/>
  <c r="V30" i="6"/>
  <c r="U30" i="6"/>
  <c r="V29" i="6"/>
  <c r="U29" i="6"/>
  <c r="V28" i="6"/>
  <c r="U28" i="6"/>
  <c r="V27" i="6"/>
  <c r="U27" i="6"/>
  <c r="V26" i="6"/>
  <c r="U26" i="6"/>
  <c r="V25" i="6"/>
  <c r="U25" i="6"/>
  <c r="V24" i="6"/>
  <c r="U24" i="6"/>
  <c r="V23" i="6"/>
  <c r="U23" i="6"/>
  <c r="V22" i="6"/>
  <c r="U22" i="6"/>
  <c r="V21" i="6"/>
  <c r="U21" i="6"/>
  <c r="V20" i="6"/>
  <c r="U20" i="6"/>
  <c r="V19" i="6"/>
  <c r="U19" i="6"/>
  <c r="V18" i="6"/>
  <c r="U18" i="6"/>
  <c r="V17" i="6"/>
  <c r="U17" i="6"/>
  <c r="V16" i="6"/>
  <c r="U16" i="6"/>
  <c r="V15" i="6"/>
  <c r="U15" i="6"/>
  <c r="V14" i="6"/>
  <c r="U14" i="6"/>
  <c r="V13" i="6"/>
  <c r="U13" i="6"/>
  <c r="V12" i="6"/>
  <c r="U12" i="6"/>
  <c r="V11" i="6"/>
  <c r="U11" i="6"/>
  <c r="V10" i="6"/>
  <c r="U10" i="6"/>
  <c r="V9" i="6"/>
  <c r="U9" i="6"/>
  <c r="V8" i="6"/>
  <c r="U8" i="6"/>
  <c r="V7" i="6"/>
  <c r="U7" i="6"/>
  <c r="V6" i="6"/>
  <c r="U6" i="6"/>
  <c r="V5" i="6"/>
  <c r="U5" i="6"/>
  <c r="V4" i="6"/>
  <c r="U4" i="6"/>
  <c r="AM108" i="4"/>
  <c r="AN105" i="4"/>
  <c r="N42" i="4"/>
  <c r="O42" i="4" s="1"/>
  <c r="L42" i="4"/>
  <c r="Q42" i="4" s="1"/>
  <c r="N41" i="4"/>
  <c r="O41" i="4" s="1"/>
  <c r="L41" i="4"/>
  <c r="Q41" i="4" s="1"/>
  <c r="N40" i="4"/>
  <c r="O40" i="4" s="1"/>
  <c r="L40" i="4"/>
  <c r="Q40" i="4" s="1"/>
  <c r="N39" i="4"/>
  <c r="O39" i="4" s="1"/>
  <c r="L39" i="4"/>
  <c r="Q39" i="4" s="1"/>
  <c r="N38" i="4"/>
  <c r="O38" i="4" s="1"/>
  <c r="L38" i="4"/>
  <c r="Q38" i="4" s="1"/>
  <c r="N37" i="4"/>
  <c r="O37" i="4" s="1"/>
  <c r="L37" i="4"/>
  <c r="Q37" i="4" s="1"/>
  <c r="N36" i="4"/>
  <c r="O36" i="4" s="1"/>
  <c r="L36" i="4"/>
  <c r="Q36" i="4" s="1"/>
  <c r="N35" i="4"/>
  <c r="O35" i="4" s="1"/>
  <c r="L35" i="4"/>
  <c r="Q35" i="4" s="1"/>
  <c r="N34" i="4"/>
  <c r="O34" i="4" s="1"/>
  <c r="L34" i="4"/>
  <c r="Q34" i="4" s="1"/>
  <c r="N33" i="4"/>
  <c r="O33" i="4" s="1"/>
  <c r="L33" i="4"/>
  <c r="Q33" i="4" s="1"/>
  <c r="N32" i="4"/>
  <c r="O32" i="4" s="1"/>
  <c r="L32" i="4"/>
  <c r="Q32" i="4" s="1"/>
  <c r="N31" i="4"/>
  <c r="O31" i="4" s="1"/>
  <c r="L31" i="4"/>
  <c r="Q31" i="4" s="1"/>
  <c r="N30" i="4"/>
  <c r="O30" i="4" s="1"/>
  <c r="L30" i="4"/>
  <c r="Q30" i="4" s="1"/>
  <c r="N29" i="4"/>
  <c r="O29" i="4" s="1"/>
  <c r="L29" i="4"/>
  <c r="Q29" i="4" s="1"/>
  <c r="N28" i="4"/>
  <c r="O28" i="4" s="1"/>
  <c r="L28" i="4"/>
  <c r="Q28" i="4" s="1"/>
  <c r="N27" i="4"/>
  <c r="O27" i="4" s="1"/>
  <c r="L27" i="4"/>
  <c r="Q27" i="4" s="1"/>
  <c r="S26" i="4"/>
  <c r="V25" i="4" s="1"/>
  <c r="N26" i="4"/>
  <c r="O26" i="4" s="1"/>
  <c r="L26" i="4"/>
  <c r="Q26" i="4" s="1"/>
  <c r="S25" i="4"/>
  <c r="V24" i="4" s="1"/>
  <c r="N25" i="4"/>
  <c r="O25" i="4" s="1"/>
  <c r="L25" i="4"/>
  <c r="Q25" i="4" s="1"/>
  <c r="N24" i="4"/>
  <c r="O24" i="4" s="1"/>
  <c r="L24" i="4"/>
  <c r="Q24" i="4" s="1"/>
  <c r="AM23" i="4"/>
  <c r="AM102" i="4" s="1"/>
  <c r="AO102" i="4" s="1"/>
  <c r="S23" i="4"/>
  <c r="V23" i="4" s="1"/>
  <c r="N23" i="4"/>
  <c r="O23" i="4" s="1"/>
  <c r="L23" i="4"/>
  <c r="Q23" i="4" s="1"/>
  <c r="N22" i="4"/>
  <c r="O22" i="4" s="1"/>
  <c r="L22" i="4"/>
  <c r="Q22" i="4" s="1"/>
  <c r="N21" i="4"/>
  <c r="O21" i="4" s="1"/>
  <c r="L21" i="4"/>
  <c r="Q21" i="4" s="1"/>
  <c r="N20" i="4"/>
  <c r="O20" i="4" s="1"/>
  <c r="L20" i="4"/>
  <c r="Q20" i="4" s="1"/>
  <c r="N19" i="4"/>
  <c r="O19" i="4" s="1"/>
  <c r="L19" i="4"/>
  <c r="Q19" i="4" s="1"/>
  <c r="N18" i="4"/>
  <c r="O18" i="4" s="1"/>
  <c r="L18" i="4"/>
  <c r="Q18" i="4" s="1"/>
  <c r="N17" i="4"/>
  <c r="O17" i="4" s="1"/>
  <c r="L17" i="4"/>
  <c r="Q17" i="4" s="1"/>
  <c r="N16" i="4"/>
  <c r="O16" i="4" s="1"/>
  <c r="L16" i="4"/>
  <c r="Q16" i="4" s="1"/>
  <c r="N15" i="4"/>
  <c r="O15" i="4" s="1"/>
  <c r="L15" i="4"/>
  <c r="Q15" i="4" s="1"/>
  <c r="N14" i="4"/>
  <c r="O14" i="4" s="1"/>
  <c r="L14" i="4"/>
  <c r="Q14" i="4" s="1"/>
  <c r="N13" i="4"/>
  <c r="O13" i="4" s="1"/>
  <c r="L13" i="4"/>
  <c r="Q13" i="4" s="1"/>
  <c r="N12" i="4"/>
  <c r="O12" i="4" s="1"/>
  <c r="L12" i="4"/>
  <c r="Q12" i="4" s="1"/>
  <c r="N11" i="4"/>
  <c r="O11" i="4" s="1"/>
  <c r="L11" i="4"/>
  <c r="Q11" i="4" s="1"/>
  <c r="N10" i="4"/>
  <c r="O10" i="4" s="1"/>
  <c r="L10" i="4"/>
  <c r="Q10" i="4" s="1"/>
  <c r="N9" i="4"/>
  <c r="O9" i="4" s="1"/>
  <c r="L9" i="4"/>
  <c r="Q9" i="4" s="1"/>
  <c r="N8" i="4"/>
  <c r="O8" i="4" s="1"/>
  <c r="L8" i="4"/>
  <c r="Q8" i="4" s="1"/>
  <c r="N7" i="4"/>
  <c r="O7" i="4" s="1"/>
  <c r="L7" i="4"/>
  <c r="Q7" i="4" s="1"/>
  <c r="N6" i="4"/>
  <c r="O6" i="4" s="1"/>
  <c r="L6" i="4"/>
  <c r="Q6" i="4" s="1"/>
  <c r="N5" i="4"/>
  <c r="O5" i="4" s="1"/>
  <c r="L5" i="4"/>
  <c r="Q5" i="4" s="1"/>
  <c r="N4" i="4"/>
  <c r="O4" i="4" s="1"/>
  <c r="L4" i="4"/>
  <c r="Q4" i="4" s="1"/>
  <c r="O25" i="5"/>
  <c r="N25" i="5"/>
  <c r="J4" i="2"/>
  <c r="K4" i="2"/>
  <c r="AC250" i="6" l="1"/>
  <c r="AD15" i="6"/>
  <c r="AE15" i="6"/>
  <c r="AD31" i="6"/>
  <c r="AE31" i="6"/>
  <c r="AD4" i="6"/>
  <c r="AC246" i="6"/>
  <c r="AE4" i="6"/>
  <c r="AE8" i="6"/>
  <c r="AD8" i="6"/>
  <c r="AD12" i="6"/>
  <c r="AE12" i="6"/>
  <c r="AE16" i="6"/>
  <c r="AD16" i="6"/>
  <c r="AD20" i="6"/>
  <c r="AE20" i="6"/>
  <c r="AE24" i="6"/>
  <c r="AD24" i="6"/>
  <c r="AD28" i="6"/>
  <c r="AE28" i="6"/>
  <c r="AE32" i="6"/>
  <c r="AD32" i="6"/>
  <c r="AD36" i="6"/>
  <c r="AE36" i="6"/>
  <c r="AE40" i="6"/>
  <c r="AD40" i="6"/>
  <c r="AE35" i="6"/>
  <c r="AD35" i="6"/>
  <c r="AD23" i="6"/>
  <c r="AE23" i="6"/>
  <c r="AD5" i="6"/>
  <c r="AE5" i="6"/>
  <c r="AE9" i="6"/>
  <c r="AD9" i="6"/>
  <c r="AD13" i="6"/>
  <c r="AE13" i="6"/>
  <c r="AE17" i="6"/>
  <c r="AD17" i="6"/>
  <c r="AD21" i="6"/>
  <c r="AE21" i="6"/>
  <c r="AD25" i="6"/>
  <c r="AE25" i="6"/>
  <c r="AD29" i="6"/>
  <c r="AE29" i="6"/>
  <c r="AE33" i="6"/>
  <c r="AD33" i="6"/>
  <c r="AD37" i="6"/>
  <c r="AE37" i="6"/>
  <c r="AE41" i="6"/>
  <c r="AD41" i="6"/>
  <c r="AD7" i="6"/>
  <c r="AE7" i="6"/>
  <c r="AD39" i="6"/>
  <c r="AE39" i="6"/>
  <c r="AE11" i="6"/>
  <c r="AD11" i="6"/>
  <c r="AE27" i="6"/>
  <c r="AD27" i="6"/>
  <c r="AD6" i="6"/>
  <c r="AE6" i="6"/>
  <c r="AE10" i="6"/>
  <c r="AD10" i="6"/>
  <c r="AD14" i="6"/>
  <c r="AE14" i="6"/>
  <c r="AE18" i="6"/>
  <c r="AD18" i="6"/>
  <c r="AD22" i="6"/>
  <c r="AE22" i="6"/>
  <c r="AE26" i="6"/>
  <c r="AD26" i="6"/>
  <c r="AD30" i="6"/>
  <c r="AE30" i="6"/>
  <c r="AE34" i="6"/>
  <c r="AD34" i="6"/>
  <c r="AD38" i="6"/>
  <c r="AE38" i="6"/>
  <c r="AE42" i="6"/>
  <c r="AD42" i="6"/>
  <c r="AE19" i="6"/>
  <c r="AD19" i="6"/>
  <c r="AN10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13D3DDA-26F9-4CB2-8378-AA4316B735AF}" keepAlive="1" name="Query - deadth_by_region" description="Connection to the 'deadth_by_region' query in the workbook." type="5" refreshedVersion="6" background="1" saveData="1">
    <dbPr connection="Provider=Microsoft.Mashup.OleDb.1;Data Source=$Workbook$;Location=deadth_by_region;Extended Properties=&quot;&quot;" command="SELECT * FROM [deadth_by_region]"/>
  </connection>
  <connection id="2" xr16:uid="{03D672A9-F1BE-4CAA-A123-3786AC18AE12}" keepAlive="1" name="Query - inhospital" description="Connection to the 'inhospital' query in the workbook." type="5" refreshedVersion="6" background="1" saveData="1">
    <dbPr connection="Provider=Microsoft.Mashup.OleDb.1;Data Source=$Workbook$;Location=inhospital;Extended Properties=&quot;&quot;" command="SELECT * FROM [inhospital]"/>
  </connection>
  <connection id="3" xr16:uid="{8337280A-0195-4E55-AFEA-AFA79B21EE7D}" keepAlive="1" name="Query - inhospital_tot" description="Connection to the 'inhospital_tot' query in the workbook." type="5" refreshedVersion="6" background="1" saveData="1">
    <dbPr connection="Provider=Microsoft.Mashup.OleDb.1;Data Source=$Workbook$;Location=inhospital_tot;Extended Properties=&quot;&quot;" command="SELECT * FROM [inhospital_tot]"/>
  </connection>
  <connection id="4" xr16:uid="{6229AB0C-BD60-4394-9233-E0C2AEA7DE05}" keepAlive="1" name="Query - inhospital_tot (2)" description="Connection to the 'inhospital_tot (2)' query in the workbook." type="5" refreshedVersion="6" background="1" saveData="1">
    <dbPr connection="Provider=Microsoft.Mashup.OleDb.1;Data Source=$Workbook$;Location=&quot;inhospital_tot (2)&quot;;Extended Properties=&quot;&quot;" command="SELECT * FROM [inhospital_tot (2)]"/>
  </connection>
  <connection id="5" xr16:uid="{7CA52C2A-C337-4E6E-88B0-0CD364EDAD51}" keepAlive="1" name="Query - nazione" description="Connection to the 'nazione' query in the workbook." type="5" refreshedVersion="6" background="1" saveData="1">
    <dbPr connection="Provider=Microsoft.Mashup.OleDb.1;Data Source=$Workbook$;Location=nazione;Extended Properties=&quot;&quot;" command="SELECT * FROM [nazione]"/>
  </connection>
  <connection id="6" xr16:uid="{3F22535A-200B-4875-A3A9-366AFF745015}" keepAlive="1" name="Query - picture_by_region" description="Connection to the 'picture_by_region' query in the workbook." type="5" refreshedVersion="6" background="1" saveData="1">
    <dbPr connection="Provider=Microsoft.Mashup.OleDb.1;Data Source=$Workbook$;Location=picture_by_region;Extended Properties=&quot;&quot;" command="SELECT * FROM [picture_by_region]"/>
  </connection>
  <connection id="7" xr16:uid="{71F08801-6092-49C5-8D4D-0D1F0B08E79D}" keepAlive="1" name="Query - pop_by_city" description="Connection to the 'pop_by_city' query in the workbook." type="5" refreshedVersion="6" background="1" saveData="1">
    <dbPr connection="Provider=Microsoft.Mashup.OleDb.1;Data Source=$Workbook$;Location=pop_by_city;Extended Properties=&quot;&quot;" command="SELECT * FROM [pop_by_city]"/>
  </connection>
  <connection id="8" xr16:uid="{74360169-59DB-48C9-AE81-4208BC062CF7}" keepAlive="1" name="Query - pop_by_region" description="Connection to the 'pop_by_region' query in the workbook." type="5" refreshedVersion="6" background="1" saveData="1">
    <dbPr connection="Provider=Microsoft.Mashup.OleDb.1;Data Source=$Workbook$;Location=pop_by_region;Extended Properties=&quot;&quot;" command="SELECT * FROM [pop_by_region]"/>
  </connection>
</connections>
</file>

<file path=xl/sharedStrings.xml><?xml version="1.0" encoding="utf-8"?>
<sst xmlns="http://schemas.openxmlformats.org/spreadsheetml/2006/main" count="5660" uniqueCount="279">
  <si>
    <t>date</t>
  </si>
  <si>
    <t>region_name</t>
  </si>
  <si>
    <t>ricoverati_con_sintomi</t>
  </si>
  <si>
    <t>terapia_intensiva</t>
  </si>
  <si>
    <t>deceduti</t>
  </si>
  <si>
    <t>totale_casi</t>
  </si>
  <si>
    <t>Abruzzo</t>
  </si>
  <si>
    <t>Basilicata</t>
  </si>
  <si>
    <t>Calabria</t>
  </si>
  <si>
    <t>Campania</t>
  </si>
  <si>
    <t>Friuli Venezia Giulia</t>
  </si>
  <si>
    <t>Lazio</t>
  </si>
  <si>
    <t>Liguria</t>
  </si>
  <si>
    <t>Lombardia</t>
  </si>
  <si>
    <t>Marche</t>
  </si>
  <si>
    <t>Molise</t>
  </si>
  <si>
    <t>P.A. Bolzano</t>
  </si>
  <si>
    <t>P.A. Trento</t>
  </si>
  <si>
    <t>Piemonte</t>
  </si>
  <si>
    <t>Puglia</t>
  </si>
  <si>
    <t>Sardegna</t>
  </si>
  <si>
    <t>Sicilia</t>
  </si>
  <si>
    <t>Toscana</t>
  </si>
  <si>
    <t>Umbria</t>
  </si>
  <si>
    <t>Valle d'Aosta</t>
  </si>
  <si>
    <t>Veneto</t>
  </si>
  <si>
    <t>ricoverati_semplici</t>
  </si>
  <si>
    <t>in_ospedale</t>
  </si>
  <si>
    <t>a_casa_positivi</t>
  </si>
  <si>
    <t>totale_positivi_alla_data</t>
  </si>
  <si>
    <t>nuovi_positivi_alla_data</t>
  </si>
  <si>
    <t>guariti</t>
  </si>
  <si>
    <t>totale</t>
  </si>
  <si>
    <t>tests</t>
  </si>
  <si>
    <t>id</t>
  </si>
  <si>
    <t>state</t>
  </si>
  <si>
    <t>totale_ospedalizzati</t>
  </si>
  <si>
    <t>isolamento_domiciliare</t>
  </si>
  <si>
    <t>totale_attualmente_positivi</t>
  </si>
  <si>
    <t>nuovi_attualmente_positivi</t>
  </si>
  <si>
    <t>dimessi_guariti</t>
  </si>
  <si>
    <t>tamponi</t>
  </si>
  <si>
    <t>ITA</t>
  </si>
  <si>
    <t xml:space="preserve"> </t>
  </si>
  <si>
    <t>=</t>
  </si>
  <si>
    <t>infection factor</t>
  </si>
  <si>
    <t xml:space="preserve">Mortality index on total affected </t>
  </si>
  <si>
    <t>infection rate on tested</t>
  </si>
  <si>
    <t>Mortality on tested</t>
  </si>
  <si>
    <t>Increment in unit by day</t>
  </si>
  <si>
    <t>Infection coefficent</t>
  </si>
  <si>
    <t>Deceaded by day</t>
  </si>
  <si>
    <t>Healed by day</t>
  </si>
  <si>
    <t>Intensive_care</t>
  </si>
  <si>
    <t xml:space="preserve">Hospitalized_light_symthoms </t>
  </si>
  <si>
    <t>Tot_hospitalized</t>
  </si>
  <si>
    <t>Quarantine_at_home</t>
  </si>
  <si>
    <t>Tot_positively_infected</t>
  </si>
  <si>
    <t>New_positive</t>
  </si>
  <si>
    <t>Healed</t>
  </si>
  <si>
    <t>Total_#of_cases</t>
  </si>
  <si>
    <t>Tests</t>
  </si>
  <si>
    <t>Healed_by_day</t>
  </si>
  <si>
    <t>Infection_factor</t>
  </si>
  <si>
    <t>Test per day</t>
  </si>
  <si>
    <t>infected_per_day</t>
  </si>
  <si>
    <t xml:space="preserve">Deceased </t>
  </si>
  <si>
    <t>Deceased  by day</t>
  </si>
  <si>
    <t>Deceased by day</t>
  </si>
  <si>
    <t>Test_per_day</t>
  </si>
  <si>
    <t>Infected_per_day</t>
  </si>
  <si>
    <t>% deceased over infected</t>
  </si>
  <si>
    <t>healed per day</t>
  </si>
  <si>
    <t>note_it</t>
  </si>
  <si>
    <t>deceased per day</t>
  </si>
  <si>
    <t>variazione_totale_positivi</t>
  </si>
  <si>
    <t>Variation positive</t>
  </si>
  <si>
    <t>Emilia-Romagna</t>
  </si>
  <si>
    <t>Infected index over tested</t>
  </si>
  <si>
    <t>Stndard dev</t>
  </si>
  <si>
    <t>New positive_normalized</t>
  </si>
  <si>
    <t>casi_testati</t>
  </si>
  <si>
    <t>_x000D_</t>
  </si>
  <si>
    <t>dc-IT-0039_x000D_</t>
  </si>
  <si>
    <t>casi_da_sospetto_diagnostico</t>
  </si>
  <si>
    <t>casi_da_screening</t>
  </si>
  <si>
    <t>pd-IT-0003_x000D_</t>
  </si>
  <si>
    <t>pd-IT-0005_x000D_</t>
  </si>
  <si>
    <t>nd-IT-0002_x000D_</t>
  </si>
  <si>
    <t>nd-IT-0004;nd-IT-0006_x000D_</t>
  </si>
  <si>
    <t>nd-IT-0009_x000D_</t>
  </si>
  <si>
    <t>nd-IT-0012;nd-IT-0014_x000D_</t>
  </si>
  <si>
    <t>pd-IT-0007_x000D_</t>
  </si>
  <si>
    <t>pd-IT-0009_x000D_</t>
  </si>
  <si>
    <t>pd-IT-0011_x000D_</t>
  </si>
  <si>
    <t>dc-IT-0003_x000D_</t>
  </si>
  <si>
    <t>dc-IT-0005_x000D_</t>
  </si>
  <si>
    <t>dc-IT-0007_x000D_</t>
  </si>
  <si>
    <t>pd-IT-0013_x000D_</t>
  </si>
  <si>
    <t>pd-IT-0015;pd-IT-0017_x000D_</t>
  </si>
  <si>
    <t>dc-IT-0009;dc-IT-0011_x000D_</t>
  </si>
  <si>
    <t>dc-IT-0013_x000D_</t>
  </si>
  <si>
    <t>dc-IT-0015_x000D_</t>
  </si>
  <si>
    <t>dc-IT-0017_x000D_</t>
  </si>
  <si>
    <t>dc-IT-0019_x000D_</t>
  </si>
  <si>
    <t>dc-IT-0021_x000D_</t>
  </si>
  <si>
    <t>dc-IT-0023_x000D_</t>
  </si>
  <si>
    <t>dc-IT-0025_x000D_</t>
  </si>
  <si>
    <t>dc-IT-0027_x000D_</t>
  </si>
  <si>
    <t>dc-IT-0029_x000D_</t>
  </si>
  <si>
    <t>dc-IT-0031_x000D_</t>
  </si>
  <si>
    <t>pd-IT-0019_x000D_</t>
  </si>
  <si>
    <t>dc-IT-0033_x000D_</t>
  </si>
  <si>
    <t>pd-IT-0021_x000D_</t>
  </si>
  <si>
    <t>dc-IT-0035_x000D_</t>
  </si>
  <si>
    <t>dc-IT-0037_x000D_</t>
  </si>
  <si>
    <t>nd-IT-0016_x000D_</t>
  </si>
  <si>
    <t>pd-IT-0023_x000D_</t>
  </si>
  <si>
    <t>dc-IT-0041;dc-IT-0043_x000D_</t>
  </si>
  <si>
    <t>dc-IT-0045;dc-IT-0047_x000D_</t>
  </si>
  <si>
    <t>dc-IT-0049_x000D_</t>
  </si>
  <si>
    <t>dc-IT-0051_x000D_</t>
  </si>
  <si>
    <t>dc-IT-0053_x000D_</t>
  </si>
  <si>
    <t>dc-IT-0055_x000D_</t>
  </si>
  <si>
    <t>dc-IT-0057;dc-IT-0059_x000D_</t>
  </si>
  <si>
    <t>dc-IT-0061;dc-IT-0063_x000D_</t>
  </si>
  <si>
    <t>dc-IT-0065_x000D_</t>
  </si>
  <si>
    <t>dc-IT-0067;dc-IT-0069_x000D_</t>
  </si>
  <si>
    <t>dc-IT-0071_x000D_</t>
  </si>
  <si>
    <t>region</t>
  </si>
  <si>
    <t>male</t>
  </si>
  <si>
    <t>female</t>
  </si>
  <si>
    <t>tot</t>
  </si>
  <si>
    <t>Italia</t>
  </si>
  <si>
    <t>Valle d'Aosta / Vallée d'Aoste</t>
  </si>
  <si>
    <t>Trentino Alto Adige / Südtirol</t>
  </si>
  <si>
    <t>Provincia Autonoma Bolzano / Bozen</t>
  </si>
  <si>
    <t>Provincia Autonoma Trento</t>
  </si>
  <si>
    <t>Friuli-Venezia Giulia</t>
  </si>
  <si>
    <t>city</t>
  </si>
  <si>
    <t>Torino</t>
  </si>
  <si>
    <t>Vercelli</t>
  </si>
  <si>
    <t>Novara</t>
  </si>
  <si>
    <t>Cuneo</t>
  </si>
  <si>
    <t>Asti</t>
  </si>
  <si>
    <t>Alessandria</t>
  </si>
  <si>
    <t>Biella</t>
  </si>
  <si>
    <t>Verbano-Cusio-Ossola</t>
  </si>
  <si>
    <t>Imperia</t>
  </si>
  <si>
    <t>Savona</t>
  </si>
  <si>
    <t>Genova</t>
  </si>
  <si>
    <t>La Spezia</t>
  </si>
  <si>
    <t>Varese</t>
  </si>
  <si>
    <t>Como</t>
  </si>
  <si>
    <t>Sondrio</t>
  </si>
  <si>
    <t>Milano</t>
  </si>
  <si>
    <t>Bergamo</t>
  </si>
  <si>
    <t>Brescia</t>
  </si>
  <si>
    <t>Pavia</t>
  </si>
  <si>
    <t>Cremona</t>
  </si>
  <si>
    <t>Mantova</t>
  </si>
  <si>
    <t>Lecco</t>
  </si>
  <si>
    <t>Lodi</t>
  </si>
  <si>
    <t>Monza e della Brianza</t>
  </si>
  <si>
    <t>Bolzano / Bozen</t>
  </si>
  <si>
    <t>Trento</t>
  </si>
  <si>
    <t>Verona</t>
  </si>
  <si>
    <t>Vicenza</t>
  </si>
  <si>
    <t>Belluno</t>
  </si>
  <si>
    <t>Treviso</t>
  </si>
  <si>
    <t>Venezia</t>
  </si>
  <si>
    <t>Padova</t>
  </si>
  <si>
    <t>Rovigo</t>
  </si>
  <si>
    <t>Udine</t>
  </si>
  <si>
    <t>Gorizia</t>
  </si>
  <si>
    <t>Trieste</t>
  </si>
  <si>
    <t>Pordenone</t>
  </si>
  <si>
    <t>Piacenza</t>
  </si>
  <si>
    <t>Parma</t>
  </si>
  <si>
    <t>Reggio nell'Emilia</t>
  </si>
  <si>
    <t>Modena</t>
  </si>
  <si>
    <t>Bologna</t>
  </si>
  <si>
    <t>Ferrara</t>
  </si>
  <si>
    <t>Ravenna</t>
  </si>
  <si>
    <t>Forlì-Cesena</t>
  </si>
  <si>
    <t>Rimini</t>
  </si>
  <si>
    <t>Massa-Carrara</t>
  </si>
  <si>
    <t>Lucca</t>
  </si>
  <si>
    <t>Pistoia</t>
  </si>
  <si>
    <t>Firenze</t>
  </si>
  <si>
    <t>Livorno</t>
  </si>
  <si>
    <t>Pisa</t>
  </si>
  <si>
    <t>Arezzo</t>
  </si>
  <si>
    <t>Siena</t>
  </si>
  <si>
    <t>Grosseto</t>
  </si>
  <si>
    <t>Prato</t>
  </si>
  <si>
    <t>Perugia</t>
  </si>
  <si>
    <t>Terni</t>
  </si>
  <si>
    <t>Pesaro e Urbino</t>
  </si>
  <si>
    <t>Ancona</t>
  </si>
  <si>
    <t>Macerata</t>
  </si>
  <si>
    <t>Ascoli Piceno</t>
  </si>
  <si>
    <t>Fermo</t>
  </si>
  <si>
    <t>Viterbo</t>
  </si>
  <si>
    <t>Rieti</t>
  </si>
  <si>
    <t>Roma</t>
  </si>
  <si>
    <t>Latina</t>
  </si>
  <si>
    <t>Frosinone</t>
  </si>
  <si>
    <t>L'Aquila</t>
  </si>
  <si>
    <t>Teramo</t>
  </si>
  <si>
    <t>Pescara</t>
  </si>
  <si>
    <t>Chieti</t>
  </si>
  <si>
    <t>Campobasso</t>
  </si>
  <si>
    <t>Isernia</t>
  </si>
  <si>
    <t>Caserta</t>
  </si>
  <si>
    <t>Benevento</t>
  </si>
  <si>
    <t>Napoli</t>
  </si>
  <si>
    <t>Avellino</t>
  </si>
  <si>
    <t>Salerno</t>
  </si>
  <si>
    <t>Foggia</t>
  </si>
  <si>
    <t>Bari</t>
  </si>
  <si>
    <t>Taranto</t>
  </si>
  <si>
    <t>Brindisi</t>
  </si>
  <si>
    <t>Lecce</t>
  </si>
  <si>
    <t>Barletta-Andria-Trani</t>
  </si>
  <si>
    <t>Potenza</t>
  </si>
  <si>
    <t>Matera</t>
  </si>
  <si>
    <t>Cosenza</t>
  </si>
  <si>
    <t>Catanzaro</t>
  </si>
  <si>
    <t>Reggio di Calabria</t>
  </si>
  <si>
    <t>Crotone</t>
  </si>
  <si>
    <t>Vibo Valentia</t>
  </si>
  <si>
    <t>Trapani</t>
  </si>
  <si>
    <t>Palermo</t>
  </si>
  <si>
    <t>Messina</t>
  </si>
  <si>
    <t>Agrigento</t>
  </si>
  <si>
    <t>Caltanissetta</t>
  </si>
  <si>
    <t>Enna</t>
  </si>
  <si>
    <t>Catania</t>
  </si>
  <si>
    <t>Ragusa</t>
  </si>
  <si>
    <t>Siracusa</t>
  </si>
  <si>
    <t>Sassari</t>
  </si>
  <si>
    <t>Nuoro</t>
  </si>
  <si>
    <t>Cagliari</t>
  </si>
  <si>
    <t>Oristano</t>
  </si>
  <si>
    <t>Sud Sardegna</t>
  </si>
  <si>
    <t>Pop</t>
  </si>
  <si>
    <t>Morti</t>
  </si>
  <si>
    <t>%</t>
  </si>
  <si>
    <t>covid</t>
  </si>
  <si>
    <t>weight of COVID on deceased</t>
  </si>
  <si>
    <t xml:space="preserve">% deceased </t>
  </si>
  <si>
    <t>% covid</t>
  </si>
  <si>
    <t>% infettati su testati</t>
  </si>
  <si>
    <t>% testati su pop totale</t>
  </si>
  <si>
    <t>% terapia intensiva su tot infetti</t>
  </si>
  <si>
    <t>% Asintomatici</t>
  </si>
  <si>
    <t>%Ricoverati con sintomi su tot infetti</t>
  </si>
  <si>
    <t>Test su popolazione</t>
  </si>
  <si>
    <t>Picco Aprile</t>
  </si>
  <si>
    <t>Oggi</t>
  </si>
  <si>
    <t>Valore assuluti pop</t>
  </si>
  <si>
    <t>test_per_giorno</t>
  </si>
  <si>
    <t>%deceduti su infetti</t>
  </si>
  <si>
    <t>%deceduti su deceduti 2019</t>
  </si>
  <si>
    <t>Indici</t>
  </si>
  <si>
    <t>%infetti su tests</t>
  </si>
  <si>
    <t>%asintomatici su infetti</t>
  </si>
  <si>
    <t>% TI su infetti</t>
  </si>
  <si>
    <t>%test su tot pop</t>
  </si>
  <si>
    <t>ospedlizzati x giorno</t>
  </si>
  <si>
    <t>Terapia int x day</t>
  </si>
  <si>
    <t>%Morti su Morti 2018(istat)</t>
  </si>
  <si>
    <t>Popolazione testata</t>
  </si>
  <si>
    <t>Valore %</t>
  </si>
  <si>
    <t>Assoluto</t>
  </si>
  <si>
    <t>1 - Ondata</t>
  </si>
  <si>
    <t>2 - Ondata</t>
  </si>
  <si>
    <t>Popolazione Totale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</si>
</sst>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yyyy\-mm\-dd;@"/>
    <numFmt numFmtId="166" formatCode="0.000000000"/>
    <numFmt numFmtId="167" formatCode="m/d;@"/>
    <numFmt numFmtId="168" formatCode="0.000"/>
    <numFmt numFmtId="169" formatCode="0.000%"/>
    <numFmt numFmtId="170" formatCode="0_);\(0\)"/>
    <numFmt numFmtId="171" formatCode="_(* #,##0_);_(* \(#,##0\);_(* &quot;-&quot;??_);_(@_)"/>
    <numFmt numFmtId="172" formatCode="0.0000"/>
  </numFmts>
  <fonts count="4" x14ac:knownFonts="1">
    <font>
      <sz val="11"/>
      <color theme="1"/>
      <name val="Calibri"/>
      <family val="2"/>
      <scheme val="minor"/>
    </font>
    <font>
      <sz val="11"/>
      <color theme="1"/>
      <name val="Calibri"/>
      <family val="2"/>
      <scheme val="minor"/>
    </font>
    <font>
      <sz val="9"/>
      <color rgb="FF000000"/>
      <name val="Arial"/>
      <family val="2"/>
    </font>
    <font>
      <sz val="8"/>
      <name val="Calibri"/>
      <family val="2"/>
      <scheme val="minor"/>
    </font>
  </fonts>
  <fills count="3">
    <fill>
      <patternFill patternType="none"/>
    </fill>
    <fill>
      <patternFill patternType="gray125"/>
    </fill>
    <fill>
      <patternFill patternType="solid">
        <fgColor theme="9" tint="0.79998168889431442"/>
        <bgColor theme="9" tint="0.79998168889431442"/>
      </patternFill>
    </fill>
  </fills>
  <borders count="4">
    <border>
      <left/>
      <right/>
      <top/>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theme="9" tint="0.39997558519241921"/>
      </left>
      <right/>
      <top style="thin">
        <color theme="9" tint="0.39997558519241921"/>
      </top>
      <bottom style="thin">
        <color theme="9" tint="0.39997558519241921"/>
      </bottom>
      <diagonal/>
    </border>
  </borders>
  <cellStyleXfs count="3">
    <xf numFmtId="0" fontId="0" fillId="0" borderId="0"/>
    <xf numFmtId="9" fontId="1" fillId="0" borderId="0" applyFont="0" applyFill="0" applyBorder="0" applyAlignment="0" applyProtection="0"/>
    <xf numFmtId="164" fontId="1" fillId="0" borderId="0" applyFont="0" applyFill="0" applyBorder="0" applyAlignment="0" applyProtection="0"/>
  </cellStyleXfs>
  <cellXfs count="26">
    <xf numFmtId="0" fontId="0" fillId="0" borderId="0" xfId="0"/>
    <xf numFmtId="0" fontId="0" fillId="0" borderId="0" xfId="0" applyNumberFormat="1"/>
    <xf numFmtId="165" fontId="0" fillId="0" borderId="0" xfId="0" applyNumberFormat="1"/>
    <xf numFmtId="1" fontId="0" fillId="0" borderId="0" xfId="0" applyNumberFormat="1"/>
    <xf numFmtId="2" fontId="0" fillId="0" borderId="0" xfId="0" applyNumberFormat="1"/>
    <xf numFmtId="166" fontId="0" fillId="0" borderId="0" xfId="0" applyNumberFormat="1"/>
    <xf numFmtId="167" fontId="0" fillId="0" borderId="0" xfId="0" applyNumberFormat="1"/>
    <xf numFmtId="1" fontId="0" fillId="0" borderId="0" xfId="1" applyNumberFormat="1" applyFont="1"/>
    <xf numFmtId="168" fontId="0" fillId="0" borderId="0" xfId="0" applyNumberFormat="1"/>
    <xf numFmtId="1" fontId="0" fillId="0" borderId="1" xfId="1" applyNumberFormat="1" applyFont="1" applyBorder="1"/>
    <xf numFmtId="2" fontId="0" fillId="0" borderId="2" xfId="0" applyNumberFormat="1" applyFont="1" applyBorder="1"/>
    <xf numFmtId="0" fontId="2" fillId="0" borderId="0" xfId="0" applyFont="1"/>
    <xf numFmtId="10" fontId="0" fillId="0" borderId="0" xfId="1" applyNumberFormat="1" applyFont="1"/>
    <xf numFmtId="169" fontId="0" fillId="0" borderId="0" xfId="1" applyNumberFormat="1" applyFont="1"/>
    <xf numFmtId="0" fontId="0" fillId="0" borderId="0" xfId="0" applyAlignment="1">
      <alignment vertical="center"/>
    </xf>
    <xf numFmtId="167" fontId="0" fillId="0" borderId="0" xfId="0" applyNumberFormat="1" applyAlignment="1">
      <alignment vertical="center"/>
    </xf>
    <xf numFmtId="0" fontId="0" fillId="0" borderId="0" xfId="0" applyNumberFormat="1" applyAlignment="1">
      <alignment vertical="center"/>
    </xf>
    <xf numFmtId="168" fontId="0" fillId="0" borderId="0" xfId="0" applyNumberFormat="1" applyAlignment="1">
      <alignment vertical="center"/>
    </xf>
    <xf numFmtId="170" fontId="0" fillId="0" borderId="0" xfId="2" applyNumberFormat="1" applyFont="1"/>
    <xf numFmtId="0" fontId="0" fillId="2" borderId="3" xfId="0" applyNumberFormat="1" applyFont="1" applyFill="1" applyBorder="1"/>
    <xf numFmtId="0" fontId="0" fillId="0" borderId="0" xfId="0" applyNumberFormat="1" applyFont="1" applyBorder="1"/>
    <xf numFmtId="0" fontId="0" fillId="0" borderId="3" xfId="0" applyBorder="1"/>
    <xf numFmtId="171" fontId="0" fillId="0" borderId="0" xfId="2" applyNumberFormat="1" applyFont="1"/>
    <xf numFmtId="164" fontId="0" fillId="0" borderId="0" xfId="0" applyNumberFormat="1"/>
    <xf numFmtId="171" fontId="0" fillId="0" borderId="0" xfId="0" applyNumberFormat="1"/>
    <xf numFmtId="172" fontId="0" fillId="0" borderId="0" xfId="0" applyNumberFormat="1"/>
  </cellXfs>
  <cellStyles count="3">
    <cellStyle name="Comma" xfId="2" builtinId="3"/>
    <cellStyle name="Normal" xfId="0" builtinId="0"/>
    <cellStyle name="Per cent" xfId="1" builtinId="5"/>
  </cellStyles>
  <dxfs count="25">
    <dxf>
      <numFmt numFmtId="0" formatCode="General"/>
    </dxf>
    <dxf>
      <numFmt numFmtId="0" formatCode="General"/>
    </dxf>
    <dxf>
      <numFmt numFmtId="0" formatCode="General"/>
    </dxf>
    <dxf>
      <numFmt numFmtId="0" formatCode="General"/>
    </dxf>
    <dxf>
      <numFmt numFmtId="168" formatCode="0.000"/>
    </dxf>
    <dxf>
      <numFmt numFmtId="0" formatCode="General"/>
    </dxf>
    <dxf>
      <numFmt numFmtId="0" formatCode="General"/>
    </dxf>
    <dxf>
      <numFmt numFmtId="0" formatCode="General"/>
    </dxf>
    <dxf>
      <numFmt numFmtId="0" formatCode="General"/>
    </dxf>
    <dxf>
      <numFmt numFmtId="0" formatCode="General"/>
    </dxf>
    <dxf>
      <numFmt numFmtId="167" formatCode="m/d;@"/>
    </dxf>
    <dxf>
      <numFmt numFmtId="167" formatCode="m/d;@"/>
    </dxf>
    <dxf>
      <numFmt numFmtId="170" formatCode="0_);\(0\)"/>
    </dxf>
    <dxf>
      <numFmt numFmtId="0" formatCode="General"/>
    </dxf>
    <dxf>
      <numFmt numFmtId="0" formatCode="General"/>
    </dxf>
    <dxf>
      <numFmt numFmtId="0" formatCode="General"/>
    </dxf>
    <dxf>
      <numFmt numFmtId="0" formatCode="General"/>
    </dxf>
    <dxf>
      <numFmt numFmtId="0" formatCode="General"/>
    </dxf>
    <dxf>
      <numFmt numFmtId="167" formatCode="m/d;@"/>
    </dxf>
    <dxf>
      <numFmt numFmtId="0" formatCode="General"/>
    </dxf>
    <dxf>
      <numFmt numFmtId="0" formatCode="General"/>
    </dxf>
    <dxf>
      <numFmt numFmtId="2" formatCode="0.00"/>
    </dxf>
    <dxf>
      <numFmt numFmtId="1" formatCode="0"/>
    </dxf>
    <dxf>
      <numFmt numFmtId="0" formatCode="General"/>
    </dxf>
    <dxf>
      <numFmt numFmtId="167" formatCode="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baseline="0">
                <a:solidFill>
                  <a:schemeClr val="tx1">
                    <a:lumMod val="65000"/>
                    <a:lumOff val="35000"/>
                  </a:schemeClr>
                </a:solidFill>
                <a:latin typeface="+mn-lt"/>
                <a:ea typeface="+mn-ea"/>
                <a:cs typeface="+mn-cs"/>
              </a:defRPr>
            </a:pPr>
            <a:r>
              <a:rPr lang="en-US" sz="1400" b="0" i="0" u="none" strike="noStrike" baseline="0">
                <a:solidFill>
                  <a:sysClr val="windowText" lastClr="000000">
                    <a:lumMod val="65000"/>
                    <a:lumOff val="35000"/>
                  </a:sysClr>
                </a:solidFill>
                <a:latin typeface="Calibri" panose="020F0502020204030204"/>
              </a:rPr>
              <a:t>Total positive as today - by region</a:t>
            </a:r>
          </a:p>
        </c:rich>
      </c:tx>
      <c:overlay val="0"/>
      <c:spPr>
        <a:noFill/>
        <a:ln>
          <a:noFill/>
        </a:ln>
        <a:effectLst/>
      </c:spPr>
      <c:txPr>
        <a:bodyPr rot="0" spcFirstLastPara="1" vertOverflow="ellipsis" vert="horz" wrap="square" anchor="ctr" anchorCtr="1"/>
        <a:lstStyle/>
        <a:p>
          <a:pPr>
            <a:defRPr sz="1400" b="0" i="0" u="none" strike="noStrike" baseline="0">
              <a:solidFill>
                <a:schemeClr val="tx1">
                  <a:lumMod val="65000"/>
                  <a:lumOff val="35000"/>
                </a:schemeClr>
              </a:solidFill>
              <a:latin typeface="+mn-lt"/>
              <a:ea typeface="+mn-ea"/>
              <a:cs typeface="+mn-cs"/>
            </a:defRPr>
          </a:pPr>
          <a:endParaRPr lang="en-IT"/>
        </a:p>
      </c:txPr>
    </c:title>
    <c:autoTitleDeleted val="0"/>
    <c:plotArea>
      <c:layout/>
      <c:barChart>
        <c:barDir val="col"/>
        <c:grouping val="clustered"/>
        <c:varyColors val="0"/>
        <c:ser>
          <c:idx val="0"/>
          <c:order val="0"/>
          <c:tx>
            <c:strRef>
              <c:f>Sheet5!$F$2</c:f>
              <c:strCache>
                <c:ptCount val="1"/>
                <c:pt idx="0">
                  <c:v>totale_positivi_alla_data</c:v>
                </c:pt>
              </c:strCache>
            </c:strRef>
          </c:tx>
          <c:spPr>
            <a:solidFill>
              <a:schemeClr val="accent1"/>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baseline="0">
                    <a:solidFill>
                      <a:schemeClr val="tx1">
                        <a:lumMod val="65000"/>
                        <a:lumOff val="35000"/>
                      </a:schemeClr>
                    </a:solidFill>
                    <a:latin typeface="+mn-lt"/>
                    <a:ea typeface="+mn-ea"/>
                    <a:cs typeface="+mn-cs"/>
                  </a:defRPr>
                </a:pPr>
                <a:endParaRPr lang="en-IT"/>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Sheet5!$A$3:$A$23</c:f>
              <c:strCache>
                <c:ptCount val="21"/>
                <c:pt idx="0">
                  <c:v>Abruzzo</c:v>
                </c:pt>
                <c:pt idx="1">
                  <c:v>Basilicata</c:v>
                </c:pt>
                <c:pt idx="2">
                  <c:v>Calabria</c:v>
                </c:pt>
                <c:pt idx="3">
                  <c:v>Campania</c:v>
                </c:pt>
                <c:pt idx="4">
                  <c:v>Emilia-Romagna</c:v>
                </c:pt>
                <c:pt idx="5">
                  <c:v>Friuli Venezia Giulia</c:v>
                </c:pt>
                <c:pt idx="6">
                  <c:v>Lazio</c:v>
                </c:pt>
                <c:pt idx="7">
                  <c:v>Liguria</c:v>
                </c:pt>
                <c:pt idx="8">
                  <c:v>Lombardia</c:v>
                </c:pt>
                <c:pt idx="9">
                  <c:v>Marche</c:v>
                </c:pt>
                <c:pt idx="10">
                  <c:v>Molise</c:v>
                </c:pt>
                <c:pt idx="11">
                  <c:v>P.A. Bolzano</c:v>
                </c:pt>
                <c:pt idx="12">
                  <c:v>P.A. Trento</c:v>
                </c:pt>
                <c:pt idx="13">
                  <c:v>Piemonte</c:v>
                </c:pt>
                <c:pt idx="14">
                  <c:v>Puglia</c:v>
                </c:pt>
                <c:pt idx="15">
                  <c:v>Sardegna</c:v>
                </c:pt>
                <c:pt idx="16">
                  <c:v>Sicilia</c:v>
                </c:pt>
                <c:pt idx="17">
                  <c:v>Toscana</c:v>
                </c:pt>
                <c:pt idx="18">
                  <c:v>Umbria</c:v>
                </c:pt>
                <c:pt idx="19">
                  <c:v>Valle d'Aosta</c:v>
                </c:pt>
                <c:pt idx="20">
                  <c:v>Veneto</c:v>
                </c:pt>
              </c:strCache>
            </c:strRef>
          </c:cat>
          <c:val>
            <c:numRef>
              <c:f>Sheet5!$F$3:$F$23</c:f>
              <c:numCache>
                <c:formatCode>General</c:formatCode>
                <c:ptCount val="21"/>
                <c:pt idx="0">
                  <c:v>1532</c:v>
                </c:pt>
                <c:pt idx="1">
                  <c:v>495</c:v>
                </c:pt>
                <c:pt idx="2">
                  <c:v>773</c:v>
                </c:pt>
                <c:pt idx="3">
                  <c:v>11226</c:v>
                </c:pt>
                <c:pt idx="4">
                  <c:v>6673</c:v>
                </c:pt>
                <c:pt idx="5">
                  <c:v>1372</c:v>
                </c:pt>
                <c:pt idx="6">
                  <c:v>10122</c:v>
                </c:pt>
                <c:pt idx="7">
                  <c:v>2741</c:v>
                </c:pt>
                <c:pt idx="8">
                  <c:v>13379</c:v>
                </c:pt>
                <c:pt idx="9">
                  <c:v>1329</c:v>
                </c:pt>
                <c:pt idx="10">
                  <c:v>164</c:v>
                </c:pt>
                <c:pt idx="11">
                  <c:v>973</c:v>
                </c:pt>
                <c:pt idx="12">
                  <c:v>680</c:v>
                </c:pt>
                <c:pt idx="13">
                  <c:v>5463</c:v>
                </c:pt>
                <c:pt idx="14">
                  <c:v>3913</c:v>
                </c:pt>
                <c:pt idx="15">
                  <c:v>2859</c:v>
                </c:pt>
                <c:pt idx="16">
                  <c:v>4682</c:v>
                </c:pt>
                <c:pt idx="17">
                  <c:v>6504</c:v>
                </c:pt>
                <c:pt idx="18">
                  <c:v>1370</c:v>
                </c:pt>
                <c:pt idx="19">
                  <c:v>225</c:v>
                </c:pt>
                <c:pt idx="20">
                  <c:v>6289</c:v>
                </c:pt>
              </c:numCache>
            </c:numRef>
          </c:val>
          <c:extLst>
            <c:ext xmlns:c16="http://schemas.microsoft.com/office/drawing/2014/chart" uri="{C3380CC4-5D6E-409C-BE32-E72D297353CC}">
              <c16:uniqueId val="{00000000-0827-4B5F-A829-8436C12554D6}"/>
            </c:ext>
          </c:extLst>
        </c:ser>
        <c:dLbls>
          <c:showLegendKey val="0"/>
          <c:showVal val="0"/>
          <c:showCatName val="0"/>
          <c:showSerName val="0"/>
          <c:showPercent val="0"/>
          <c:showBubbleSize val="0"/>
        </c:dLbls>
        <c:gapWidth val="6"/>
        <c:axId val="1241177416"/>
        <c:axId val="1241177088"/>
        <c:extLst>
          <c:ext xmlns:c15="http://schemas.microsoft.com/office/drawing/2012/chart" uri="{02D57815-91ED-43cb-92C2-25804820EDAC}">
            <c15:filteredBarSeries>
              <c15:ser>
                <c:idx val="1"/>
                <c:order val="1"/>
                <c:tx>
                  <c:strRef>
                    <c:extLst>
                      <c:ext uri="{02D57815-91ED-43cb-92C2-25804820EDAC}">
                        <c15:formulaRef>
                          <c15:sqref>Sheet5!$I$2</c15:sqref>
                        </c15:formulaRef>
                      </c:ext>
                    </c:extLst>
                    <c:strCache>
                      <c:ptCount val="1"/>
                      <c:pt idx="0">
                        <c:v>deceduti</c:v>
                      </c:pt>
                    </c:strCache>
                  </c:strRef>
                </c:tx>
                <c:spPr>
                  <a:solidFill>
                    <a:schemeClr val="accent2"/>
                  </a:solid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baseline="0">
                          <a:solidFill>
                            <a:schemeClr val="tx1">
                              <a:lumMod val="65000"/>
                              <a:lumOff val="35000"/>
                            </a:schemeClr>
                          </a:solidFill>
                          <a:latin typeface="+mn-lt"/>
                          <a:ea typeface="+mn-ea"/>
                          <a:cs typeface="+mn-cs"/>
                        </a:defRPr>
                      </a:pPr>
                      <a:endParaRPr lang="en-IT"/>
                    </a:p>
                  </c:txPr>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Sheet5!$A$3:$A$23</c15:sqref>
                        </c15:formulaRef>
                      </c:ext>
                    </c:extLst>
                    <c:strCache>
                      <c:ptCount val="21"/>
                      <c:pt idx="0">
                        <c:v>Abruzzo</c:v>
                      </c:pt>
                      <c:pt idx="1">
                        <c:v>Basilicata</c:v>
                      </c:pt>
                      <c:pt idx="2">
                        <c:v>Calabria</c:v>
                      </c:pt>
                      <c:pt idx="3">
                        <c:v>Campania</c:v>
                      </c:pt>
                      <c:pt idx="4">
                        <c:v>Emilia-Romagna</c:v>
                      </c:pt>
                      <c:pt idx="5">
                        <c:v>Friuli Venezia Giulia</c:v>
                      </c:pt>
                      <c:pt idx="6">
                        <c:v>Lazio</c:v>
                      </c:pt>
                      <c:pt idx="7">
                        <c:v>Liguria</c:v>
                      </c:pt>
                      <c:pt idx="8">
                        <c:v>Lombardia</c:v>
                      </c:pt>
                      <c:pt idx="9">
                        <c:v>Marche</c:v>
                      </c:pt>
                      <c:pt idx="10">
                        <c:v>Molise</c:v>
                      </c:pt>
                      <c:pt idx="11">
                        <c:v>P.A. Bolzano</c:v>
                      </c:pt>
                      <c:pt idx="12">
                        <c:v>P.A. Trento</c:v>
                      </c:pt>
                      <c:pt idx="13">
                        <c:v>Piemonte</c:v>
                      </c:pt>
                      <c:pt idx="14">
                        <c:v>Puglia</c:v>
                      </c:pt>
                      <c:pt idx="15">
                        <c:v>Sardegna</c:v>
                      </c:pt>
                      <c:pt idx="16">
                        <c:v>Sicilia</c:v>
                      </c:pt>
                      <c:pt idx="17">
                        <c:v>Toscana</c:v>
                      </c:pt>
                      <c:pt idx="18">
                        <c:v>Umbria</c:v>
                      </c:pt>
                      <c:pt idx="19">
                        <c:v>Valle d'Aosta</c:v>
                      </c:pt>
                      <c:pt idx="20">
                        <c:v>Veneto</c:v>
                      </c:pt>
                    </c:strCache>
                  </c:strRef>
                </c:cat>
                <c:val>
                  <c:numRef>
                    <c:extLst>
                      <c:ext uri="{02D57815-91ED-43cb-92C2-25804820EDAC}">
                        <c15:formulaRef>
                          <c15:sqref>Sheet5!$I$3:$I$23</c15:sqref>
                        </c15:formulaRef>
                      </c:ext>
                    </c:extLst>
                    <c:numCache>
                      <c:formatCode>General</c:formatCode>
                      <c:ptCount val="21"/>
                      <c:pt idx="0">
                        <c:v>488</c:v>
                      </c:pt>
                      <c:pt idx="1">
                        <c:v>35</c:v>
                      </c:pt>
                      <c:pt idx="2">
                        <c:v>104</c:v>
                      </c:pt>
                      <c:pt idx="3">
                        <c:v>479</c:v>
                      </c:pt>
                      <c:pt idx="4">
                        <c:v>4496</c:v>
                      </c:pt>
                      <c:pt idx="5">
                        <c:v>356</c:v>
                      </c:pt>
                      <c:pt idx="6">
                        <c:v>984</c:v>
                      </c:pt>
                      <c:pt idx="7">
                        <c:v>1621</c:v>
                      </c:pt>
                      <c:pt idx="8">
                        <c:v>16988</c:v>
                      </c:pt>
                      <c:pt idx="9">
                        <c:v>992</c:v>
                      </c:pt>
                      <c:pt idx="10">
                        <c:v>26</c:v>
                      </c:pt>
                      <c:pt idx="11">
                        <c:v>293</c:v>
                      </c:pt>
                      <c:pt idx="12">
                        <c:v>409</c:v>
                      </c:pt>
                      <c:pt idx="13">
                        <c:v>4180</c:v>
                      </c:pt>
                      <c:pt idx="14">
                        <c:v>614</c:v>
                      </c:pt>
                      <c:pt idx="15">
                        <c:v>166</c:v>
                      </c:pt>
                      <c:pt idx="16">
                        <c:v>339</c:v>
                      </c:pt>
                      <c:pt idx="17">
                        <c:v>1180</c:v>
                      </c:pt>
                      <c:pt idx="18">
                        <c:v>90</c:v>
                      </c:pt>
                      <c:pt idx="19">
                        <c:v>146</c:v>
                      </c:pt>
                      <c:pt idx="20">
                        <c:v>2219</c:v>
                      </c:pt>
                    </c:numCache>
                  </c:numRef>
                </c:val>
                <c:extLst>
                  <c:ext xmlns:c16="http://schemas.microsoft.com/office/drawing/2014/chart" uri="{C3380CC4-5D6E-409C-BE32-E72D297353CC}">
                    <c16:uniqueId val="{00000001-0827-4B5F-A829-8436C12554D6}"/>
                  </c:ext>
                </c:extLst>
              </c15:ser>
            </c15:filteredBarSeries>
          </c:ext>
        </c:extLst>
      </c:barChart>
      <c:catAx>
        <c:axId val="1241177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en-IT"/>
          </a:p>
        </c:txPr>
        <c:crossAx val="1241177088"/>
        <c:crosses val="autoZero"/>
        <c:auto val="1"/>
        <c:lblAlgn val="ctr"/>
        <c:lblOffset val="100"/>
        <c:noMultiLvlLbl val="0"/>
      </c:catAx>
      <c:valAx>
        <c:axId val="1241177088"/>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241177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IT"/>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Deceduti</a:t>
            </a:r>
            <a:r>
              <a:rPr lang="en-US" baseline="0"/>
              <a:t> % su popolazione regionale</a:t>
            </a:r>
          </a:p>
          <a:p>
            <a:pPr>
              <a:defRPr/>
            </a:pPr>
            <a:r>
              <a:rPr lang="en-US" baseline="0"/>
              <a:t>% COVID su popolazione regionale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T"/>
        </a:p>
      </c:txPr>
    </c:title>
    <c:autoTitleDeleted val="0"/>
    <c:plotArea>
      <c:layout/>
      <c:barChart>
        <c:barDir val="col"/>
        <c:grouping val="clustered"/>
        <c:varyColors val="0"/>
        <c:ser>
          <c:idx val="0"/>
          <c:order val="0"/>
          <c:tx>
            <c:strRef>
              <c:f>Sheet5!$D$28</c:f>
              <c:strCache>
                <c:ptCount val="1"/>
                <c:pt idx="0">
                  <c:v>% deceased </c:v>
                </c:pt>
              </c:strCache>
            </c:strRef>
          </c:tx>
          <c:spPr>
            <a:solidFill>
              <a:schemeClr val="accent1"/>
            </a:solidFill>
            <a:ln>
              <a:noFill/>
            </a:ln>
            <a:effectLst/>
          </c:spPr>
          <c:invertIfNegative val="0"/>
          <c:cat>
            <c:strRef>
              <c:f>Sheet5!$A$29:$A$50</c:f>
              <c:strCache>
                <c:ptCount val="22"/>
                <c:pt idx="0">
                  <c:v>Abruzzo</c:v>
                </c:pt>
                <c:pt idx="1">
                  <c:v>Basilicata</c:v>
                </c:pt>
                <c:pt idx="2">
                  <c:v>Calabria</c:v>
                </c:pt>
                <c:pt idx="3">
                  <c:v>Campania</c:v>
                </c:pt>
                <c:pt idx="4">
                  <c:v>Emilia-Romagna</c:v>
                </c:pt>
                <c:pt idx="5">
                  <c:v>Friuli-Venezia Giulia</c:v>
                </c:pt>
                <c:pt idx="6">
                  <c:v>Lazio</c:v>
                </c:pt>
                <c:pt idx="7">
                  <c:v>Liguria</c:v>
                </c:pt>
                <c:pt idx="8">
                  <c:v>Lombardia</c:v>
                </c:pt>
                <c:pt idx="9">
                  <c:v>Marche</c:v>
                </c:pt>
                <c:pt idx="10">
                  <c:v>Molise</c:v>
                </c:pt>
                <c:pt idx="11">
                  <c:v>P.A. Bolzano</c:v>
                </c:pt>
                <c:pt idx="12">
                  <c:v>P.A. Trento</c:v>
                </c:pt>
                <c:pt idx="13">
                  <c:v>Piemonte</c:v>
                </c:pt>
                <c:pt idx="14">
                  <c:v>Puglia</c:v>
                </c:pt>
                <c:pt idx="15">
                  <c:v>Sardegna</c:v>
                </c:pt>
                <c:pt idx="16">
                  <c:v>Sicilia</c:v>
                </c:pt>
                <c:pt idx="17">
                  <c:v>Toscana</c:v>
                </c:pt>
                <c:pt idx="18">
                  <c:v>Trentino Alto Adige / Südtirol</c:v>
                </c:pt>
                <c:pt idx="19">
                  <c:v>Umbria</c:v>
                </c:pt>
                <c:pt idx="20">
                  <c:v>Valle d'Aosta / Vallée d'Aoste</c:v>
                </c:pt>
                <c:pt idx="21">
                  <c:v>Veneto</c:v>
                </c:pt>
              </c:strCache>
            </c:strRef>
          </c:cat>
          <c:val>
            <c:numRef>
              <c:f>Sheet5!$D$29:$D$50</c:f>
              <c:numCache>
                <c:formatCode>General</c:formatCode>
                <c:ptCount val="22"/>
                <c:pt idx="0">
                  <c:v>1.1242408693720947</c:v>
                </c:pt>
                <c:pt idx="1">
                  <c:v>1.1223951132450165</c:v>
                </c:pt>
                <c:pt idx="2">
                  <c:v>1.0264451465448399</c:v>
                </c:pt>
                <c:pt idx="3">
                  <c:v>0.92881595323496369</c:v>
                </c:pt>
                <c:pt idx="4">
                  <c:v>1.1150589709069696</c:v>
                </c:pt>
                <c:pt idx="5">
                  <c:v>1.1950234323985416</c:v>
                </c:pt>
                <c:pt idx="6">
                  <c:v>0.97670395107427377</c:v>
                </c:pt>
                <c:pt idx="7">
                  <c:v>1.4410997928232738</c:v>
                </c:pt>
                <c:pt idx="8">
                  <c:v>0.9851772110543886</c:v>
                </c:pt>
                <c:pt idx="9">
                  <c:v>1.1311248682824027</c:v>
                </c:pt>
                <c:pt idx="10">
                  <c:v>1.2250839495144989</c:v>
                </c:pt>
                <c:pt idx="11">
                  <c:v>0.82637949180574355</c:v>
                </c:pt>
                <c:pt idx="12">
                  <c:v>0.92383263410221117</c:v>
                </c:pt>
                <c:pt idx="13">
                  <c:v>1.2401140191759523</c:v>
                </c:pt>
                <c:pt idx="14">
                  <c:v>0.96874083151543688</c:v>
                </c:pt>
                <c:pt idx="15">
                  <c:v>0.99829865425636966</c:v>
                </c:pt>
                <c:pt idx="16">
                  <c:v>1.0462703359827388</c:v>
                </c:pt>
                <c:pt idx="17">
                  <c:v>1.1669396295029801</c:v>
                </c:pt>
                <c:pt idx="18">
                  <c:v>0.87558928526570523</c:v>
                </c:pt>
                <c:pt idx="19">
                  <c:v>1.1448564953395775</c:v>
                </c:pt>
                <c:pt idx="20">
                  <c:v>1.1768830527246794</c:v>
                </c:pt>
                <c:pt idx="21">
                  <c:v>1.0012013764481313</c:v>
                </c:pt>
              </c:numCache>
            </c:numRef>
          </c:val>
          <c:extLst>
            <c:ext xmlns:c16="http://schemas.microsoft.com/office/drawing/2014/chart" uri="{C3380CC4-5D6E-409C-BE32-E72D297353CC}">
              <c16:uniqueId val="{00000000-E4C0-4618-BD1D-A3AE42B5461D}"/>
            </c:ext>
          </c:extLst>
        </c:ser>
        <c:ser>
          <c:idx val="1"/>
          <c:order val="1"/>
          <c:tx>
            <c:strRef>
              <c:f>Sheet5!$F$28</c:f>
              <c:strCache>
                <c:ptCount val="1"/>
                <c:pt idx="0">
                  <c:v>% covid</c:v>
                </c:pt>
              </c:strCache>
            </c:strRef>
          </c:tx>
          <c:spPr>
            <a:solidFill>
              <a:schemeClr val="accent2"/>
            </a:solidFill>
            <a:ln>
              <a:noFill/>
            </a:ln>
            <a:effectLst/>
          </c:spPr>
          <c:invertIfNegative val="0"/>
          <c:cat>
            <c:strRef>
              <c:f>Sheet5!$A$29:$A$50</c:f>
              <c:strCache>
                <c:ptCount val="22"/>
                <c:pt idx="0">
                  <c:v>Abruzzo</c:v>
                </c:pt>
                <c:pt idx="1">
                  <c:v>Basilicata</c:v>
                </c:pt>
                <c:pt idx="2">
                  <c:v>Calabria</c:v>
                </c:pt>
                <c:pt idx="3">
                  <c:v>Campania</c:v>
                </c:pt>
                <c:pt idx="4">
                  <c:v>Emilia-Romagna</c:v>
                </c:pt>
                <c:pt idx="5">
                  <c:v>Friuli-Venezia Giulia</c:v>
                </c:pt>
                <c:pt idx="6">
                  <c:v>Lazio</c:v>
                </c:pt>
                <c:pt idx="7">
                  <c:v>Liguria</c:v>
                </c:pt>
                <c:pt idx="8">
                  <c:v>Lombardia</c:v>
                </c:pt>
                <c:pt idx="9">
                  <c:v>Marche</c:v>
                </c:pt>
                <c:pt idx="10">
                  <c:v>Molise</c:v>
                </c:pt>
                <c:pt idx="11">
                  <c:v>P.A. Bolzano</c:v>
                </c:pt>
                <c:pt idx="12">
                  <c:v>P.A. Trento</c:v>
                </c:pt>
                <c:pt idx="13">
                  <c:v>Piemonte</c:v>
                </c:pt>
                <c:pt idx="14">
                  <c:v>Puglia</c:v>
                </c:pt>
                <c:pt idx="15">
                  <c:v>Sardegna</c:v>
                </c:pt>
                <c:pt idx="16">
                  <c:v>Sicilia</c:v>
                </c:pt>
                <c:pt idx="17">
                  <c:v>Toscana</c:v>
                </c:pt>
                <c:pt idx="18">
                  <c:v>Trentino Alto Adige / Südtirol</c:v>
                </c:pt>
                <c:pt idx="19">
                  <c:v>Umbria</c:v>
                </c:pt>
                <c:pt idx="20">
                  <c:v>Valle d'Aosta / Vallée d'Aoste</c:v>
                </c:pt>
                <c:pt idx="21">
                  <c:v>Veneto</c:v>
                </c:pt>
              </c:strCache>
            </c:strRef>
          </c:cat>
          <c:val>
            <c:numRef>
              <c:f>Sheet5!$F$29:$F$50</c:f>
              <c:numCache>
                <c:formatCode>General</c:formatCode>
                <c:ptCount val="22"/>
                <c:pt idx="0">
                  <c:v>3.7372584758418405E-2</c:v>
                </c:pt>
                <c:pt idx="1">
                  <c:v>6.2844071290314467E-3</c:v>
                </c:pt>
                <c:pt idx="2">
                  <c:v>5.4034366896468598E-3</c:v>
                </c:pt>
                <c:pt idx="3">
                  <c:v>8.2788024116030451E-3</c:v>
                </c:pt>
                <c:pt idx="4">
                  <c:v>0.10064654661014102</c:v>
                </c:pt>
                <c:pt idx="5">
                  <c:v>2.9388528732652717E-2</c:v>
                </c:pt>
                <c:pt idx="6">
                  <c:v>1.6775937577145444E-2</c:v>
                </c:pt>
                <c:pt idx="7">
                  <c:v>0.1050464414140897</c:v>
                </c:pt>
                <c:pt idx="8">
                  <c:v>0.16813194894006503</c:v>
                </c:pt>
                <c:pt idx="9">
                  <c:v>6.5331928345626969E-2</c:v>
                </c:pt>
                <c:pt idx="10">
                  <c:v>8.6017236530858687E-3</c:v>
                </c:pt>
                <c:pt idx="11">
                  <c:v>5.5066907231995185E-2</c:v>
                </c:pt>
                <c:pt idx="12">
                  <c:v>7.5358505653730437E-2</c:v>
                </c:pt>
                <c:pt idx="13">
                  <c:v>9.62828596930696E-2</c:v>
                </c:pt>
                <c:pt idx="14">
                  <c:v>1.5318229990998668E-2</c:v>
                </c:pt>
                <c:pt idx="15">
                  <c:v>1.0181088444219288E-2</c:v>
                </c:pt>
                <c:pt idx="16">
                  <c:v>6.8231083988640221E-3</c:v>
                </c:pt>
                <c:pt idx="17">
                  <c:v>3.1697176990320812E-2</c:v>
                </c:pt>
                <c:pt idx="18">
                  <c:v>0</c:v>
                </c:pt>
                <c:pt idx="19">
                  <c:v>1.0223961557904542E-2</c:v>
                </c:pt>
                <c:pt idx="20">
                  <c:v>0.11633373439255465</c:v>
                </c:pt>
                <c:pt idx="21">
                  <c:v>4.521462582095416E-2</c:v>
                </c:pt>
              </c:numCache>
            </c:numRef>
          </c:val>
          <c:extLst>
            <c:ext xmlns:c16="http://schemas.microsoft.com/office/drawing/2014/chart" uri="{C3380CC4-5D6E-409C-BE32-E72D297353CC}">
              <c16:uniqueId val="{00000001-E4C0-4618-BD1D-A3AE42B5461D}"/>
            </c:ext>
          </c:extLst>
        </c:ser>
        <c:dLbls>
          <c:showLegendKey val="0"/>
          <c:showVal val="0"/>
          <c:showCatName val="0"/>
          <c:showSerName val="0"/>
          <c:showPercent val="0"/>
          <c:showBubbleSize val="0"/>
        </c:dLbls>
        <c:gapWidth val="219"/>
        <c:overlap val="-27"/>
        <c:axId val="1286397880"/>
        <c:axId val="1286402144"/>
      </c:barChart>
      <c:catAx>
        <c:axId val="1286397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IT"/>
          </a:p>
        </c:txPr>
        <c:crossAx val="1286402144"/>
        <c:crosses val="autoZero"/>
        <c:auto val="1"/>
        <c:lblAlgn val="ctr"/>
        <c:lblOffset val="100"/>
        <c:noMultiLvlLbl val="0"/>
      </c:catAx>
      <c:valAx>
        <c:axId val="12864021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IT"/>
          </a:p>
        </c:txPr>
        <c:crossAx val="1286397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IT"/>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IT"/>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Basic indicator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T"/>
        </a:p>
      </c:txPr>
    </c:title>
    <c:autoTitleDeleted val="0"/>
    <c:plotArea>
      <c:layout/>
      <c:barChart>
        <c:barDir val="col"/>
        <c:grouping val="stacked"/>
        <c:varyColors val="0"/>
        <c:ser>
          <c:idx val="0"/>
          <c:order val="0"/>
          <c:spPr>
            <a:solidFill>
              <a:schemeClr val="accent1"/>
            </a:solidFill>
            <a:ln>
              <a:noFill/>
            </a:ln>
            <a:effectLst/>
          </c:spPr>
          <c:invertIfNegative val="0"/>
          <c:dLbls>
            <c:dLbl>
              <c:idx val="0"/>
              <c:layout>
                <c:manualLayout>
                  <c:x val="0"/>
                  <c:y val="-0.2037037037037036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C90-487A-A19F-9AE9CB1B8BF2}"/>
                </c:ext>
              </c:extLst>
            </c:dLbl>
            <c:dLbl>
              <c:idx val="1"/>
              <c:layout>
                <c:manualLayout>
                  <c:x val="0"/>
                  <c:y val="-0.1805555555555555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EC90-487A-A19F-9AE9CB1B8BF2}"/>
                </c:ext>
              </c:extLst>
            </c:dLbl>
            <c:dLbl>
              <c:idx val="2"/>
              <c:layout>
                <c:manualLayout>
                  <c:x val="1.0185067526415994E-16"/>
                  <c:y val="-0.2314814814814814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C90-487A-A19F-9AE9CB1B8BF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IT"/>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Sheet4!$U$23:$U$25</c:f>
              <c:strCache>
                <c:ptCount val="3"/>
                <c:pt idx="0">
                  <c:v>Mortality index on total affected </c:v>
                </c:pt>
                <c:pt idx="1">
                  <c:v>infection rate on tested</c:v>
                </c:pt>
                <c:pt idx="2">
                  <c:v>Mortality on tested</c:v>
                </c:pt>
              </c:strCache>
            </c:strRef>
          </c:cat>
          <c:val>
            <c:numRef>
              <c:f>Sheet4!$V$23:$V$25</c:f>
              <c:numCache>
                <c:formatCode>0.00</c:formatCode>
                <c:ptCount val="3"/>
                <c:pt idx="0">
                  <c:v>33.944945579245569</c:v>
                </c:pt>
                <c:pt idx="1">
                  <c:v>0.8112363552905596</c:v>
                </c:pt>
                <c:pt idx="2">
                  <c:v>0.27537373932243558</c:v>
                </c:pt>
              </c:numCache>
            </c:numRef>
          </c:val>
          <c:extLst>
            <c:ext xmlns:c16="http://schemas.microsoft.com/office/drawing/2014/chart" uri="{C3380CC4-5D6E-409C-BE32-E72D297353CC}">
              <c16:uniqueId val="{00000000-EC90-487A-A19F-9AE9CB1B8BF2}"/>
            </c:ext>
          </c:extLst>
        </c:ser>
        <c:dLbls>
          <c:showLegendKey val="0"/>
          <c:showVal val="1"/>
          <c:showCatName val="0"/>
          <c:showSerName val="0"/>
          <c:showPercent val="0"/>
          <c:showBubbleSize val="0"/>
        </c:dLbls>
        <c:gapWidth val="150"/>
        <c:overlap val="100"/>
        <c:axId val="597471120"/>
        <c:axId val="597471448"/>
      </c:barChart>
      <c:catAx>
        <c:axId val="597471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IT"/>
          </a:p>
        </c:txPr>
        <c:crossAx val="597471448"/>
        <c:crosses val="autoZero"/>
        <c:auto val="1"/>
        <c:lblAlgn val="ctr"/>
        <c:lblOffset val="100"/>
        <c:noMultiLvlLbl val="0"/>
      </c:catAx>
      <c:valAx>
        <c:axId val="597471448"/>
        <c:scaling>
          <c:orientation val="minMax"/>
          <c:max val="10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IT"/>
          </a:p>
        </c:txPr>
        <c:crossAx val="5974711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IT"/>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Trend nuovi</a:t>
            </a:r>
            <a:r>
              <a:rPr lang="en-US" baseline="0"/>
              <a:t> infettati al giorno (valori assoluti) &amp; % nuovi infetti su test effettuati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T"/>
        </a:p>
      </c:txPr>
    </c:title>
    <c:autoTitleDeleted val="0"/>
    <c:plotArea>
      <c:layout/>
      <c:lineChart>
        <c:grouping val="standard"/>
        <c:varyColors val="0"/>
        <c:ser>
          <c:idx val="1"/>
          <c:order val="0"/>
          <c:tx>
            <c:strRef>
              <c:f>Sheet6!$X$2</c:f>
              <c:strCache>
                <c:ptCount val="1"/>
                <c:pt idx="0">
                  <c:v>% infettati su testati</c:v>
                </c:pt>
              </c:strCache>
            </c:strRef>
          </c:tx>
          <c:spPr>
            <a:ln w="28575" cap="rnd">
              <a:solidFill>
                <a:schemeClr val="accent2"/>
              </a:solidFill>
              <a:round/>
            </a:ln>
            <a:effectLst/>
          </c:spPr>
          <c:marker>
            <c:symbol val="none"/>
          </c:marker>
          <c:cat>
            <c:strRef>
              <c:extLst>
                <c:ext xmlns:c15="http://schemas.microsoft.com/office/drawing/2012/chart" uri="{02D57815-91ED-43cb-92C2-25804820EDAC}">
                  <c15:fullRef>
                    <c15:sqref>Sheet6!$B$2:$B$239</c15:sqref>
                  </c15:fullRef>
                </c:ext>
              </c:extLst>
              <c:f>Sheet6!$B$3:$B$239</c:f>
              <c:strCache>
                <c:ptCount val="237"/>
                <c:pt idx="0">
                  <c:v>2/24</c:v>
                </c:pt>
                <c:pt idx="1">
                  <c:v>2/25</c:v>
                </c:pt>
                <c:pt idx="2">
                  <c:v>2/26</c:v>
                </c:pt>
                <c:pt idx="3">
                  <c:v>2/27</c:v>
                </c:pt>
                <c:pt idx="4">
                  <c:v>2/28</c:v>
                </c:pt>
                <c:pt idx="5">
                  <c:v>2/29</c:v>
                </c:pt>
                <c:pt idx="6">
                  <c:v>3/1</c:v>
                </c:pt>
                <c:pt idx="7">
                  <c:v>3/2</c:v>
                </c:pt>
                <c:pt idx="8">
                  <c:v>3/3</c:v>
                </c:pt>
                <c:pt idx="9">
                  <c:v>3/4</c:v>
                </c:pt>
                <c:pt idx="10">
                  <c:v>3/5</c:v>
                </c:pt>
                <c:pt idx="11">
                  <c:v>3/6</c:v>
                </c:pt>
                <c:pt idx="12">
                  <c:v>3/7</c:v>
                </c:pt>
                <c:pt idx="13">
                  <c:v>3/8</c:v>
                </c:pt>
                <c:pt idx="14">
                  <c:v>3/9</c:v>
                </c:pt>
                <c:pt idx="15">
                  <c:v>3/10</c:v>
                </c:pt>
                <c:pt idx="16">
                  <c:v>3/11</c:v>
                </c:pt>
                <c:pt idx="17">
                  <c:v>3/12</c:v>
                </c:pt>
                <c:pt idx="18">
                  <c:v>3/13</c:v>
                </c:pt>
                <c:pt idx="19">
                  <c:v>3/14</c:v>
                </c:pt>
                <c:pt idx="20">
                  <c:v>3/15</c:v>
                </c:pt>
                <c:pt idx="21">
                  <c:v>3/16</c:v>
                </c:pt>
                <c:pt idx="22">
                  <c:v>3/17</c:v>
                </c:pt>
                <c:pt idx="23">
                  <c:v>3/18</c:v>
                </c:pt>
                <c:pt idx="24">
                  <c:v>3/19</c:v>
                </c:pt>
                <c:pt idx="25">
                  <c:v>3/20</c:v>
                </c:pt>
                <c:pt idx="26">
                  <c:v>3/21</c:v>
                </c:pt>
                <c:pt idx="27">
                  <c:v>3/22</c:v>
                </c:pt>
                <c:pt idx="28">
                  <c:v>3/23</c:v>
                </c:pt>
                <c:pt idx="29">
                  <c:v>3/24</c:v>
                </c:pt>
                <c:pt idx="30">
                  <c:v>3/25</c:v>
                </c:pt>
                <c:pt idx="31">
                  <c:v>3/26</c:v>
                </c:pt>
                <c:pt idx="32">
                  <c:v>3/27</c:v>
                </c:pt>
                <c:pt idx="33">
                  <c:v>3/28</c:v>
                </c:pt>
                <c:pt idx="34">
                  <c:v>3/29</c:v>
                </c:pt>
                <c:pt idx="35">
                  <c:v>3/30</c:v>
                </c:pt>
                <c:pt idx="36">
                  <c:v>3/31</c:v>
                </c:pt>
                <c:pt idx="37">
                  <c:v>4/1</c:v>
                </c:pt>
                <c:pt idx="38">
                  <c:v>4/2</c:v>
                </c:pt>
                <c:pt idx="39">
                  <c:v>4/3</c:v>
                </c:pt>
                <c:pt idx="40">
                  <c:v>4/4</c:v>
                </c:pt>
                <c:pt idx="41">
                  <c:v>4/5</c:v>
                </c:pt>
                <c:pt idx="42">
                  <c:v>4/6</c:v>
                </c:pt>
                <c:pt idx="43">
                  <c:v>4/7</c:v>
                </c:pt>
                <c:pt idx="44">
                  <c:v>4/8</c:v>
                </c:pt>
                <c:pt idx="45">
                  <c:v>4/9</c:v>
                </c:pt>
                <c:pt idx="46">
                  <c:v>4/10</c:v>
                </c:pt>
                <c:pt idx="47">
                  <c:v>4/11</c:v>
                </c:pt>
                <c:pt idx="48">
                  <c:v>4/12</c:v>
                </c:pt>
                <c:pt idx="49">
                  <c:v>4/13</c:v>
                </c:pt>
                <c:pt idx="50">
                  <c:v>4/14</c:v>
                </c:pt>
                <c:pt idx="51">
                  <c:v>4/15</c:v>
                </c:pt>
                <c:pt idx="52">
                  <c:v>4/16</c:v>
                </c:pt>
                <c:pt idx="53">
                  <c:v>4/17</c:v>
                </c:pt>
                <c:pt idx="54">
                  <c:v>4/18</c:v>
                </c:pt>
                <c:pt idx="55">
                  <c:v>4/19</c:v>
                </c:pt>
                <c:pt idx="56">
                  <c:v>4/20</c:v>
                </c:pt>
                <c:pt idx="57">
                  <c:v>4/21</c:v>
                </c:pt>
                <c:pt idx="58">
                  <c:v>4/22</c:v>
                </c:pt>
                <c:pt idx="59">
                  <c:v>4/23</c:v>
                </c:pt>
                <c:pt idx="60">
                  <c:v>4/24</c:v>
                </c:pt>
                <c:pt idx="61">
                  <c:v>4/25</c:v>
                </c:pt>
                <c:pt idx="62">
                  <c:v>4/26</c:v>
                </c:pt>
                <c:pt idx="63">
                  <c:v>4/27</c:v>
                </c:pt>
                <c:pt idx="64">
                  <c:v>4/28</c:v>
                </c:pt>
                <c:pt idx="65">
                  <c:v>4/29</c:v>
                </c:pt>
                <c:pt idx="66">
                  <c:v>4/30</c:v>
                </c:pt>
                <c:pt idx="67">
                  <c:v>5/1</c:v>
                </c:pt>
                <c:pt idx="68">
                  <c:v>5/2</c:v>
                </c:pt>
                <c:pt idx="69">
                  <c:v>5/3</c:v>
                </c:pt>
                <c:pt idx="70">
                  <c:v>5/4</c:v>
                </c:pt>
                <c:pt idx="71">
                  <c:v>5/5</c:v>
                </c:pt>
                <c:pt idx="72">
                  <c:v>5/6</c:v>
                </c:pt>
                <c:pt idx="73">
                  <c:v>5/7</c:v>
                </c:pt>
                <c:pt idx="74">
                  <c:v>5/8</c:v>
                </c:pt>
                <c:pt idx="75">
                  <c:v>5/9</c:v>
                </c:pt>
                <c:pt idx="76">
                  <c:v>5/10</c:v>
                </c:pt>
                <c:pt idx="77">
                  <c:v>5/11</c:v>
                </c:pt>
                <c:pt idx="78">
                  <c:v>5/12</c:v>
                </c:pt>
                <c:pt idx="79">
                  <c:v>5/13</c:v>
                </c:pt>
                <c:pt idx="80">
                  <c:v>5/14</c:v>
                </c:pt>
                <c:pt idx="81">
                  <c:v>5/15</c:v>
                </c:pt>
                <c:pt idx="82">
                  <c:v>5/16</c:v>
                </c:pt>
                <c:pt idx="83">
                  <c:v>5/17</c:v>
                </c:pt>
                <c:pt idx="84">
                  <c:v>5/18</c:v>
                </c:pt>
                <c:pt idx="85">
                  <c:v>5/19</c:v>
                </c:pt>
                <c:pt idx="86">
                  <c:v>5/20</c:v>
                </c:pt>
                <c:pt idx="87">
                  <c:v>5/21</c:v>
                </c:pt>
                <c:pt idx="88">
                  <c:v>5/22</c:v>
                </c:pt>
                <c:pt idx="89">
                  <c:v>5/23</c:v>
                </c:pt>
                <c:pt idx="90">
                  <c:v>5/24</c:v>
                </c:pt>
                <c:pt idx="91">
                  <c:v>5/25</c:v>
                </c:pt>
                <c:pt idx="92">
                  <c:v>5/26</c:v>
                </c:pt>
                <c:pt idx="93">
                  <c:v>5/27</c:v>
                </c:pt>
                <c:pt idx="94">
                  <c:v>5/28</c:v>
                </c:pt>
                <c:pt idx="95">
                  <c:v>5/29</c:v>
                </c:pt>
                <c:pt idx="96">
                  <c:v>5/30</c:v>
                </c:pt>
                <c:pt idx="97">
                  <c:v>5/31</c:v>
                </c:pt>
                <c:pt idx="98">
                  <c:v>6/1</c:v>
                </c:pt>
                <c:pt idx="99">
                  <c:v>6/2</c:v>
                </c:pt>
                <c:pt idx="100">
                  <c:v>6/3</c:v>
                </c:pt>
                <c:pt idx="101">
                  <c:v>6/4</c:v>
                </c:pt>
                <c:pt idx="102">
                  <c:v>6/5</c:v>
                </c:pt>
                <c:pt idx="103">
                  <c:v>6/6</c:v>
                </c:pt>
                <c:pt idx="104">
                  <c:v>6/7</c:v>
                </c:pt>
                <c:pt idx="105">
                  <c:v>6/8</c:v>
                </c:pt>
                <c:pt idx="106">
                  <c:v>6/9</c:v>
                </c:pt>
                <c:pt idx="107">
                  <c:v>6/10</c:v>
                </c:pt>
                <c:pt idx="108">
                  <c:v>6/11</c:v>
                </c:pt>
                <c:pt idx="109">
                  <c:v>6/12</c:v>
                </c:pt>
                <c:pt idx="110">
                  <c:v>6/13</c:v>
                </c:pt>
                <c:pt idx="111">
                  <c:v>6/14</c:v>
                </c:pt>
                <c:pt idx="112">
                  <c:v>6/15</c:v>
                </c:pt>
                <c:pt idx="113">
                  <c:v>6/16</c:v>
                </c:pt>
                <c:pt idx="114">
                  <c:v>6/17</c:v>
                </c:pt>
                <c:pt idx="115">
                  <c:v>6/18</c:v>
                </c:pt>
                <c:pt idx="116">
                  <c:v>6/19</c:v>
                </c:pt>
                <c:pt idx="117">
                  <c:v>6/20</c:v>
                </c:pt>
                <c:pt idx="118">
                  <c:v>6/21</c:v>
                </c:pt>
                <c:pt idx="119">
                  <c:v>6/22</c:v>
                </c:pt>
                <c:pt idx="120">
                  <c:v>6/23</c:v>
                </c:pt>
                <c:pt idx="121">
                  <c:v>6/24</c:v>
                </c:pt>
                <c:pt idx="122">
                  <c:v>6/25</c:v>
                </c:pt>
                <c:pt idx="123">
                  <c:v>6/26</c:v>
                </c:pt>
                <c:pt idx="124">
                  <c:v>6/27</c:v>
                </c:pt>
                <c:pt idx="125">
                  <c:v>6/28</c:v>
                </c:pt>
                <c:pt idx="126">
                  <c:v>6/29</c:v>
                </c:pt>
                <c:pt idx="127">
                  <c:v>6/30</c:v>
                </c:pt>
                <c:pt idx="128">
                  <c:v>7/1</c:v>
                </c:pt>
                <c:pt idx="129">
                  <c:v>7/2</c:v>
                </c:pt>
                <c:pt idx="130">
                  <c:v>7/3</c:v>
                </c:pt>
                <c:pt idx="131">
                  <c:v>7/4</c:v>
                </c:pt>
                <c:pt idx="132">
                  <c:v>7/5</c:v>
                </c:pt>
                <c:pt idx="133">
                  <c:v>7/6</c:v>
                </c:pt>
                <c:pt idx="134">
                  <c:v>7/7</c:v>
                </c:pt>
                <c:pt idx="135">
                  <c:v>7/8</c:v>
                </c:pt>
                <c:pt idx="136">
                  <c:v>7/9</c:v>
                </c:pt>
                <c:pt idx="137">
                  <c:v>7/10</c:v>
                </c:pt>
                <c:pt idx="138">
                  <c:v>7/11</c:v>
                </c:pt>
                <c:pt idx="139">
                  <c:v>7/12</c:v>
                </c:pt>
                <c:pt idx="140">
                  <c:v>7/13</c:v>
                </c:pt>
                <c:pt idx="141">
                  <c:v>7/14</c:v>
                </c:pt>
                <c:pt idx="142">
                  <c:v>7/15</c:v>
                </c:pt>
                <c:pt idx="143">
                  <c:v>7/16</c:v>
                </c:pt>
                <c:pt idx="144">
                  <c:v>7/17</c:v>
                </c:pt>
                <c:pt idx="145">
                  <c:v>7/18</c:v>
                </c:pt>
                <c:pt idx="146">
                  <c:v>7/19</c:v>
                </c:pt>
                <c:pt idx="147">
                  <c:v>7/20</c:v>
                </c:pt>
                <c:pt idx="148">
                  <c:v>7/21</c:v>
                </c:pt>
                <c:pt idx="149">
                  <c:v>7/22</c:v>
                </c:pt>
                <c:pt idx="150">
                  <c:v>7/23</c:v>
                </c:pt>
                <c:pt idx="151">
                  <c:v>7/24</c:v>
                </c:pt>
                <c:pt idx="152">
                  <c:v>7/25</c:v>
                </c:pt>
                <c:pt idx="153">
                  <c:v>7/26</c:v>
                </c:pt>
                <c:pt idx="154">
                  <c:v>7/27</c:v>
                </c:pt>
                <c:pt idx="155">
                  <c:v>7/28</c:v>
                </c:pt>
                <c:pt idx="156">
                  <c:v>7/29</c:v>
                </c:pt>
                <c:pt idx="157">
                  <c:v>7/30</c:v>
                </c:pt>
                <c:pt idx="158">
                  <c:v>7/31</c:v>
                </c:pt>
                <c:pt idx="159">
                  <c:v>8/1</c:v>
                </c:pt>
                <c:pt idx="160">
                  <c:v>8/2</c:v>
                </c:pt>
                <c:pt idx="161">
                  <c:v>8/3</c:v>
                </c:pt>
                <c:pt idx="162">
                  <c:v>8/4</c:v>
                </c:pt>
                <c:pt idx="163">
                  <c:v>8/5</c:v>
                </c:pt>
                <c:pt idx="164">
                  <c:v>8/6</c:v>
                </c:pt>
                <c:pt idx="165">
                  <c:v>8/7</c:v>
                </c:pt>
                <c:pt idx="166">
                  <c:v>8/8</c:v>
                </c:pt>
                <c:pt idx="167">
                  <c:v>8/9</c:v>
                </c:pt>
                <c:pt idx="168">
                  <c:v>8/10</c:v>
                </c:pt>
                <c:pt idx="169">
                  <c:v>8/11</c:v>
                </c:pt>
                <c:pt idx="170">
                  <c:v>8/12</c:v>
                </c:pt>
                <c:pt idx="171">
                  <c:v>8/13</c:v>
                </c:pt>
                <c:pt idx="172">
                  <c:v>8/14</c:v>
                </c:pt>
                <c:pt idx="173">
                  <c:v>8/15</c:v>
                </c:pt>
                <c:pt idx="174">
                  <c:v>8/16</c:v>
                </c:pt>
                <c:pt idx="175">
                  <c:v>8/17</c:v>
                </c:pt>
                <c:pt idx="176">
                  <c:v>8/18</c:v>
                </c:pt>
                <c:pt idx="177">
                  <c:v>8/19</c:v>
                </c:pt>
                <c:pt idx="178">
                  <c:v>8/20</c:v>
                </c:pt>
                <c:pt idx="179">
                  <c:v>8/21</c:v>
                </c:pt>
                <c:pt idx="180">
                  <c:v>8/22</c:v>
                </c:pt>
                <c:pt idx="181">
                  <c:v>8/23</c:v>
                </c:pt>
                <c:pt idx="182">
                  <c:v>8/24</c:v>
                </c:pt>
                <c:pt idx="183">
                  <c:v>8/25</c:v>
                </c:pt>
                <c:pt idx="184">
                  <c:v>8/26</c:v>
                </c:pt>
                <c:pt idx="185">
                  <c:v>8/27</c:v>
                </c:pt>
                <c:pt idx="186">
                  <c:v>8/28</c:v>
                </c:pt>
                <c:pt idx="187">
                  <c:v>8/29</c:v>
                </c:pt>
                <c:pt idx="188">
                  <c:v>8/30</c:v>
                </c:pt>
                <c:pt idx="189">
                  <c:v>8/31</c:v>
                </c:pt>
                <c:pt idx="190">
                  <c:v>9/1</c:v>
                </c:pt>
                <c:pt idx="191">
                  <c:v>9/2</c:v>
                </c:pt>
                <c:pt idx="192">
                  <c:v>9/3</c:v>
                </c:pt>
                <c:pt idx="193">
                  <c:v>9/4</c:v>
                </c:pt>
                <c:pt idx="194">
                  <c:v>9/5</c:v>
                </c:pt>
                <c:pt idx="195">
                  <c:v>9/6</c:v>
                </c:pt>
                <c:pt idx="196">
                  <c:v>9/7</c:v>
                </c:pt>
                <c:pt idx="197">
                  <c:v>9/8</c:v>
                </c:pt>
                <c:pt idx="198">
                  <c:v>9/9</c:v>
                </c:pt>
                <c:pt idx="199">
                  <c:v>9/10</c:v>
                </c:pt>
                <c:pt idx="200">
                  <c:v>9/11</c:v>
                </c:pt>
                <c:pt idx="201">
                  <c:v>9/12</c:v>
                </c:pt>
                <c:pt idx="202">
                  <c:v>9/13</c:v>
                </c:pt>
                <c:pt idx="203">
                  <c:v>9/14</c:v>
                </c:pt>
                <c:pt idx="204">
                  <c:v>9/15</c:v>
                </c:pt>
                <c:pt idx="205">
                  <c:v>9/16</c:v>
                </c:pt>
                <c:pt idx="206">
                  <c:v>9/17</c:v>
                </c:pt>
                <c:pt idx="207">
                  <c:v>9/18</c:v>
                </c:pt>
                <c:pt idx="208">
                  <c:v>9/19</c:v>
                </c:pt>
                <c:pt idx="209">
                  <c:v>9/20</c:v>
                </c:pt>
                <c:pt idx="210">
                  <c:v>9/21</c:v>
                </c:pt>
                <c:pt idx="211">
                  <c:v>9/22</c:v>
                </c:pt>
                <c:pt idx="212">
                  <c:v>9/23</c:v>
                </c:pt>
                <c:pt idx="213">
                  <c:v>9/24</c:v>
                </c:pt>
                <c:pt idx="214">
                  <c:v>9/25</c:v>
                </c:pt>
                <c:pt idx="215">
                  <c:v>9/26</c:v>
                </c:pt>
                <c:pt idx="216">
                  <c:v>9/27</c:v>
                </c:pt>
                <c:pt idx="217">
                  <c:v>9/28</c:v>
                </c:pt>
                <c:pt idx="218">
                  <c:v>9/29</c:v>
                </c:pt>
                <c:pt idx="219">
                  <c:v>9/30</c:v>
                </c:pt>
                <c:pt idx="220">
                  <c:v>10/1</c:v>
                </c:pt>
                <c:pt idx="221">
                  <c:v>10/2</c:v>
                </c:pt>
                <c:pt idx="222">
                  <c:v>10/3</c:v>
                </c:pt>
                <c:pt idx="223">
                  <c:v>10/4</c:v>
                </c:pt>
                <c:pt idx="224">
                  <c:v>10/5</c:v>
                </c:pt>
                <c:pt idx="225">
                  <c:v>10/6</c:v>
                </c:pt>
                <c:pt idx="226">
                  <c:v>10/7</c:v>
                </c:pt>
                <c:pt idx="227">
                  <c:v>10/8</c:v>
                </c:pt>
                <c:pt idx="228">
                  <c:v>10/9</c:v>
                </c:pt>
                <c:pt idx="229">
                  <c:v>10/10</c:v>
                </c:pt>
                <c:pt idx="230">
                  <c:v>10/11</c:v>
                </c:pt>
                <c:pt idx="231">
                  <c:v>10/12</c:v>
                </c:pt>
                <c:pt idx="232">
                  <c:v>10/13</c:v>
                </c:pt>
                <c:pt idx="233">
                  <c:v>10/14</c:v>
                </c:pt>
                <c:pt idx="234">
                  <c:v>10/15</c:v>
                </c:pt>
                <c:pt idx="235">
                  <c:v>10/16</c:v>
                </c:pt>
                <c:pt idx="236">
                  <c:v>10/17</c:v>
                </c:pt>
              </c:strCache>
            </c:strRef>
          </c:cat>
          <c:val>
            <c:numRef>
              <c:extLst>
                <c:ext xmlns:c15="http://schemas.microsoft.com/office/drawing/2012/chart" uri="{02D57815-91ED-43cb-92C2-25804820EDAC}">
                  <c15:fullRef>
                    <c15:sqref>Sheet6!$X$3:$X$242</c15:sqref>
                  </c15:fullRef>
                </c:ext>
              </c:extLst>
              <c:f>Sheet6!$X$4:$X$242</c:f>
              <c:numCache>
                <c:formatCode>General</c:formatCode>
                <c:ptCount val="239"/>
                <c:pt idx="0">
                  <c:v>2.1632937892533146</c:v>
                </c:pt>
                <c:pt idx="1">
                  <c:v>8.0912863070539416</c:v>
                </c:pt>
                <c:pt idx="2">
                  <c:v>10.300782859497321</c:v>
                </c:pt>
                <c:pt idx="3">
                  <c:v>6.4656343384949739</c:v>
                </c:pt>
                <c:pt idx="4">
                  <c:v>8.0917060013486175</c:v>
                </c:pt>
                <c:pt idx="5">
                  <c:v>22.952149229521492</c:v>
                </c:pt>
                <c:pt idx="6">
                  <c:v>15.419296663660957</c:v>
                </c:pt>
                <c:pt idx="7">
                  <c:v>18.558343289526086</c:v>
                </c:pt>
                <c:pt idx="8">
                  <c:v>14.745038934940968</c:v>
                </c:pt>
                <c:pt idx="9">
                  <c:v>30.455445544554454</c:v>
                </c:pt>
                <c:pt idx="10">
                  <c:v>19.464598448836629</c:v>
                </c:pt>
                <c:pt idx="11">
                  <c:v>21.86568472733649</c:v>
                </c:pt>
                <c:pt idx="12">
                  <c:v>18.946031746031746</c:v>
                </c:pt>
                <c:pt idx="13">
                  <c:v>46.207251221393676</c:v>
                </c:pt>
                <c:pt idx="14">
                  <c:v>14.087959625090122</c:v>
                </c:pt>
                <c:pt idx="15">
                  <c:v>18.663761801016705</c:v>
                </c:pt>
                <c:pt idx="16">
                  <c:v>20.619117990199893</c:v>
                </c:pt>
                <c:pt idx="17">
                  <c:v>22.192210507972469</c:v>
                </c:pt>
                <c:pt idx="18">
                  <c:v>29.934942646807055</c:v>
                </c:pt>
                <c:pt idx="19">
                  <c:v>22.824082904189712</c:v>
                </c:pt>
                <c:pt idx="20">
                  <c:v>24.749291893133275</c:v>
                </c:pt>
                <c:pt idx="21">
                  <c:v>32.96867695184666</c:v>
                </c:pt>
                <c:pt idx="22">
                  <c:v>24.917081260364842</c:v>
                </c:pt>
                <c:pt idx="23">
                  <c:v>30.877233696913436</c:v>
                </c:pt>
                <c:pt idx="24">
                  <c:v>24.828902069766478</c:v>
                </c:pt>
                <c:pt idx="25">
                  <c:v>24.897478736330498</c:v>
                </c:pt>
                <c:pt idx="26">
                  <c:v>22.081016679904685</c:v>
                </c:pt>
                <c:pt idx="27">
                  <c:v>28.061643032930974</c:v>
                </c:pt>
                <c:pt idx="28">
                  <c:v>24.418496464458503</c:v>
                </c:pt>
                <c:pt idx="29">
                  <c:v>18.95855318219861</c:v>
                </c:pt>
                <c:pt idx="30">
                  <c:v>16.804588283490375</c:v>
                </c:pt>
                <c:pt idx="31">
                  <c:v>18.047184954117327</c:v>
                </c:pt>
                <c:pt idx="32">
                  <c:v>16.853330324145908</c:v>
                </c:pt>
                <c:pt idx="33">
                  <c:v>21.290401567091088</c:v>
                </c:pt>
                <c:pt idx="34">
                  <c:v>17.360366925286126</c:v>
                </c:pt>
                <c:pt idx="35">
                  <c:v>13.688405552365834</c:v>
                </c:pt>
                <c:pt idx="36">
                  <c:v>13.878972572921203</c:v>
                </c:pt>
                <c:pt idx="37">
                  <c:v>11.725991609937452</c:v>
                </c:pt>
                <c:pt idx="38">
                  <c:v>11.873009296423854</c:v>
                </c:pt>
                <c:pt idx="39">
                  <c:v>12.856187290969901</c:v>
                </c:pt>
                <c:pt idx="40">
                  <c:v>12.606244706019803</c:v>
                </c:pt>
                <c:pt idx="41">
                  <c:v>11.889266955171616</c:v>
                </c:pt>
                <c:pt idx="42">
                  <c:v>9.0143268175481275</c:v>
                </c:pt>
                <c:pt idx="43">
                  <c:v>7.4226006191950464</c:v>
                </c:pt>
                <c:pt idx="44">
                  <c:v>9.0909090909090917</c:v>
                </c:pt>
                <c:pt idx="45">
                  <c:v>7.3857369847649315</c:v>
                </c:pt>
                <c:pt idx="46">
                  <c:v>8.2919677083149317</c:v>
                </c:pt>
                <c:pt idx="47">
                  <c:v>8.7585616438356162</c:v>
                </c:pt>
                <c:pt idx="48">
                  <c:v>8.5873028842225665</c:v>
                </c:pt>
                <c:pt idx="49">
                  <c:v>11.098248627655998</c:v>
                </c:pt>
                <c:pt idx="50">
                  <c:v>6.1008807045636511</c:v>
                </c:pt>
                <c:pt idx="51">
                  <c:v>6.2066591255594359</c:v>
                </c:pt>
                <c:pt idx="52">
                  <c:v>5.316185982801918</c:v>
                </c:pt>
                <c:pt idx="53">
                  <c:v>5.6557310652085864</c:v>
                </c:pt>
                <c:pt idx="54">
                  <c:v>0.34879261892088348</c:v>
                </c:pt>
                <c:pt idx="55">
                  <c:v>28.771840326488967</c:v>
                </c:pt>
                <c:pt idx="56">
                  <c:v>9.7134721480690516</c:v>
                </c:pt>
                <c:pt idx="57">
                  <c:v>7.616163442415476</c:v>
                </c:pt>
                <c:pt idx="58">
                  <c:v>7.1353450368093192</c:v>
                </c:pt>
                <c:pt idx="59">
                  <c:v>3.1708878695957932</c:v>
                </c:pt>
                <c:pt idx="60">
                  <c:v>6.0942186368807532</c:v>
                </c:pt>
                <c:pt idx="61">
                  <c:v>9.6379546302824206</c:v>
                </c:pt>
                <c:pt idx="62">
                  <c:v>6.5184796461503867</c:v>
                </c:pt>
                <c:pt idx="63">
                  <c:v>5.5679821057676948</c:v>
                </c:pt>
                <c:pt idx="64">
                  <c:v>5.4056855580605871</c:v>
                </c:pt>
                <c:pt idx="65">
                  <c:v>4.5172655100021721</c:v>
                </c:pt>
                <c:pt idx="66">
                  <c:v>4.4932772340620142</c:v>
                </c:pt>
                <c:pt idx="67">
                  <c:v>6.0836988889244656</c:v>
                </c:pt>
                <c:pt idx="68">
                  <c:v>5.1355048619070507</c:v>
                </c:pt>
                <c:pt idx="69">
                  <c:v>5.3089264750641334</c:v>
                </c:pt>
                <c:pt idx="70">
                  <c:v>3.3373692216944519</c:v>
                </c:pt>
                <c:pt idx="71">
                  <c:v>3.8230388393211725</c:v>
                </c:pt>
                <c:pt idx="72">
                  <c:v>10.252469813391878</c:v>
                </c:pt>
                <c:pt idx="73">
                  <c:v>2.9211059258607026</c:v>
                </c:pt>
                <c:pt idx="74">
                  <c:v>3.0007481089468291</c:v>
                </c:pt>
                <c:pt idx="75">
                  <c:v>2.5554422635737954</c:v>
                </c:pt>
                <c:pt idx="76">
                  <c:v>2.8811524609843939</c:v>
                </c:pt>
                <c:pt idx="77">
                  <c:v>3.5386168601716306</c:v>
                </c:pt>
                <c:pt idx="78">
                  <c:v>2.3968258252584413</c:v>
                </c:pt>
                <c:pt idx="79">
                  <c:v>2.411806180253337</c:v>
                </c:pt>
                <c:pt idx="80">
                  <c:v>2.0216773003305404</c:v>
                </c:pt>
                <c:pt idx="81">
                  <c:v>2.1521509211205943</c:v>
                </c:pt>
                <c:pt idx="82">
                  <c:v>2.0146246828831518</c:v>
                </c:pt>
                <c:pt idx="83">
                  <c:v>1.7279031454733536</c:v>
                </c:pt>
                <c:pt idx="84">
                  <c:v>2.0210808929548052</c:v>
                </c:pt>
                <c:pt idx="85">
                  <c:v>1.7220395162752156</c:v>
                </c:pt>
                <c:pt idx="86">
                  <c:v>1.5795689400649544</c:v>
                </c:pt>
                <c:pt idx="87">
                  <c:v>1.5167376183497336</c:v>
                </c:pt>
                <c:pt idx="88">
                  <c:v>1.5711970689776651</c:v>
                </c:pt>
                <c:pt idx="89">
                  <c:v>1.5523592352218909</c:v>
                </c:pt>
                <c:pt idx="90">
                  <c:v>1.4509576320371445</c:v>
                </c:pt>
                <c:pt idx="91">
                  <c:v>1.1695734150365309</c:v>
                </c:pt>
                <c:pt idx="92">
                  <c:v>1.5657256226708489</c:v>
                </c:pt>
                <c:pt idx="93">
                  <c:v>1.4885285405893871</c:v>
                </c:pt>
                <c:pt idx="94">
                  <c:v>1.3496194387047837</c:v>
                </c:pt>
                <c:pt idx="95">
                  <c:v>1.1539208343735265</c:v>
                </c:pt>
                <c:pt idx="96">
                  <c:v>1.22633687992262</c:v>
                </c:pt>
                <c:pt idx="97">
                  <c:v>0.98598570874646874</c:v>
                </c:pt>
                <c:pt idx="98">
                  <c:v>1.2408303418136413</c:v>
                </c:pt>
                <c:pt idx="99">
                  <c:v>1.6021961567257301</c:v>
                </c:pt>
                <c:pt idx="100">
                  <c:v>0.64478525372481876</c:v>
                </c:pt>
                <c:pt idx="101">
                  <c:v>1.2799604645416358</c:v>
                </c:pt>
                <c:pt idx="102">
                  <c:v>0.79327770595839697</c:v>
                </c:pt>
                <c:pt idx="103">
                  <c:v>0.70624507062450703</c:v>
                </c:pt>
                <c:pt idx="104">
                  <c:v>1.7176860315318079</c:v>
                </c:pt>
                <c:pt idx="105">
                  <c:v>0.87888198757763969</c:v>
                </c:pt>
                <c:pt idx="106">
                  <c:v>0.53347418460319562</c:v>
                </c:pt>
                <c:pt idx="107">
                  <c:v>1.1487981570731411</c:v>
                </c:pt>
                <c:pt idx="108">
                  <c:v>0.43292342832859687</c:v>
                </c:pt>
                <c:pt idx="109">
                  <c:v>1.0523114355231142</c:v>
                </c:pt>
                <c:pt idx="110">
                  <c:v>1.1440176002707734</c:v>
                </c:pt>
                <c:pt idx="111">
                  <c:v>1.7350970623604194</c:v>
                </c:pt>
                <c:pt idx="112">
                  <c:v>0.75642965204236012</c:v>
                </c:pt>
                <c:pt idx="113">
                  <c:v>0.96887239744382603</c:v>
                </c:pt>
                <c:pt idx="114">
                  <c:v>1.0115124084930591</c:v>
                </c:pt>
                <c:pt idx="115">
                  <c:v>0.87854392719635988</c:v>
                </c:pt>
                <c:pt idx="116">
                  <c:v>0.87698744769874482</c:v>
                </c:pt>
                <c:pt idx="117">
                  <c:v>0.9112729343802124</c:v>
                </c:pt>
                <c:pt idx="118">
                  <c:v>1.3496780584447747</c:v>
                </c:pt>
                <c:pt idx="119">
                  <c:v>0.52529601722282027</c:v>
                </c:pt>
                <c:pt idx="120">
                  <c:v>0.6283692165228032</c:v>
                </c:pt>
                <c:pt idx="121">
                  <c:v>1.0060840895958669</c:v>
                </c:pt>
                <c:pt idx="122">
                  <c:v>0.91419293353570286</c:v>
                </c:pt>
                <c:pt idx="123">
                  <c:v>0.58880925944618279</c:v>
                </c:pt>
                <c:pt idx="124">
                  <c:v>0.82141339753575981</c:v>
                </c:pt>
                <c:pt idx="125">
                  <c:v>0.81374321880651002</c:v>
                </c:pt>
                <c:pt idx="126">
                  <c:v>0.49875311720698251</c:v>
                </c:pt>
                <c:pt idx="127">
                  <c:v>0.6376811594202898</c:v>
                </c:pt>
                <c:pt idx="128">
                  <c:v>0.68960784986448009</c:v>
                </c:pt>
                <c:pt idx="129">
                  <c:v>0.86838006230529596</c:v>
                </c:pt>
                <c:pt idx="130">
                  <c:v>0.81185656049195043</c:v>
                </c:pt>
                <c:pt idx="131">
                  <c:v>0.90711518473022767</c:v>
                </c:pt>
                <c:pt idx="132">
                  <c:v>1.5104204487691526</c:v>
                </c:pt>
                <c:pt idx="133">
                  <c:v>0.61360604713205869</c:v>
                </c:pt>
                <c:pt idx="134">
                  <c:v>0.67296628194846408</c:v>
                </c:pt>
                <c:pt idx="135">
                  <c:v>0.76468427555347784</c:v>
                </c:pt>
                <c:pt idx="136">
                  <c:v>1.0128068694726799</c:v>
                </c:pt>
                <c:pt idx="137">
                  <c:v>0.73873236669417275</c:v>
                </c:pt>
                <c:pt idx="138">
                  <c:v>1.0147001430987381</c:v>
                </c:pt>
                <c:pt idx="139">
                  <c:v>1.206625731829216</c:v>
                </c:pt>
                <c:pt idx="140">
                  <c:v>0.47064651969284121</c:v>
                </c:pt>
                <c:pt idx="141">
                  <c:v>0.57410538179768944</c:v>
                </c:pt>
                <c:pt idx="142">
                  <c:v>0.8188258748976468</c:v>
                </c:pt>
                <c:pt idx="143">
                  <c:v>0.81295139736924737</c:v>
                </c:pt>
                <c:pt idx="144">
                  <c:v>0.90318836374188394</c:v>
                </c:pt>
                <c:pt idx="145">
                  <c:v>1.0620241501382086</c:v>
                </c:pt>
                <c:pt idx="146">
                  <c:v>1.3455137738120528</c:v>
                </c:pt>
                <c:pt idx="147">
                  <c:v>0.53941041187539196</c:v>
                </c:pt>
                <c:pt idx="148">
                  <c:v>0.9628516798688882</c:v>
                </c:pt>
                <c:pt idx="149">
                  <c:v>0.92676721788115568</c:v>
                </c:pt>
                <c:pt idx="150">
                  <c:v>0.86986537797721786</c:v>
                </c:pt>
                <c:pt idx="151">
                  <c:v>0.98007769343169748</c:v>
                </c:pt>
                <c:pt idx="152">
                  <c:v>1.0128291694800811</c:v>
                </c:pt>
                <c:pt idx="153">
                  <c:v>0.87746464333643037</c:v>
                </c:pt>
                <c:pt idx="154">
                  <c:v>0.83658892703523924</c:v>
                </c:pt>
                <c:pt idx="155">
                  <c:v>0.93603238866396765</c:v>
                </c:pt>
                <c:pt idx="156">
                  <c:v>1.1558270451551085</c:v>
                </c:pt>
                <c:pt idx="157">
                  <c:v>1.2766960856969616</c:v>
                </c:pt>
                <c:pt idx="158">
                  <c:v>0.92461996552264525</c:v>
                </c:pt>
                <c:pt idx="159">
                  <c:v>0.97566949706074468</c:v>
                </c:pt>
                <c:pt idx="160">
                  <c:v>1.1806638449543327</c:v>
                </c:pt>
                <c:pt idx="161">
                  <c:v>0.80882039930186034</c:v>
                </c:pt>
                <c:pt idx="162">
                  <c:v>1.2912337334812871</c:v>
                </c:pt>
                <c:pt idx="163">
                  <c:v>1.2496502844353259</c:v>
                </c:pt>
                <c:pt idx="164">
                  <c:v>1.816267438799684</c:v>
                </c:pt>
                <c:pt idx="165">
                  <c:v>1.3029927528068792</c:v>
                </c:pt>
                <c:pt idx="166">
                  <c:v>2.0331093839195535</c:v>
                </c:pt>
                <c:pt idx="167">
                  <c:v>2.3752751283932501</c:v>
                </c:pt>
                <c:pt idx="168">
                  <c:v>1.8673797760957258</c:v>
                </c:pt>
                <c:pt idx="169">
                  <c:v>1.7599707281375776</c:v>
                </c:pt>
                <c:pt idx="170">
                  <c:v>2.0406570681649692</c:v>
                </c:pt>
                <c:pt idx="171">
                  <c:v>2.3081872285668328</c:v>
                </c:pt>
                <c:pt idx="172">
                  <c:v>2.4251069900142657</c:v>
                </c:pt>
                <c:pt idx="173">
                  <c:v>2.1317311971517579</c:v>
                </c:pt>
                <c:pt idx="174">
                  <c:v>1.4967959212311148</c:v>
                </c:pt>
                <c:pt idx="175">
                  <c:v>1.232906048276073</c:v>
                </c:pt>
                <c:pt idx="176">
                  <c:v>1.5548558973116977</c:v>
                </c:pt>
                <c:pt idx="177">
                  <c:v>1.7015021545648583</c:v>
                </c:pt>
                <c:pt idx="178">
                  <c:v>2.1071134548205506</c:v>
                </c:pt>
                <c:pt idx="179">
                  <c:v>2.297642288631927</c:v>
                </c:pt>
                <c:pt idx="180">
                  <c:v>2.5493542338242423</c:v>
                </c:pt>
                <c:pt idx="181">
                  <c:v>2.8568859044307211</c:v>
                </c:pt>
                <c:pt idx="182">
                  <c:v>1.9171142844665707</c:v>
                </c:pt>
                <c:pt idx="183">
                  <c:v>2.3547042408791814</c:v>
                </c:pt>
                <c:pt idx="184">
                  <c:v>2.4479528105482302</c:v>
                </c:pt>
                <c:pt idx="185">
                  <c:v>2.2445689721347968</c:v>
                </c:pt>
                <c:pt idx="186">
                  <c:v>2.2459327464460133</c:v>
                </c:pt>
                <c:pt idx="187">
                  <c:v>2.5494480865131393</c:v>
                </c:pt>
                <c:pt idx="188">
                  <c:v>2.338961557429021</c:v>
                </c:pt>
                <c:pt idx="189">
                  <c:v>1.7979593712657413</c:v>
                </c:pt>
                <c:pt idx="190">
                  <c:v>2.0035659242694388</c:v>
                </c:pt>
                <c:pt idx="191">
                  <c:v>2.2826051436227575</c:v>
                </c:pt>
                <c:pt idx="192">
                  <c:v>2.3884340803219493</c:v>
                </c:pt>
                <c:pt idx="193">
                  <c:v>2.4326148455562415</c:v>
                </c:pt>
                <c:pt idx="194">
                  <c:v>2.4160348713745505</c:v>
                </c:pt>
                <c:pt idx="195">
                  <c:v>2.722158071886593</c:v>
                </c:pt>
                <c:pt idx="196">
                  <c:v>2.3648415383553134</c:v>
                </c:pt>
                <c:pt idx="197">
                  <c:v>2.2745297084668334</c:v>
                </c:pt>
                <c:pt idx="198">
                  <c:v>2.7639799927309228</c:v>
                </c:pt>
                <c:pt idx="199">
                  <c:v>2.6309791279997397</c:v>
                </c:pt>
                <c:pt idx="200">
                  <c:v>2.6541943697835619</c:v>
                </c:pt>
                <c:pt idx="201">
                  <c:v>2.9840360212853052</c:v>
                </c:pt>
                <c:pt idx="202">
                  <c:v>3.1649345348362585</c:v>
                </c:pt>
                <c:pt idx="203">
                  <c:v>2.4334706161888167</c:v>
                </c:pt>
                <c:pt idx="204">
                  <c:v>2.4984083830892856</c:v>
                </c:pt>
                <c:pt idx="205">
                  <c:v>2.5379897839906485</c:v>
                </c:pt>
                <c:pt idx="206">
                  <c:v>3.177538948596184</c:v>
                </c:pt>
                <c:pt idx="207">
                  <c:v>2.6954089188744446</c:v>
                </c:pt>
                <c:pt idx="208">
                  <c:v>2.899530447810279</c:v>
                </c:pt>
                <c:pt idx="209">
                  <c:v>3.3840523400095255</c:v>
                </c:pt>
                <c:pt idx="210">
                  <c:v>2.8209545040024322</c:v>
                </c:pt>
                <c:pt idx="211">
                  <c:v>2.5720245283314775</c:v>
                </c:pt>
                <c:pt idx="212">
                  <c:v>2.7519684432733942</c:v>
                </c:pt>
                <c:pt idx="213">
                  <c:v>2.9870799418831728</c:v>
                </c:pt>
                <c:pt idx="214">
                  <c:v>3.0133010882708584</c:v>
                </c:pt>
                <c:pt idx="215">
                  <c:v>3.2863762398347505</c:v>
                </c:pt>
                <c:pt idx="216">
                  <c:v>4.6189519245633015</c:v>
                </c:pt>
                <c:pt idx="217">
                  <c:v>3.0735946883509269</c:v>
                </c:pt>
                <c:pt idx="218">
                  <c:v>2.9682488774855678</c:v>
                </c:pt>
                <c:pt idx="219">
                  <c:v>3.7562838146624795</c:v>
                </c:pt>
                <c:pt idx="220">
                  <c:v>3.4839465209329559</c:v>
                </c:pt>
                <c:pt idx="221">
                  <c:v>4.0843290441176467</c:v>
                </c:pt>
                <c:pt idx="222">
                  <c:v>4.3425529764511674</c:v>
                </c:pt>
                <c:pt idx="223">
                  <c:v>6.1749336543459821</c:v>
                </c:pt>
                <c:pt idx="224">
                  <c:v>4.2823092796698283</c:v>
                </c:pt>
                <c:pt idx="225">
                  <c:v>4.5753666637640409</c:v>
                </c:pt>
                <c:pt idx="226">
                  <c:v>6.462274407479887</c:v>
                </c:pt>
                <c:pt idx="227">
                  <c:v>6.901158757483107</c:v>
                </c:pt>
                <c:pt idx="228">
                  <c:v>7.1452645770138181</c:v>
                </c:pt>
                <c:pt idx="229">
                  <c:v>7.940851138149851</c:v>
                </c:pt>
                <c:pt idx="230">
                  <c:v>7.7436335898338617</c:v>
                </c:pt>
                <c:pt idx="231">
                  <c:v>8.3988044406490179</c:v>
                </c:pt>
                <c:pt idx="232">
                  <c:v>8.3697674684078951</c:v>
                </c:pt>
                <c:pt idx="233">
                  <c:v>8.934261533153375</c:v>
                </c:pt>
                <c:pt idx="234">
                  <c:v>10.833098850674228</c:v>
                </c:pt>
                <c:pt idx="235">
                  <c:v>10.573331010587848</c:v>
                </c:pt>
              </c:numCache>
            </c:numRef>
          </c:val>
          <c:smooth val="0"/>
          <c:extLst>
            <c:ext xmlns:c16="http://schemas.microsoft.com/office/drawing/2014/chart" uri="{C3380CC4-5D6E-409C-BE32-E72D297353CC}">
              <c16:uniqueId val="{00000001-39BD-42C4-A51C-941BD3496882}"/>
            </c:ext>
          </c:extLst>
        </c:ser>
        <c:dLbls>
          <c:showLegendKey val="0"/>
          <c:showVal val="0"/>
          <c:showCatName val="0"/>
          <c:showSerName val="0"/>
          <c:showPercent val="0"/>
          <c:showBubbleSize val="0"/>
        </c:dLbls>
        <c:marker val="1"/>
        <c:smooth val="0"/>
        <c:axId val="1285583824"/>
        <c:axId val="1285581528"/>
        <c:extLst>
          <c:ext xmlns:c15="http://schemas.microsoft.com/office/drawing/2012/chart" uri="{02D57815-91ED-43cb-92C2-25804820EDAC}">
            <c15:filteredLineSeries>
              <c15:ser>
                <c:idx val="2"/>
                <c:order val="1"/>
                <c:tx>
                  <c:strRef>
                    <c:extLst>
                      <c:ext uri="{02D57815-91ED-43cb-92C2-25804820EDAC}">
                        <c15:formulaRef>
                          <c15:sqref>Sheet6!$Z$2</c15:sqref>
                        </c15:formulaRef>
                      </c:ext>
                    </c:extLst>
                    <c:strCache>
                      <c:ptCount val="1"/>
                      <c:pt idx="0">
                        <c:v>% testati su pop totale</c:v>
                      </c:pt>
                    </c:strCache>
                  </c:strRef>
                </c:tx>
                <c:spPr>
                  <a:ln w="28575" cap="rnd">
                    <a:solidFill>
                      <a:schemeClr val="accent3"/>
                    </a:solidFill>
                    <a:round/>
                  </a:ln>
                  <a:effectLst/>
                </c:spPr>
                <c:marker>
                  <c:symbol val="none"/>
                </c:marker>
                <c:cat>
                  <c:strRef>
                    <c:extLst>
                      <c:ext uri="{02D57815-91ED-43cb-92C2-25804820EDAC}">
                        <c15:fullRef>
                          <c15:sqref>Sheet6!$B$2:$B$239</c15:sqref>
                        </c15:fullRef>
                        <c15:formulaRef>
                          <c15:sqref>Sheet6!$B$3:$B$239</c15:sqref>
                        </c15:formulaRef>
                      </c:ext>
                    </c:extLst>
                    <c:strCache>
                      <c:ptCount val="237"/>
                      <c:pt idx="0">
                        <c:v>2/24</c:v>
                      </c:pt>
                      <c:pt idx="1">
                        <c:v>2/25</c:v>
                      </c:pt>
                      <c:pt idx="2">
                        <c:v>2/26</c:v>
                      </c:pt>
                      <c:pt idx="3">
                        <c:v>2/27</c:v>
                      </c:pt>
                      <c:pt idx="4">
                        <c:v>2/28</c:v>
                      </c:pt>
                      <c:pt idx="5">
                        <c:v>2/29</c:v>
                      </c:pt>
                      <c:pt idx="6">
                        <c:v>3/1</c:v>
                      </c:pt>
                      <c:pt idx="7">
                        <c:v>3/2</c:v>
                      </c:pt>
                      <c:pt idx="8">
                        <c:v>3/3</c:v>
                      </c:pt>
                      <c:pt idx="9">
                        <c:v>3/4</c:v>
                      </c:pt>
                      <c:pt idx="10">
                        <c:v>3/5</c:v>
                      </c:pt>
                      <c:pt idx="11">
                        <c:v>3/6</c:v>
                      </c:pt>
                      <c:pt idx="12">
                        <c:v>3/7</c:v>
                      </c:pt>
                      <c:pt idx="13">
                        <c:v>3/8</c:v>
                      </c:pt>
                      <c:pt idx="14">
                        <c:v>3/9</c:v>
                      </c:pt>
                      <c:pt idx="15">
                        <c:v>3/10</c:v>
                      </c:pt>
                      <c:pt idx="16">
                        <c:v>3/11</c:v>
                      </c:pt>
                      <c:pt idx="17">
                        <c:v>3/12</c:v>
                      </c:pt>
                      <c:pt idx="18">
                        <c:v>3/13</c:v>
                      </c:pt>
                      <c:pt idx="19">
                        <c:v>3/14</c:v>
                      </c:pt>
                      <c:pt idx="20">
                        <c:v>3/15</c:v>
                      </c:pt>
                      <c:pt idx="21">
                        <c:v>3/16</c:v>
                      </c:pt>
                      <c:pt idx="22">
                        <c:v>3/17</c:v>
                      </c:pt>
                      <c:pt idx="23">
                        <c:v>3/18</c:v>
                      </c:pt>
                      <c:pt idx="24">
                        <c:v>3/19</c:v>
                      </c:pt>
                      <c:pt idx="25">
                        <c:v>3/20</c:v>
                      </c:pt>
                      <c:pt idx="26">
                        <c:v>3/21</c:v>
                      </c:pt>
                      <c:pt idx="27">
                        <c:v>3/22</c:v>
                      </c:pt>
                      <c:pt idx="28">
                        <c:v>3/23</c:v>
                      </c:pt>
                      <c:pt idx="29">
                        <c:v>3/24</c:v>
                      </c:pt>
                      <c:pt idx="30">
                        <c:v>3/25</c:v>
                      </c:pt>
                      <c:pt idx="31">
                        <c:v>3/26</c:v>
                      </c:pt>
                      <c:pt idx="32">
                        <c:v>3/27</c:v>
                      </c:pt>
                      <c:pt idx="33">
                        <c:v>3/28</c:v>
                      </c:pt>
                      <c:pt idx="34">
                        <c:v>3/29</c:v>
                      </c:pt>
                      <c:pt idx="35">
                        <c:v>3/30</c:v>
                      </c:pt>
                      <c:pt idx="36">
                        <c:v>3/31</c:v>
                      </c:pt>
                      <c:pt idx="37">
                        <c:v>4/1</c:v>
                      </c:pt>
                      <c:pt idx="38">
                        <c:v>4/2</c:v>
                      </c:pt>
                      <c:pt idx="39">
                        <c:v>4/3</c:v>
                      </c:pt>
                      <c:pt idx="40">
                        <c:v>4/4</c:v>
                      </c:pt>
                      <c:pt idx="41">
                        <c:v>4/5</c:v>
                      </c:pt>
                      <c:pt idx="42">
                        <c:v>4/6</c:v>
                      </c:pt>
                      <c:pt idx="43">
                        <c:v>4/7</c:v>
                      </c:pt>
                      <c:pt idx="44">
                        <c:v>4/8</c:v>
                      </c:pt>
                      <c:pt idx="45">
                        <c:v>4/9</c:v>
                      </c:pt>
                      <c:pt idx="46">
                        <c:v>4/10</c:v>
                      </c:pt>
                      <c:pt idx="47">
                        <c:v>4/11</c:v>
                      </c:pt>
                      <c:pt idx="48">
                        <c:v>4/12</c:v>
                      </c:pt>
                      <c:pt idx="49">
                        <c:v>4/13</c:v>
                      </c:pt>
                      <c:pt idx="50">
                        <c:v>4/14</c:v>
                      </c:pt>
                      <c:pt idx="51">
                        <c:v>4/15</c:v>
                      </c:pt>
                      <c:pt idx="52">
                        <c:v>4/16</c:v>
                      </c:pt>
                      <c:pt idx="53">
                        <c:v>4/17</c:v>
                      </c:pt>
                      <c:pt idx="54">
                        <c:v>4/18</c:v>
                      </c:pt>
                      <c:pt idx="55">
                        <c:v>4/19</c:v>
                      </c:pt>
                      <c:pt idx="56">
                        <c:v>4/20</c:v>
                      </c:pt>
                      <c:pt idx="57">
                        <c:v>4/21</c:v>
                      </c:pt>
                      <c:pt idx="58">
                        <c:v>4/22</c:v>
                      </c:pt>
                      <c:pt idx="59">
                        <c:v>4/23</c:v>
                      </c:pt>
                      <c:pt idx="60">
                        <c:v>4/24</c:v>
                      </c:pt>
                      <c:pt idx="61">
                        <c:v>4/25</c:v>
                      </c:pt>
                      <c:pt idx="62">
                        <c:v>4/26</c:v>
                      </c:pt>
                      <c:pt idx="63">
                        <c:v>4/27</c:v>
                      </c:pt>
                      <c:pt idx="64">
                        <c:v>4/28</c:v>
                      </c:pt>
                      <c:pt idx="65">
                        <c:v>4/29</c:v>
                      </c:pt>
                      <c:pt idx="66">
                        <c:v>4/30</c:v>
                      </c:pt>
                      <c:pt idx="67">
                        <c:v>5/1</c:v>
                      </c:pt>
                      <c:pt idx="68">
                        <c:v>5/2</c:v>
                      </c:pt>
                      <c:pt idx="69">
                        <c:v>5/3</c:v>
                      </c:pt>
                      <c:pt idx="70">
                        <c:v>5/4</c:v>
                      </c:pt>
                      <c:pt idx="71">
                        <c:v>5/5</c:v>
                      </c:pt>
                      <c:pt idx="72">
                        <c:v>5/6</c:v>
                      </c:pt>
                      <c:pt idx="73">
                        <c:v>5/7</c:v>
                      </c:pt>
                      <c:pt idx="74">
                        <c:v>5/8</c:v>
                      </c:pt>
                      <c:pt idx="75">
                        <c:v>5/9</c:v>
                      </c:pt>
                      <c:pt idx="76">
                        <c:v>5/10</c:v>
                      </c:pt>
                      <c:pt idx="77">
                        <c:v>5/11</c:v>
                      </c:pt>
                      <c:pt idx="78">
                        <c:v>5/12</c:v>
                      </c:pt>
                      <c:pt idx="79">
                        <c:v>5/13</c:v>
                      </c:pt>
                      <c:pt idx="80">
                        <c:v>5/14</c:v>
                      </c:pt>
                      <c:pt idx="81">
                        <c:v>5/15</c:v>
                      </c:pt>
                      <c:pt idx="82">
                        <c:v>5/16</c:v>
                      </c:pt>
                      <c:pt idx="83">
                        <c:v>5/17</c:v>
                      </c:pt>
                      <c:pt idx="84">
                        <c:v>5/18</c:v>
                      </c:pt>
                      <c:pt idx="85">
                        <c:v>5/19</c:v>
                      </c:pt>
                      <c:pt idx="86">
                        <c:v>5/20</c:v>
                      </c:pt>
                      <c:pt idx="87">
                        <c:v>5/21</c:v>
                      </c:pt>
                      <c:pt idx="88">
                        <c:v>5/22</c:v>
                      </c:pt>
                      <c:pt idx="89">
                        <c:v>5/23</c:v>
                      </c:pt>
                      <c:pt idx="90">
                        <c:v>5/24</c:v>
                      </c:pt>
                      <c:pt idx="91">
                        <c:v>5/25</c:v>
                      </c:pt>
                      <c:pt idx="92">
                        <c:v>5/26</c:v>
                      </c:pt>
                      <c:pt idx="93">
                        <c:v>5/27</c:v>
                      </c:pt>
                      <c:pt idx="94">
                        <c:v>5/28</c:v>
                      </c:pt>
                      <c:pt idx="95">
                        <c:v>5/29</c:v>
                      </c:pt>
                      <c:pt idx="96">
                        <c:v>5/30</c:v>
                      </c:pt>
                      <c:pt idx="97">
                        <c:v>5/31</c:v>
                      </c:pt>
                      <c:pt idx="98">
                        <c:v>6/1</c:v>
                      </c:pt>
                      <c:pt idx="99">
                        <c:v>6/2</c:v>
                      </c:pt>
                      <c:pt idx="100">
                        <c:v>6/3</c:v>
                      </c:pt>
                      <c:pt idx="101">
                        <c:v>6/4</c:v>
                      </c:pt>
                      <c:pt idx="102">
                        <c:v>6/5</c:v>
                      </c:pt>
                      <c:pt idx="103">
                        <c:v>6/6</c:v>
                      </c:pt>
                      <c:pt idx="104">
                        <c:v>6/7</c:v>
                      </c:pt>
                      <c:pt idx="105">
                        <c:v>6/8</c:v>
                      </c:pt>
                      <c:pt idx="106">
                        <c:v>6/9</c:v>
                      </c:pt>
                      <c:pt idx="107">
                        <c:v>6/10</c:v>
                      </c:pt>
                      <c:pt idx="108">
                        <c:v>6/11</c:v>
                      </c:pt>
                      <c:pt idx="109">
                        <c:v>6/12</c:v>
                      </c:pt>
                      <c:pt idx="110">
                        <c:v>6/13</c:v>
                      </c:pt>
                      <c:pt idx="111">
                        <c:v>6/14</c:v>
                      </c:pt>
                      <c:pt idx="112">
                        <c:v>6/15</c:v>
                      </c:pt>
                      <c:pt idx="113">
                        <c:v>6/16</c:v>
                      </c:pt>
                      <c:pt idx="114">
                        <c:v>6/17</c:v>
                      </c:pt>
                      <c:pt idx="115">
                        <c:v>6/18</c:v>
                      </c:pt>
                      <c:pt idx="116">
                        <c:v>6/19</c:v>
                      </c:pt>
                      <c:pt idx="117">
                        <c:v>6/20</c:v>
                      </c:pt>
                      <c:pt idx="118">
                        <c:v>6/21</c:v>
                      </c:pt>
                      <c:pt idx="119">
                        <c:v>6/22</c:v>
                      </c:pt>
                      <c:pt idx="120">
                        <c:v>6/23</c:v>
                      </c:pt>
                      <c:pt idx="121">
                        <c:v>6/24</c:v>
                      </c:pt>
                      <c:pt idx="122">
                        <c:v>6/25</c:v>
                      </c:pt>
                      <c:pt idx="123">
                        <c:v>6/26</c:v>
                      </c:pt>
                      <c:pt idx="124">
                        <c:v>6/27</c:v>
                      </c:pt>
                      <c:pt idx="125">
                        <c:v>6/28</c:v>
                      </c:pt>
                      <c:pt idx="126">
                        <c:v>6/29</c:v>
                      </c:pt>
                      <c:pt idx="127">
                        <c:v>6/30</c:v>
                      </c:pt>
                      <c:pt idx="128">
                        <c:v>7/1</c:v>
                      </c:pt>
                      <c:pt idx="129">
                        <c:v>7/2</c:v>
                      </c:pt>
                      <c:pt idx="130">
                        <c:v>7/3</c:v>
                      </c:pt>
                      <c:pt idx="131">
                        <c:v>7/4</c:v>
                      </c:pt>
                      <c:pt idx="132">
                        <c:v>7/5</c:v>
                      </c:pt>
                      <c:pt idx="133">
                        <c:v>7/6</c:v>
                      </c:pt>
                      <c:pt idx="134">
                        <c:v>7/7</c:v>
                      </c:pt>
                      <c:pt idx="135">
                        <c:v>7/8</c:v>
                      </c:pt>
                      <c:pt idx="136">
                        <c:v>7/9</c:v>
                      </c:pt>
                      <c:pt idx="137">
                        <c:v>7/10</c:v>
                      </c:pt>
                      <c:pt idx="138">
                        <c:v>7/11</c:v>
                      </c:pt>
                      <c:pt idx="139">
                        <c:v>7/12</c:v>
                      </c:pt>
                      <c:pt idx="140">
                        <c:v>7/13</c:v>
                      </c:pt>
                      <c:pt idx="141">
                        <c:v>7/14</c:v>
                      </c:pt>
                      <c:pt idx="142">
                        <c:v>7/15</c:v>
                      </c:pt>
                      <c:pt idx="143">
                        <c:v>7/16</c:v>
                      </c:pt>
                      <c:pt idx="144">
                        <c:v>7/17</c:v>
                      </c:pt>
                      <c:pt idx="145">
                        <c:v>7/18</c:v>
                      </c:pt>
                      <c:pt idx="146">
                        <c:v>7/19</c:v>
                      </c:pt>
                      <c:pt idx="147">
                        <c:v>7/20</c:v>
                      </c:pt>
                      <c:pt idx="148">
                        <c:v>7/21</c:v>
                      </c:pt>
                      <c:pt idx="149">
                        <c:v>7/22</c:v>
                      </c:pt>
                      <c:pt idx="150">
                        <c:v>7/23</c:v>
                      </c:pt>
                      <c:pt idx="151">
                        <c:v>7/24</c:v>
                      </c:pt>
                      <c:pt idx="152">
                        <c:v>7/25</c:v>
                      </c:pt>
                      <c:pt idx="153">
                        <c:v>7/26</c:v>
                      </c:pt>
                      <c:pt idx="154">
                        <c:v>7/27</c:v>
                      </c:pt>
                      <c:pt idx="155">
                        <c:v>7/28</c:v>
                      </c:pt>
                      <c:pt idx="156">
                        <c:v>7/29</c:v>
                      </c:pt>
                      <c:pt idx="157">
                        <c:v>7/30</c:v>
                      </c:pt>
                      <c:pt idx="158">
                        <c:v>7/31</c:v>
                      </c:pt>
                      <c:pt idx="159">
                        <c:v>8/1</c:v>
                      </c:pt>
                      <c:pt idx="160">
                        <c:v>8/2</c:v>
                      </c:pt>
                      <c:pt idx="161">
                        <c:v>8/3</c:v>
                      </c:pt>
                      <c:pt idx="162">
                        <c:v>8/4</c:v>
                      </c:pt>
                      <c:pt idx="163">
                        <c:v>8/5</c:v>
                      </c:pt>
                      <c:pt idx="164">
                        <c:v>8/6</c:v>
                      </c:pt>
                      <c:pt idx="165">
                        <c:v>8/7</c:v>
                      </c:pt>
                      <c:pt idx="166">
                        <c:v>8/8</c:v>
                      </c:pt>
                      <c:pt idx="167">
                        <c:v>8/9</c:v>
                      </c:pt>
                      <c:pt idx="168">
                        <c:v>8/10</c:v>
                      </c:pt>
                      <c:pt idx="169">
                        <c:v>8/11</c:v>
                      </c:pt>
                      <c:pt idx="170">
                        <c:v>8/12</c:v>
                      </c:pt>
                      <c:pt idx="171">
                        <c:v>8/13</c:v>
                      </c:pt>
                      <c:pt idx="172">
                        <c:v>8/14</c:v>
                      </c:pt>
                      <c:pt idx="173">
                        <c:v>8/15</c:v>
                      </c:pt>
                      <c:pt idx="174">
                        <c:v>8/16</c:v>
                      </c:pt>
                      <c:pt idx="175">
                        <c:v>8/17</c:v>
                      </c:pt>
                      <c:pt idx="176">
                        <c:v>8/18</c:v>
                      </c:pt>
                      <c:pt idx="177">
                        <c:v>8/19</c:v>
                      </c:pt>
                      <c:pt idx="178">
                        <c:v>8/20</c:v>
                      </c:pt>
                      <c:pt idx="179">
                        <c:v>8/21</c:v>
                      </c:pt>
                      <c:pt idx="180">
                        <c:v>8/22</c:v>
                      </c:pt>
                      <c:pt idx="181">
                        <c:v>8/23</c:v>
                      </c:pt>
                      <c:pt idx="182">
                        <c:v>8/24</c:v>
                      </c:pt>
                      <c:pt idx="183">
                        <c:v>8/25</c:v>
                      </c:pt>
                      <c:pt idx="184">
                        <c:v>8/26</c:v>
                      </c:pt>
                      <c:pt idx="185">
                        <c:v>8/27</c:v>
                      </c:pt>
                      <c:pt idx="186">
                        <c:v>8/28</c:v>
                      </c:pt>
                      <c:pt idx="187">
                        <c:v>8/29</c:v>
                      </c:pt>
                      <c:pt idx="188">
                        <c:v>8/30</c:v>
                      </c:pt>
                      <c:pt idx="189">
                        <c:v>8/31</c:v>
                      </c:pt>
                      <c:pt idx="190">
                        <c:v>9/1</c:v>
                      </c:pt>
                      <c:pt idx="191">
                        <c:v>9/2</c:v>
                      </c:pt>
                      <c:pt idx="192">
                        <c:v>9/3</c:v>
                      </c:pt>
                      <c:pt idx="193">
                        <c:v>9/4</c:v>
                      </c:pt>
                      <c:pt idx="194">
                        <c:v>9/5</c:v>
                      </c:pt>
                      <c:pt idx="195">
                        <c:v>9/6</c:v>
                      </c:pt>
                      <c:pt idx="196">
                        <c:v>9/7</c:v>
                      </c:pt>
                      <c:pt idx="197">
                        <c:v>9/8</c:v>
                      </c:pt>
                      <c:pt idx="198">
                        <c:v>9/9</c:v>
                      </c:pt>
                      <c:pt idx="199">
                        <c:v>9/10</c:v>
                      </c:pt>
                      <c:pt idx="200">
                        <c:v>9/11</c:v>
                      </c:pt>
                      <c:pt idx="201">
                        <c:v>9/12</c:v>
                      </c:pt>
                      <c:pt idx="202">
                        <c:v>9/13</c:v>
                      </c:pt>
                      <c:pt idx="203">
                        <c:v>9/14</c:v>
                      </c:pt>
                      <c:pt idx="204">
                        <c:v>9/15</c:v>
                      </c:pt>
                      <c:pt idx="205">
                        <c:v>9/16</c:v>
                      </c:pt>
                      <c:pt idx="206">
                        <c:v>9/17</c:v>
                      </c:pt>
                      <c:pt idx="207">
                        <c:v>9/18</c:v>
                      </c:pt>
                      <c:pt idx="208">
                        <c:v>9/19</c:v>
                      </c:pt>
                      <c:pt idx="209">
                        <c:v>9/20</c:v>
                      </c:pt>
                      <c:pt idx="210">
                        <c:v>9/21</c:v>
                      </c:pt>
                      <c:pt idx="211">
                        <c:v>9/22</c:v>
                      </c:pt>
                      <c:pt idx="212">
                        <c:v>9/23</c:v>
                      </c:pt>
                      <c:pt idx="213">
                        <c:v>9/24</c:v>
                      </c:pt>
                      <c:pt idx="214">
                        <c:v>9/25</c:v>
                      </c:pt>
                      <c:pt idx="215">
                        <c:v>9/26</c:v>
                      </c:pt>
                      <c:pt idx="216">
                        <c:v>9/27</c:v>
                      </c:pt>
                      <c:pt idx="217">
                        <c:v>9/28</c:v>
                      </c:pt>
                      <c:pt idx="218">
                        <c:v>9/29</c:v>
                      </c:pt>
                      <c:pt idx="219">
                        <c:v>9/30</c:v>
                      </c:pt>
                      <c:pt idx="220">
                        <c:v>10/1</c:v>
                      </c:pt>
                      <c:pt idx="221">
                        <c:v>10/2</c:v>
                      </c:pt>
                      <c:pt idx="222">
                        <c:v>10/3</c:v>
                      </c:pt>
                      <c:pt idx="223">
                        <c:v>10/4</c:v>
                      </c:pt>
                      <c:pt idx="224">
                        <c:v>10/5</c:v>
                      </c:pt>
                      <c:pt idx="225">
                        <c:v>10/6</c:v>
                      </c:pt>
                      <c:pt idx="226">
                        <c:v>10/7</c:v>
                      </c:pt>
                      <c:pt idx="227">
                        <c:v>10/8</c:v>
                      </c:pt>
                      <c:pt idx="228">
                        <c:v>10/9</c:v>
                      </c:pt>
                      <c:pt idx="229">
                        <c:v>10/10</c:v>
                      </c:pt>
                      <c:pt idx="230">
                        <c:v>10/11</c:v>
                      </c:pt>
                      <c:pt idx="231">
                        <c:v>10/12</c:v>
                      </c:pt>
                      <c:pt idx="232">
                        <c:v>10/13</c:v>
                      </c:pt>
                      <c:pt idx="233">
                        <c:v>10/14</c:v>
                      </c:pt>
                      <c:pt idx="234">
                        <c:v>10/15</c:v>
                      </c:pt>
                      <c:pt idx="235">
                        <c:v>10/16</c:v>
                      </c:pt>
                      <c:pt idx="236">
                        <c:v>10/17</c:v>
                      </c:pt>
                    </c:strCache>
                  </c:strRef>
                </c:cat>
                <c:val>
                  <c:numRef>
                    <c:extLst>
                      <c:ext uri="{02D57815-91ED-43cb-92C2-25804820EDAC}">
                        <c15:fullRef>
                          <c15:sqref>Sheet6!$Z$3:$Z$242</c15:sqref>
                        </c15:fullRef>
                        <c15:formulaRef>
                          <c15:sqref>Sheet6!$Z$4:$Z$242</c15:sqref>
                        </c15:formulaRef>
                      </c:ext>
                    </c:extLst>
                    <c:numCache>
                      <c:formatCode>0.00</c:formatCode>
                      <c:ptCount val="239"/>
                      <c:pt idx="0">
                        <c:v>7.1359046570102277E-3</c:v>
                      </c:pt>
                      <c:pt idx="1">
                        <c:v>1.6001423794737984E-3</c:v>
                      </c:pt>
                      <c:pt idx="2">
                        <c:v>4.0285742271606939E-3</c:v>
                      </c:pt>
                      <c:pt idx="3">
                        <c:v>6.1100872394637467E-3</c:v>
                      </c:pt>
                      <c:pt idx="4">
                        <c:v>4.9232596447295503E-3</c:v>
                      </c:pt>
                      <c:pt idx="5">
                        <c:v>4.0933102777825593E-3</c:v>
                      </c:pt>
                      <c:pt idx="6">
                        <c:v>3.6816553917768521E-3</c:v>
                      </c:pt>
                      <c:pt idx="7">
                        <c:v>4.1680057208077883E-3</c:v>
                      </c:pt>
                      <c:pt idx="8">
                        <c:v>6.6080568596319422E-3</c:v>
                      </c:pt>
                      <c:pt idx="9">
                        <c:v>4.1912443030823043E-3</c:v>
                      </c:pt>
                      <c:pt idx="10">
                        <c:v>6.6346152393742461E-3</c:v>
                      </c:pt>
                      <c:pt idx="11">
                        <c:v>9.4664024793973782E-3</c:v>
                      </c:pt>
                      <c:pt idx="12">
                        <c:v>1.3071702529415108E-2</c:v>
                      </c:pt>
                      <c:pt idx="13">
                        <c:v>6.4553461761136955E-3</c:v>
                      </c:pt>
                      <c:pt idx="14">
                        <c:v>1.1511397719554764E-2</c:v>
                      </c:pt>
                      <c:pt idx="15">
                        <c:v>2.0571125009148115E-2</c:v>
                      </c:pt>
                      <c:pt idx="16">
                        <c:v>2.1341318021674924E-2</c:v>
                      </c:pt>
                      <c:pt idx="17">
                        <c:v>1.9050657768901229E-2</c:v>
                      </c:pt>
                      <c:pt idx="18">
                        <c:v>1.9390937009349497E-2</c:v>
                      </c:pt>
                      <c:pt idx="19">
                        <c:v>2.610854718541844E-2</c:v>
                      </c:pt>
                      <c:pt idx="20">
                        <c:v>2.1683257160857086E-2</c:v>
                      </c:pt>
                      <c:pt idx="21">
                        <c:v>1.7752616958996135E-2</c:v>
                      </c:pt>
                      <c:pt idx="22">
                        <c:v>2.8025730223065988E-2</c:v>
                      </c:pt>
                      <c:pt idx="23">
                        <c:v>2.8610014577396668E-2</c:v>
                      </c:pt>
                      <c:pt idx="24">
                        <c:v>4.0018498575450007E-2</c:v>
                      </c:pt>
                      <c:pt idx="25">
                        <c:v>4.3715093055831905E-2</c:v>
                      </c:pt>
                      <c:pt idx="26">
                        <c:v>4.1796250119450463E-2</c:v>
                      </c:pt>
                      <c:pt idx="27">
                        <c:v>2.8327831792634695E-2</c:v>
                      </c:pt>
                      <c:pt idx="28">
                        <c:v>3.5681183183785034E-2</c:v>
                      </c:pt>
                      <c:pt idx="29">
                        <c:v>4.5615677106140513E-2</c:v>
                      </c:pt>
                      <c:pt idx="30">
                        <c:v>6.0777192141528144E-2</c:v>
                      </c:pt>
                      <c:pt idx="31">
                        <c:v>5.4808196294445381E-2</c:v>
                      </c:pt>
                      <c:pt idx="32">
                        <c:v>5.8838430420339975E-2</c:v>
                      </c:pt>
                      <c:pt idx="33">
                        <c:v>4.0674158575338133E-2</c:v>
                      </c:pt>
                      <c:pt idx="34">
                        <c:v>3.8723777563012707E-2</c:v>
                      </c:pt>
                      <c:pt idx="35">
                        <c:v>4.9147941611866912E-2</c:v>
                      </c:pt>
                      <c:pt idx="36">
                        <c:v>5.7191810876317146E-2</c:v>
                      </c:pt>
                      <c:pt idx="37">
                        <c:v>6.6078908697585523E-2</c:v>
                      </c:pt>
                      <c:pt idx="38">
                        <c:v>6.4100309406783892E-2</c:v>
                      </c:pt>
                      <c:pt idx="39">
                        <c:v>6.2038715179287572E-2</c:v>
                      </c:pt>
                      <c:pt idx="40">
                        <c:v>5.6829952952328254E-2</c:v>
                      </c:pt>
                      <c:pt idx="41">
                        <c:v>5.024679457370472E-2</c:v>
                      </c:pt>
                      <c:pt idx="42">
                        <c:v>5.5960166015767802E-2</c:v>
                      </c:pt>
                      <c:pt idx="43">
                        <c:v>8.5783566567640981E-2</c:v>
                      </c:pt>
                      <c:pt idx="44">
                        <c:v>7.6760357050193295E-2</c:v>
                      </c:pt>
                      <c:pt idx="45">
                        <c:v>8.8796282769658563E-2</c:v>
                      </c:pt>
                      <c:pt idx="46">
                        <c:v>9.3965207427004413E-2</c:v>
                      </c:pt>
                      <c:pt idx="47">
                        <c:v>7.7550468847526838E-2</c:v>
                      </c:pt>
                      <c:pt idx="48">
                        <c:v>6.0946501812385333E-2</c:v>
                      </c:pt>
                      <c:pt idx="49">
                        <c:v>4.4450428194946941E-2</c:v>
                      </c:pt>
                      <c:pt idx="50">
                        <c:v>7.2562473152175427E-2</c:v>
                      </c:pt>
                      <c:pt idx="51">
                        <c:v>0.10125216286879901</c:v>
                      </c:pt>
                      <c:pt idx="52">
                        <c:v>0.10906364631050407</c:v>
                      </c:pt>
                      <c:pt idx="53">
                        <c:v>0.10245724934960602</c:v>
                      </c:pt>
                      <c:pt idx="54">
                        <c:v>1.4500626354487742</c:v>
                      </c:pt>
                      <c:pt idx="55">
                        <c:v>1.3015265972462711E-2</c:v>
                      </c:pt>
                      <c:pt idx="56">
                        <c:v>4.6634854928751419E-2</c:v>
                      </c:pt>
                      <c:pt idx="57">
                        <c:v>7.3447199177340911E-2</c:v>
                      </c:pt>
                      <c:pt idx="58">
                        <c:v>6.1554024748990535E-2</c:v>
                      </c:pt>
                      <c:pt idx="59">
                        <c:v>0.15814353207428133</c:v>
                      </c:pt>
                      <c:pt idx="60">
                        <c:v>6.4198243432083635E-2</c:v>
                      </c:pt>
                      <c:pt idx="61">
                        <c:v>4.0025138170385582E-2</c:v>
                      </c:pt>
                      <c:pt idx="62">
                        <c:v>4.4282778422823646E-2</c:v>
                      </c:pt>
                      <c:pt idx="63">
                        <c:v>6.2335837052654594E-2</c:v>
                      </c:pt>
                      <c:pt idx="64">
                        <c:v>6.4053832242234862E-2</c:v>
                      </c:pt>
                      <c:pt idx="65">
                        <c:v>6.87878634313005E-2</c:v>
                      </c:pt>
                      <c:pt idx="66">
                        <c:v>7.259069143065161E-2</c:v>
                      </c:pt>
                      <c:pt idx="67">
                        <c:v>5.184029735824295E-2</c:v>
                      </c:pt>
                      <c:pt idx="68">
                        <c:v>4.4895281055630523E-2</c:v>
                      </c:pt>
                      <c:pt idx="69">
                        <c:v>3.8176010980827686E-2</c:v>
                      </c:pt>
                      <c:pt idx="70">
                        <c:v>5.3466998117459044E-2</c:v>
                      </c:pt>
                      <c:pt idx="71">
                        <c:v>6.2696035077909579E-2</c:v>
                      </c:pt>
                      <c:pt idx="72">
                        <c:v>2.2682516198661261E-2</c:v>
                      </c:pt>
                      <c:pt idx="73">
                        <c:v>7.54058796833358E-2</c:v>
                      </c:pt>
                      <c:pt idx="74">
                        <c:v>5.9907405204967699E-2</c:v>
                      </c:pt>
                      <c:pt idx="75">
                        <c:v>5.2094261864528729E-2</c:v>
                      </c:pt>
                      <c:pt idx="76">
                        <c:v>4.2863565005344294E-2</c:v>
                      </c:pt>
                      <c:pt idx="77">
                        <c:v>6.5765187836879568E-2</c:v>
                      </c:pt>
                      <c:pt idx="78">
                        <c:v>6.1497588192038134E-2</c:v>
                      </c:pt>
                      <c:pt idx="79">
                        <c:v>6.8273294823793365E-2</c:v>
                      </c:pt>
                      <c:pt idx="80">
                        <c:v>6.4780867887680435E-2</c:v>
                      </c:pt>
                      <c:pt idx="81">
                        <c:v>6.7486502823927624E-2</c:v>
                      </c:pt>
                      <c:pt idx="82">
                        <c:v>5.5614907079117863E-2</c:v>
                      </c:pt>
                      <c:pt idx="83">
                        <c:v>4.3325016853366816E-2</c:v>
                      </c:pt>
                      <c:pt idx="84">
                        <c:v>6.6771086469619309E-2</c:v>
                      </c:pt>
                      <c:pt idx="85">
                        <c:v>6.4100309406783892E-2</c:v>
                      </c:pt>
                      <c:pt idx="86">
                        <c:v>6.7464924140387003E-2</c:v>
                      </c:pt>
                      <c:pt idx="87">
                        <c:v>7.1354066873900598E-2</c:v>
                      </c:pt>
                      <c:pt idx="88">
                        <c:v>7.0676828190471858E-2</c:v>
                      </c:pt>
                      <c:pt idx="89">
                        <c:v>5.6778496091577542E-2</c:v>
                      </c:pt>
                      <c:pt idx="90">
                        <c:v>3.432006622199197E-2</c:v>
                      </c:pt>
                      <c:pt idx="91">
                        <c:v>5.6343602623297323E-2</c:v>
                      </c:pt>
                      <c:pt idx="92">
                        <c:v>6.1912562875511633E-2</c:v>
                      </c:pt>
                      <c:pt idx="93">
                        <c:v>6.6127045760868447E-2</c:v>
                      </c:pt>
                      <c:pt idx="94">
                        <c:v>6.3462908292968606E-2</c:v>
                      </c:pt>
                      <c:pt idx="95">
                        <c:v>5.9841009255611942E-2</c:v>
                      </c:pt>
                      <c:pt idx="96">
                        <c:v>4.8050748548762991E-2</c:v>
                      </c:pt>
                      <c:pt idx="97">
                        <c:v>2.9966151842988051E-2</c:v>
                      </c:pt>
                      <c:pt idx="98">
                        <c:v>4.2539884752234969E-2</c:v>
                      </c:pt>
                      <c:pt idx="99">
                        <c:v>3.3256071133565927E-2</c:v>
                      </c:pt>
                      <c:pt idx="100">
                        <c:v>4.5565880144123695E-2</c:v>
                      </c:pt>
                      <c:pt idx="101">
                        <c:v>6.7176101760689444E-2</c:v>
                      </c:pt>
                      <c:pt idx="102">
                        <c:v>5.6496313306815572E-2</c:v>
                      </c:pt>
                      <c:pt idx="103">
                        <c:v>4.6301215283238724E-2</c:v>
                      </c:pt>
                      <c:pt idx="104">
                        <c:v>2.7058009261205797E-2</c:v>
                      </c:pt>
                      <c:pt idx="105">
                        <c:v>5.3448739231386211E-2</c:v>
                      </c:pt>
                      <c:pt idx="106">
                        <c:v>6.2852065558895623E-2</c:v>
                      </c:pt>
                      <c:pt idx="107">
                        <c:v>5.4761719129896358E-2</c:v>
                      </c:pt>
                      <c:pt idx="108">
                        <c:v>6.2496847229842306E-2</c:v>
                      </c:pt>
                      <c:pt idx="109">
                        <c:v>5.4577470370434131E-2</c:v>
                      </c:pt>
                      <c:pt idx="110">
                        <c:v>4.9041708092897686E-2</c:v>
                      </c:pt>
                      <c:pt idx="111">
                        <c:v>2.8986811589990603E-2</c:v>
                      </c:pt>
                      <c:pt idx="112">
                        <c:v>4.6082108650364724E-2</c:v>
                      </c:pt>
                      <c:pt idx="113">
                        <c:v>5.6365181306837944E-2</c:v>
                      </c:pt>
                      <c:pt idx="114">
                        <c:v>5.4645526218523775E-2</c:v>
                      </c:pt>
                      <c:pt idx="115">
                        <c:v>4.7423306827351061E-2</c:v>
                      </c:pt>
                      <c:pt idx="116">
                        <c:v>4.9589474675082706E-2</c:v>
                      </c:pt>
                      <c:pt idx="117">
                        <c:v>4.0801970777847966E-2</c:v>
                      </c:pt>
                      <c:pt idx="118">
                        <c:v>2.6810684349855594E-2</c:v>
                      </c:pt>
                      <c:pt idx="119">
                        <c:v>3.855114809468773E-2</c:v>
                      </c:pt>
                      <c:pt idx="120">
                        <c:v>5.0190358016752333E-2</c:v>
                      </c:pt>
                      <c:pt idx="121">
                        <c:v>4.8835880649894838E-2</c:v>
                      </c:pt>
                      <c:pt idx="122">
                        <c:v>4.7026591029950403E-2</c:v>
                      </c:pt>
                      <c:pt idx="123">
                        <c:v>4.9333850270063033E-2</c:v>
                      </c:pt>
                      <c:pt idx="124">
                        <c:v>3.5161634880076217E-2</c:v>
                      </c:pt>
                      <c:pt idx="125">
                        <c:v>2.5701871995614415E-2</c:v>
                      </c:pt>
                      <c:pt idx="126">
                        <c:v>4.7258976852695554E-2</c:v>
                      </c:pt>
                      <c:pt idx="127">
                        <c:v>4.8676530371441019E-2</c:v>
                      </c:pt>
                      <c:pt idx="128">
                        <c:v>4.8381068396807891E-2</c:v>
                      </c:pt>
                      <c:pt idx="129">
                        <c:v>4.2626199486397454E-2</c:v>
                      </c:pt>
                      <c:pt idx="130">
                        <c:v>4.8047428751295196E-2</c:v>
                      </c:pt>
                      <c:pt idx="131">
                        <c:v>3.513341660160002E-2</c:v>
                      </c:pt>
                      <c:pt idx="132">
                        <c:v>2.2858465464454022E-2</c:v>
                      </c:pt>
                      <c:pt idx="133">
                        <c:v>3.7331122525275651E-2</c:v>
                      </c:pt>
                      <c:pt idx="134">
                        <c:v>4.76042357893455E-2</c:v>
                      </c:pt>
                      <c:pt idx="135">
                        <c:v>4.970898738392307E-2</c:v>
                      </c:pt>
                      <c:pt idx="136">
                        <c:v>4.5233900397344894E-2</c:v>
                      </c:pt>
                      <c:pt idx="137">
                        <c:v>4.2242762878867947E-2</c:v>
                      </c:pt>
                      <c:pt idx="138">
                        <c:v>3.8278924702329117E-2</c:v>
                      </c:pt>
                      <c:pt idx="139">
                        <c:v>2.3248541666919108E-2</c:v>
                      </c:pt>
                      <c:pt idx="140">
                        <c:v>4.0206067132380029E-2</c:v>
                      </c:pt>
                      <c:pt idx="141">
                        <c:v>4.7127844852717933E-2</c:v>
                      </c:pt>
                      <c:pt idx="142">
                        <c:v>4.6624895536348056E-2</c:v>
                      </c:pt>
                      <c:pt idx="143">
                        <c:v>4.7574357612135409E-2</c:v>
                      </c:pt>
                      <c:pt idx="144">
                        <c:v>4.5761748194723187E-2</c:v>
                      </c:pt>
                      <c:pt idx="145">
                        <c:v>3.4228771791627803E-2</c:v>
                      </c:pt>
                      <c:pt idx="146">
                        <c:v>2.3439430021316918E-2</c:v>
                      </c:pt>
                      <c:pt idx="147">
                        <c:v>3.9696478221074576E-2</c:v>
                      </c:pt>
                      <c:pt idx="148">
                        <c:v>4.8615114118286944E-2</c:v>
                      </c:pt>
                      <c:pt idx="149">
                        <c:v>5.4806536395711494E-2</c:v>
                      </c:pt>
                      <c:pt idx="150">
                        <c:v>4.808726632090865E-2</c:v>
                      </c:pt>
                      <c:pt idx="151">
                        <c:v>4.6575098574331238E-2</c:v>
                      </c:pt>
                      <c:pt idx="152">
                        <c:v>4.1791270423248782E-2</c:v>
                      </c:pt>
                      <c:pt idx="153">
                        <c:v>3.2158878070461999E-2</c:v>
                      </c:pt>
                      <c:pt idx="154">
                        <c:v>4.2063493815607395E-2</c:v>
                      </c:pt>
                      <c:pt idx="155">
                        <c:v>5.1249373408976687E-2</c:v>
                      </c:pt>
                      <c:pt idx="156">
                        <c:v>5.5433978117123417E-2</c:v>
                      </c:pt>
                      <c:pt idx="157">
                        <c:v>4.9275753814376745E-2</c:v>
                      </c:pt>
                      <c:pt idx="158">
                        <c:v>5.2959069104887492E-2</c:v>
                      </c:pt>
                      <c:pt idx="159">
                        <c:v>4.0660879385466982E-2</c:v>
                      </c:pt>
                      <c:pt idx="160">
                        <c:v>2.2353856249350254E-2</c:v>
                      </c:pt>
                      <c:pt idx="161">
                        <c:v>3.8992681157903525E-2</c:v>
                      </c:pt>
                      <c:pt idx="162">
                        <c:v>4.9363728447273131E-2</c:v>
                      </c:pt>
                      <c:pt idx="163">
                        <c:v>5.3397282370635506E-2</c:v>
                      </c:pt>
                      <c:pt idx="164">
                        <c:v>5.04476423205059E-2</c:v>
                      </c:pt>
                      <c:pt idx="165">
                        <c:v>4.4204763182330631E-2</c:v>
                      </c:pt>
                      <c:pt idx="166">
                        <c:v>3.7800873866967649E-2</c:v>
                      </c:pt>
                      <c:pt idx="167">
                        <c:v>1.8099535794379978E-2</c:v>
                      </c:pt>
                      <c:pt idx="168">
                        <c:v>3.6622345765902918E-2</c:v>
                      </c:pt>
                      <c:pt idx="169">
                        <c:v>4.5365032397322522E-2</c:v>
                      </c:pt>
                      <c:pt idx="170">
                        <c:v>4.2541544650968863E-2</c:v>
                      </c:pt>
                      <c:pt idx="171">
                        <c:v>4.1278361714475541E-2</c:v>
                      </c:pt>
                      <c:pt idx="172">
                        <c:v>4.305279346100821E-2</c:v>
                      </c:pt>
                      <c:pt idx="173">
                        <c:v>3.7297924550597772E-2</c:v>
                      </c:pt>
                      <c:pt idx="174">
                        <c:v>3.5486975031919436E-2</c:v>
                      </c:pt>
                      <c:pt idx="175">
                        <c:v>5.425710991479258E-2</c:v>
                      </c:pt>
                      <c:pt idx="176">
                        <c:v>6.8537218722482515E-2</c:v>
                      </c:pt>
                      <c:pt idx="177">
                        <c:v>8.243389092264293E-2</c:v>
                      </c:pt>
                      <c:pt idx="178">
                        <c:v>7.4600828797397226E-2</c:v>
                      </c:pt>
                      <c:pt idx="179">
                        <c:v>7.7372859683000172E-2</c:v>
                      </c:pt>
                      <c:pt idx="180">
                        <c:v>7.8783773606810062E-2</c:v>
                      </c:pt>
                      <c:pt idx="181">
                        <c:v>5.5370901965235447E-2</c:v>
                      </c:pt>
                      <c:pt idx="182">
                        <c:v>7.6020042214876571E-2</c:v>
                      </c:pt>
                      <c:pt idx="183">
                        <c:v>9.6363761097481224E-2</c:v>
                      </c:pt>
                      <c:pt idx="184">
                        <c:v>9.5676563021649119E-2</c:v>
                      </c:pt>
                      <c:pt idx="185">
                        <c:v>0.10811750403218451</c:v>
                      </c:pt>
                      <c:pt idx="186">
                        <c:v>0.10672152919697966</c:v>
                      </c:pt>
                      <c:pt idx="187">
                        <c:v>8.8872638111417684E-2</c:v>
                      </c:pt>
                      <c:pt idx="188">
                        <c:v>7.0683467785407419E-2</c:v>
                      </c:pt>
                      <c:pt idx="189">
                        <c:v>9.0290191630163136E-2</c:v>
                      </c:pt>
                      <c:pt idx="190">
                        <c:v>0.1098554180065715</c:v>
                      </c:pt>
                      <c:pt idx="191">
                        <c:v>0.10158912231177947</c:v>
                      </c:pt>
                      <c:pt idx="192">
                        <c:v>0.12043893233387953</c:v>
                      </c:pt>
                      <c:pt idx="193">
                        <c:v>0.1155903681321752</c:v>
                      </c:pt>
                      <c:pt idx="194">
                        <c:v>8.9108343731630624E-2</c:v>
                      </c:pt>
                      <c:pt idx="195">
                        <c:v>6.7562858165686746E-2</c:v>
                      </c:pt>
                      <c:pt idx="196">
                        <c:v>9.6161253451946163E-2</c:v>
                      </c:pt>
                      <c:pt idx="197">
                        <c:v>0.10464997557707999</c:v>
                      </c:pt>
                      <c:pt idx="198">
                        <c:v>9.5907288945660377E-2</c:v>
                      </c:pt>
                      <c:pt idx="199">
                        <c:v>0.10195430003323615</c:v>
                      </c:pt>
                      <c:pt idx="200">
                        <c:v>9.3870593199172458E-2</c:v>
                      </c:pt>
                      <c:pt idx="201">
                        <c:v>8.110265213805995E-2</c:v>
                      </c:pt>
                      <c:pt idx="202">
                        <c:v>5.2866114775789431E-2</c:v>
                      </c:pt>
                      <c:pt idx="203">
                        <c:v>8.3831525656581668E-2</c:v>
                      </c:pt>
                      <c:pt idx="204">
                        <c:v>9.6468334717716542E-2</c:v>
                      </c:pt>
                      <c:pt idx="205">
                        <c:v>0.10366233583041307</c:v>
                      </c:pt>
                      <c:pt idx="206">
                        <c:v>9.9618822514647321E-2</c:v>
                      </c:pt>
                      <c:pt idx="207">
                        <c:v>0.10087204605873727</c:v>
                      </c:pt>
                      <c:pt idx="208">
                        <c:v>9.0851237402219315E-2</c:v>
                      </c:pt>
                      <c:pt idx="209">
                        <c:v>6.6218340191232627E-2</c:v>
                      </c:pt>
                      <c:pt idx="210">
                        <c:v>8.1907703023998524E-2</c:v>
                      </c:pt>
                      <c:pt idx="211">
                        <c:v>0.10584012296928197</c:v>
                      </c:pt>
                      <c:pt idx="212">
                        <c:v>0.10772576793098552</c:v>
                      </c:pt>
                      <c:pt idx="213">
                        <c:v>0.10624845805781988</c:v>
                      </c:pt>
                      <c:pt idx="214">
                        <c:v>0.10295521896977423</c:v>
                      </c:pt>
                      <c:pt idx="215">
                        <c:v>8.9197978263260896E-2</c:v>
                      </c:pt>
                      <c:pt idx="216">
                        <c:v>5.3689424547800846E-2</c:v>
                      </c:pt>
                      <c:pt idx="217">
                        <c:v>8.9000450313927518E-2</c:v>
                      </c:pt>
                      <c:pt idx="218">
                        <c:v>0.10351128504562872</c:v>
                      </c:pt>
                      <c:pt idx="219">
                        <c:v>0.11259591081623048</c:v>
                      </c:pt>
                      <c:pt idx="220">
                        <c:v>0.11906287628348142</c:v>
                      </c:pt>
                      <c:pt idx="221">
                        <c:v>0.11558206863850574</c:v>
                      </c:pt>
                      <c:pt idx="222">
                        <c:v>9.8541548236350127E-2</c:v>
                      </c:pt>
                      <c:pt idx="223">
                        <c:v>6.0670958622558932E-2</c:v>
                      </c:pt>
                      <c:pt idx="224">
                        <c:v>0.10376524955191449</c:v>
                      </c:pt>
                      <c:pt idx="225">
                        <c:v>0.13343427952153553</c:v>
                      </c:pt>
                      <c:pt idx="226">
                        <c:v>0.11450811415767634</c:v>
                      </c:pt>
                      <c:pt idx="227">
                        <c:v>0.12920983724377533</c:v>
                      </c:pt>
                      <c:pt idx="228">
                        <c:v>0.13297282767351298</c:v>
                      </c:pt>
                      <c:pt idx="229">
                        <c:v>0.1140483222083877</c:v>
                      </c:pt>
                      <c:pt idx="230">
                        <c:v>9.9011299578042125E-2</c:v>
                      </c:pt>
                      <c:pt idx="231">
                        <c:v>0.11662448504339115</c:v>
                      </c:pt>
                      <c:pt idx="232">
                        <c:v>0.1454087889878467</c:v>
                      </c:pt>
                      <c:pt idx="233">
                        <c:v>0.16356974103538074</c:v>
                      </c:pt>
                      <c:pt idx="234">
                        <c:v>0.15337796280927171</c:v>
                      </c:pt>
                      <c:pt idx="235">
                        <c:v>0.17151069657832957</c:v>
                      </c:pt>
                    </c:numCache>
                  </c:numRef>
                </c:val>
                <c:smooth val="0"/>
                <c:extLst>
                  <c:ext xmlns:c16="http://schemas.microsoft.com/office/drawing/2014/chart" uri="{C3380CC4-5D6E-409C-BE32-E72D297353CC}">
                    <c16:uniqueId val="{00000002-39BD-42C4-A51C-941BD3496882}"/>
                  </c:ext>
                </c:extLst>
              </c15:ser>
            </c15:filteredLineSeries>
          </c:ext>
        </c:extLst>
      </c:lineChart>
      <c:lineChart>
        <c:grouping val="standard"/>
        <c:varyColors val="0"/>
        <c:ser>
          <c:idx val="0"/>
          <c:order val="2"/>
          <c:tx>
            <c:strRef>
              <c:f>Sheet6!$J$2</c:f>
              <c:strCache>
                <c:ptCount val="1"/>
                <c:pt idx="0">
                  <c:v>nuovi_attualmente_positivi</c:v>
                </c:pt>
              </c:strCache>
            </c:strRef>
          </c:tx>
          <c:spPr>
            <a:ln w="28575" cap="rnd">
              <a:solidFill>
                <a:schemeClr val="accent1"/>
              </a:solidFill>
              <a:round/>
            </a:ln>
            <a:effectLst/>
          </c:spPr>
          <c:marker>
            <c:symbol val="none"/>
          </c:marker>
          <c:cat>
            <c:strLit>
              <c:ptCount val="239"/>
              <c:pt idx="0">
                <c:v>2</c:v>
              </c:pt>
              <c:pt idx="1">
                <c:v>3</c:v>
              </c:pt>
              <c:pt idx="2">
                <c:v>4</c:v>
              </c:pt>
              <c:pt idx="3">
                <c:v>5</c:v>
              </c:pt>
              <c:pt idx="4">
                <c:v>6</c:v>
              </c:pt>
              <c:pt idx="5">
                <c:v>7</c:v>
              </c:pt>
              <c:pt idx="6">
                <c:v>8</c:v>
              </c:pt>
              <c:pt idx="7">
                <c:v>9</c:v>
              </c:pt>
              <c:pt idx="8">
                <c:v>10</c:v>
              </c:pt>
              <c:pt idx="9">
                <c:v>11</c:v>
              </c:pt>
              <c:pt idx="10">
                <c:v>12</c:v>
              </c:pt>
              <c:pt idx="11">
                <c:v>13</c:v>
              </c:pt>
              <c:pt idx="12">
                <c:v>14</c:v>
              </c:pt>
              <c:pt idx="13">
                <c:v>15</c:v>
              </c:pt>
              <c:pt idx="14">
                <c:v>16</c:v>
              </c:pt>
              <c:pt idx="15">
                <c:v>17</c:v>
              </c:pt>
              <c:pt idx="16">
                <c:v>18</c:v>
              </c:pt>
              <c:pt idx="17">
                <c:v>19</c:v>
              </c:pt>
              <c:pt idx="18">
                <c:v>20</c:v>
              </c:pt>
              <c:pt idx="19">
                <c:v>21</c:v>
              </c:pt>
              <c:pt idx="20">
                <c:v>22</c:v>
              </c:pt>
              <c:pt idx="21">
                <c:v>23</c:v>
              </c:pt>
              <c:pt idx="22">
                <c:v>24</c:v>
              </c:pt>
              <c:pt idx="23">
                <c:v>25</c:v>
              </c:pt>
              <c:pt idx="24">
                <c:v>26</c:v>
              </c:pt>
              <c:pt idx="25">
                <c:v>27</c:v>
              </c:pt>
              <c:pt idx="26">
                <c:v>28</c:v>
              </c:pt>
              <c:pt idx="27">
                <c:v>29</c:v>
              </c:pt>
              <c:pt idx="28">
                <c:v>30</c:v>
              </c:pt>
              <c:pt idx="29">
                <c:v>31</c:v>
              </c:pt>
              <c:pt idx="30">
                <c:v>32</c:v>
              </c:pt>
              <c:pt idx="31">
                <c:v>33</c:v>
              </c:pt>
              <c:pt idx="32">
                <c:v>34</c:v>
              </c:pt>
              <c:pt idx="33">
                <c:v>35</c:v>
              </c:pt>
              <c:pt idx="34">
                <c:v>36</c:v>
              </c:pt>
              <c:pt idx="35">
                <c:v>37</c:v>
              </c:pt>
              <c:pt idx="36">
                <c:v>38</c:v>
              </c:pt>
              <c:pt idx="37">
                <c:v>39</c:v>
              </c:pt>
              <c:pt idx="38">
                <c:v>40</c:v>
              </c:pt>
              <c:pt idx="39">
                <c:v>41</c:v>
              </c:pt>
              <c:pt idx="40">
                <c:v>42</c:v>
              </c:pt>
              <c:pt idx="41">
                <c:v>43</c:v>
              </c:pt>
              <c:pt idx="42">
                <c:v>44</c:v>
              </c:pt>
              <c:pt idx="43">
                <c:v>45</c:v>
              </c:pt>
              <c:pt idx="44">
                <c:v>46</c:v>
              </c:pt>
              <c:pt idx="45">
                <c:v>47</c:v>
              </c:pt>
              <c:pt idx="46">
                <c:v>48</c:v>
              </c:pt>
              <c:pt idx="47">
                <c:v>49</c:v>
              </c:pt>
              <c:pt idx="48">
                <c:v>50</c:v>
              </c:pt>
              <c:pt idx="49">
                <c:v>51</c:v>
              </c:pt>
              <c:pt idx="50">
                <c:v>52</c:v>
              </c:pt>
              <c:pt idx="51">
                <c:v>53</c:v>
              </c:pt>
              <c:pt idx="52">
                <c:v>54</c:v>
              </c:pt>
              <c:pt idx="53">
                <c:v>55</c:v>
              </c:pt>
              <c:pt idx="54">
                <c:v>56</c:v>
              </c:pt>
              <c:pt idx="55">
                <c:v>57</c:v>
              </c:pt>
              <c:pt idx="56">
                <c:v>58</c:v>
              </c:pt>
              <c:pt idx="57">
                <c:v>59</c:v>
              </c:pt>
              <c:pt idx="58">
                <c:v>60</c:v>
              </c:pt>
              <c:pt idx="59">
                <c:v>61</c:v>
              </c:pt>
              <c:pt idx="60">
                <c:v>62</c:v>
              </c:pt>
              <c:pt idx="61">
                <c:v>63</c:v>
              </c:pt>
              <c:pt idx="62">
                <c:v>64</c:v>
              </c:pt>
              <c:pt idx="63">
                <c:v>65</c:v>
              </c:pt>
              <c:pt idx="64">
                <c:v>66</c:v>
              </c:pt>
              <c:pt idx="65">
                <c:v>67</c:v>
              </c:pt>
              <c:pt idx="66">
                <c:v>68</c:v>
              </c:pt>
              <c:pt idx="67">
                <c:v>69</c:v>
              </c:pt>
              <c:pt idx="68">
                <c:v>70</c:v>
              </c:pt>
              <c:pt idx="69">
                <c:v>71</c:v>
              </c:pt>
              <c:pt idx="70">
                <c:v>72</c:v>
              </c:pt>
              <c:pt idx="71">
                <c:v>73</c:v>
              </c:pt>
              <c:pt idx="72">
                <c:v>74</c:v>
              </c:pt>
              <c:pt idx="73">
                <c:v>75</c:v>
              </c:pt>
              <c:pt idx="74">
                <c:v>76</c:v>
              </c:pt>
              <c:pt idx="75">
                <c:v>77</c:v>
              </c:pt>
              <c:pt idx="76">
                <c:v>78</c:v>
              </c:pt>
              <c:pt idx="77">
                <c:v>79</c:v>
              </c:pt>
              <c:pt idx="78">
                <c:v>80</c:v>
              </c:pt>
              <c:pt idx="79">
                <c:v>81</c:v>
              </c:pt>
              <c:pt idx="80">
                <c:v>82</c:v>
              </c:pt>
              <c:pt idx="81">
                <c:v>83</c:v>
              </c:pt>
              <c:pt idx="82">
                <c:v>84</c:v>
              </c:pt>
              <c:pt idx="83">
                <c:v>85</c:v>
              </c:pt>
              <c:pt idx="84">
                <c:v>86</c:v>
              </c:pt>
              <c:pt idx="85">
                <c:v>87</c:v>
              </c:pt>
              <c:pt idx="86">
                <c:v>88</c:v>
              </c:pt>
              <c:pt idx="87">
                <c:v>89</c:v>
              </c:pt>
              <c:pt idx="88">
                <c:v>90</c:v>
              </c:pt>
              <c:pt idx="89">
                <c:v>91</c:v>
              </c:pt>
              <c:pt idx="90">
                <c:v>92</c:v>
              </c:pt>
              <c:pt idx="91">
                <c:v>93</c:v>
              </c:pt>
              <c:pt idx="92">
                <c:v>94</c:v>
              </c:pt>
              <c:pt idx="93">
                <c:v>95</c:v>
              </c:pt>
              <c:pt idx="94">
                <c:v>96</c:v>
              </c:pt>
              <c:pt idx="95">
                <c:v>97</c:v>
              </c:pt>
              <c:pt idx="96">
                <c:v>98</c:v>
              </c:pt>
              <c:pt idx="97">
                <c:v>99</c:v>
              </c:pt>
              <c:pt idx="98">
                <c:v>100</c:v>
              </c:pt>
              <c:pt idx="99">
                <c:v>101</c:v>
              </c:pt>
              <c:pt idx="100">
                <c:v>102</c:v>
              </c:pt>
              <c:pt idx="101">
                <c:v>103</c:v>
              </c:pt>
              <c:pt idx="102">
                <c:v>104</c:v>
              </c:pt>
              <c:pt idx="103">
                <c:v>105</c:v>
              </c:pt>
              <c:pt idx="104">
                <c:v>106</c:v>
              </c:pt>
              <c:pt idx="105">
                <c:v>107</c:v>
              </c:pt>
              <c:pt idx="106">
                <c:v>108</c:v>
              </c:pt>
              <c:pt idx="107">
                <c:v>109</c:v>
              </c:pt>
              <c:pt idx="108">
                <c:v>110</c:v>
              </c:pt>
              <c:pt idx="109">
                <c:v>111</c:v>
              </c:pt>
              <c:pt idx="110">
                <c:v>112</c:v>
              </c:pt>
              <c:pt idx="111">
                <c:v>113</c:v>
              </c:pt>
              <c:pt idx="112">
                <c:v>114</c:v>
              </c:pt>
              <c:pt idx="113">
                <c:v>115</c:v>
              </c:pt>
              <c:pt idx="114">
                <c:v>116</c:v>
              </c:pt>
              <c:pt idx="115">
                <c:v>117</c:v>
              </c:pt>
              <c:pt idx="116">
                <c:v>118</c:v>
              </c:pt>
              <c:pt idx="117">
                <c:v>119</c:v>
              </c:pt>
              <c:pt idx="118">
                <c:v>120</c:v>
              </c:pt>
              <c:pt idx="119">
                <c:v>121</c:v>
              </c:pt>
              <c:pt idx="120">
                <c:v>122</c:v>
              </c:pt>
              <c:pt idx="121">
                <c:v>123</c:v>
              </c:pt>
              <c:pt idx="122">
                <c:v>124</c:v>
              </c:pt>
              <c:pt idx="123">
                <c:v>125</c:v>
              </c:pt>
              <c:pt idx="124">
                <c:v>126</c:v>
              </c:pt>
              <c:pt idx="125">
                <c:v>127</c:v>
              </c:pt>
              <c:pt idx="126">
                <c:v>128</c:v>
              </c:pt>
              <c:pt idx="127">
                <c:v>129</c:v>
              </c:pt>
              <c:pt idx="128">
                <c:v>130</c:v>
              </c:pt>
              <c:pt idx="129">
                <c:v>131</c:v>
              </c:pt>
              <c:pt idx="130">
                <c:v>132</c:v>
              </c:pt>
              <c:pt idx="131">
                <c:v>133</c:v>
              </c:pt>
              <c:pt idx="132">
                <c:v>134</c:v>
              </c:pt>
              <c:pt idx="133">
                <c:v>135</c:v>
              </c:pt>
              <c:pt idx="134">
                <c:v>136</c:v>
              </c:pt>
              <c:pt idx="135">
                <c:v>137</c:v>
              </c:pt>
              <c:pt idx="136">
                <c:v>138</c:v>
              </c:pt>
              <c:pt idx="137">
                <c:v>139</c:v>
              </c:pt>
              <c:pt idx="138">
                <c:v>140</c:v>
              </c:pt>
              <c:pt idx="139">
                <c:v>141</c:v>
              </c:pt>
              <c:pt idx="140">
                <c:v>142</c:v>
              </c:pt>
              <c:pt idx="141">
                <c:v>143</c:v>
              </c:pt>
              <c:pt idx="142">
                <c:v>144</c:v>
              </c:pt>
              <c:pt idx="143">
                <c:v>145</c:v>
              </c:pt>
              <c:pt idx="144">
                <c:v>146</c:v>
              </c:pt>
              <c:pt idx="145">
                <c:v>147</c:v>
              </c:pt>
              <c:pt idx="146">
                <c:v>148</c:v>
              </c:pt>
              <c:pt idx="147">
                <c:v>149</c:v>
              </c:pt>
              <c:pt idx="148">
                <c:v>150</c:v>
              </c:pt>
              <c:pt idx="149">
                <c:v>151</c:v>
              </c:pt>
              <c:pt idx="150">
                <c:v>152</c:v>
              </c:pt>
              <c:pt idx="151">
                <c:v>153</c:v>
              </c:pt>
              <c:pt idx="152">
                <c:v>154</c:v>
              </c:pt>
              <c:pt idx="153">
                <c:v>155</c:v>
              </c:pt>
              <c:pt idx="154">
                <c:v>156</c:v>
              </c:pt>
              <c:pt idx="155">
                <c:v>157</c:v>
              </c:pt>
              <c:pt idx="156">
                <c:v>158</c:v>
              </c:pt>
              <c:pt idx="157">
                <c:v>159</c:v>
              </c:pt>
              <c:pt idx="158">
                <c:v>160</c:v>
              </c:pt>
              <c:pt idx="159">
                <c:v>161</c:v>
              </c:pt>
              <c:pt idx="160">
                <c:v>162</c:v>
              </c:pt>
              <c:pt idx="161">
                <c:v>163</c:v>
              </c:pt>
              <c:pt idx="162">
                <c:v>164</c:v>
              </c:pt>
              <c:pt idx="163">
                <c:v>165</c:v>
              </c:pt>
              <c:pt idx="164">
                <c:v>166</c:v>
              </c:pt>
              <c:pt idx="165">
                <c:v>167</c:v>
              </c:pt>
              <c:pt idx="166">
                <c:v>168</c:v>
              </c:pt>
              <c:pt idx="167">
                <c:v>169</c:v>
              </c:pt>
              <c:pt idx="168">
                <c:v>170</c:v>
              </c:pt>
              <c:pt idx="169">
                <c:v>171</c:v>
              </c:pt>
              <c:pt idx="170">
                <c:v>172</c:v>
              </c:pt>
              <c:pt idx="171">
                <c:v>173</c:v>
              </c:pt>
              <c:pt idx="172">
                <c:v>174</c:v>
              </c:pt>
              <c:pt idx="173">
                <c:v>175</c:v>
              </c:pt>
              <c:pt idx="174">
                <c:v>176</c:v>
              </c:pt>
              <c:pt idx="175">
                <c:v>177</c:v>
              </c:pt>
              <c:pt idx="176">
                <c:v>178</c:v>
              </c:pt>
              <c:pt idx="177">
                <c:v>179</c:v>
              </c:pt>
              <c:pt idx="178">
                <c:v>180</c:v>
              </c:pt>
              <c:pt idx="179">
                <c:v>181</c:v>
              </c:pt>
              <c:pt idx="180">
                <c:v>182</c:v>
              </c:pt>
              <c:pt idx="181">
                <c:v>183</c:v>
              </c:pt>
              <c:pt idx="182">
                <c:v>184</c:v>
              </c:pt>
              <c:pt idx="183">
                <c:v>185</c:v>
              </c:pt>
              <c:pt idx="184">
                <c:v>186</c:v>
              </c:pt>
              <c:pt idx="185">
                <c:v>187</c:v>
              </c:pt>
              <c:pt idx="186">
                <c:v>188</c:v>
              </c:pt>
              <c:pt idx="187">
                <c:v>189</c:v>
              </c:pt>
              <c:pt idx="188">
                <c:v>190</c:v>
              </c:pt>
              <c:pt idx="189">
                <c:v>191</c:v>
              </c:pt>
              <c:pt idx="190">
                <c:v>192</c:v>
              </c:pt>
              <c:pt idx="191">
                <c:v>193</c:v>
              </c:pt>
              <c:pt idx="192">
                <c:v>194</c:v>
              </c:pt>
              <c:pt idx="193">
                <c:v>195</c:v>
              </c:pt>
              <c:pt idx="194">
                <c:v>196</c:v>
              </c:pt>
              <c:pt idx="195">
                <c:v>197</c:v>
              </c:pt>
              <c:pt idx="196">
                <c:v>198</c:v>
              </c:pt>
              <c:pt idx="197">
                <c:v>199</c:v>
              </c:pt>
              <c:pt idx="198">
                <c:v>200</c:v>
              </c:pt>
              <c:pt idx="199">
                <c:v>201</c:v>
              </c:pt>
              <c:pt idx="200">
                <c:v>202</c:v>
              </c:pt>
              <c:pt idx="201">
                <c:v>203</c:v>
              </c:pt>
              <c:pt idx="202">
                <c:v>204</c:v>
              </c:pt>
              <c:pt idx="203">
                <c:v>205</c:v>
              </c:pt>
              <c:pt idx="204">
                <c:v>206</c:v>
              </c:pt>
              <c:pt idx="205">
                <c:v>207</c:v>
              </c:pt>
              <c:pt idx="206">
                <c:v>208</c:v>
              </c:pt>
              <c:pt idx="207">
                <c:v>209</c:v>
              </c:pt>
              <c:pt idx="208">
                <c:v>210</c:v>
              </c:pt>
              <c:pt idx="209">
                <c:v>211</c:v>
              </c:pt>
              <c:pt idx="210">
                <c:v>212</c:v>
              </c:pt>
              <c:pt idx="211">
                <c:v>213</c:v>
              </c:pt>
              <c:pt idx="212">
                <c:v>214</c:v>
              </c:pt>
              <c:pt idx="213">
                <c:v>215</c:v>
              </c:pt>
              <c:pt idx="214">
                <c:v>216</c:v>
              </c:pt>
              <c:pt idx="215">
                <c:v>217</c:v>
              </c:pt>
              <c:pt idx="216">
                <c:v>218</c:v>
              </c:pt>
              <c:pt idx="217">
                <c:v>219</c:v>
              </c:pt>
              <c:pt idx="218">
                <c:v>220</c:v>
              </c:pt>
              <c:pt idx="219">
                <c:v>221</c:v>
              </c:pt>
              <c:pt idx="220">
                <c:v>222</c:v>
              </c:pt>
              <c:pt idx="221">
                <c:v>223</c:v>
              </c:pt>
              <c:pt idx="222">
                <c:v>224</c:v>
              </c:pt>
              <c:pt idx="223">
                <c:v>225</c:v>
              </c:pt>
              <c:pt idx="224">
                <c:v>226</c:v>
              </c:pt>
              <c:pt idx="225">
                <c:v>227</c:v>
              </c:pt>
              <c:pt idx="226">
                <c:v>228</c:v>
              </c:pt>
              <c:pt idx="227">
                <c:v>229</c:v>
              </c:pt>
              <c:pt idx="228">
                <c:v>230</c:v>
              </c:pt>
              <c:pt idx="229">
                <c:v>231</c:v>
              </c:pt>
              <c:pt idx="230">
                <c:v>232</c:v>
              </c:pt>
              <c:pt idx="231">
                <c:v>233</c:v>
              </c:pt>
              <c:pt idx="232">
                <c:v>234</c:v>
              </c:pt>
              <c:pt idx="233">
                <c:v>235</c:v>
              </c:pt>
              <c:pt idx="234">
                <c:v>236</c:v>
              </c:pt>
              <c:pt idx="235">
                <c:v>237</c:v>
              </c:pt>
              <c:pt idx="236">
                <c:v>238</c:v>
              </c:pt>
              <c:pt idx="237">
                <c:v>239</c:v>
              </c:pt>
              <c:pt idx="238">
                <c:v>240</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Sheet6!$J$3:$J$242</c15:sqref>
                  </c15:fullRef>
                </c:ext>
              </c:extLst>
              <c:f>Sheet6!$J$4:$J$242</c:f>
              <c:numCache>
                <c:formatCode>General</c:formatCode>
                <c:ptCount val="239"/>
                <c:pt idx="0">
                  <c:v>93</c:v>
                </c:pt>
                <c:pt idx="1">
                  <c:v>78</c:v>
                </c:pt>
                <c:pt idx="2">
                  <c:v>250</c:v>
                </c:pt>
                <c:pt idx="3">
                  <c:v>238</c:v>
                </c:pt>
                <c:pt idx="4">
                  <c:v>240</c:v>
                </c:pt>
                <c:pt idx="5">
                  <c:v>566</c:v>
                </c:pt>
                <c:pt idx="6">
                  <c:v>342</c:v>
                </c:pt>
                <c:pt idx="7">
                  <c:v>466</c:v>
                </c:pt>
                <c:pt idx="8">
                  <c:v>587</c:v>
                </c:pt>
                <c:pt idx="9">
                  <c:v>769</c:v>
                </c:pt>
                <c:pt idx="10">
                  <c:v>778</c:v>
                </c:pt>
                <c:pt idx="11">
                  <c:v>1247</c:v>
                </c:pt>
                <c:pt idx="12">
                  <c:v>1492</c:v>
                </c:pt>
                <c:pt idx="13">
                  <c:v>1797</c:v>
                </c:pt>
                <c:pt idx="14">
                  <c:v>977</c:v>
                </c:pt>
                <c:pt idx="15">
                  <c:v>2313</c:v>
                </c:pt>
                <c:pt idx="16">
                  <c:v>2651</c:v>
                </c:pt>
                <c:pt idx="17">
                  <c:v>2547</c:v>
                </c:pt>
                <c:pt idx="18">
                  <c:v>3497</c:v>
                </c:pt>
                <c:pt idx="19">
                  <c:v>3590</c:v>
                </c:pt>
                <c:pt idx="20">
                  <c:v>3233</c:v>
                </c:pt>
                <c:pt idx="21">
                  <c:v>3526</c:v>
                </c:pt>
                <c:pt idx="22">
                  <c:v>4207</c:v>
                </c:pt>
                <c:pt idx="23">
                  <c:v>5322</c:v>
                </c:pt>
                <c:pt idx="24">
                  <c:v>5986</c:v>
                </c:pt>
                <c:pt idx="25">
                  <c:v>6557</c:v>
                </c:pt>
                <c:pt idx="26">
                  <c:v>5560</c:v>
                </c:pt>
                <c:pt idx="27">
                  <c:v>4789</c:v>
                </c:pt>
                <c:pt idx="28">
                  <c:v>5249</c:v>
                </c:pt>
                <c:pt idx="29">
                  <c:v>5210</c:v>
                </c:pt>
                <c:pt idx="30">
                  <c:v>6153</c:v>
                </c:pt>
                <c:pt idx="31">
                  <c:v>5959</c:v>
                </c:pt>
                <c:pt idx="32">
                  <c:v>5974</c:v>
                </c:pt>
                <c:pt idx="33">
                  <c:v>5217</c:v>
                </c:pt>
                <c:pt idx="34">
                  <c:v>4050</c:v>
                </c:pt>
                <c:pt idx="35">
                  <c:v>4053</c:v>
                </c:pt>
                <c:pt idx="36">
                  <c:v>4782</c:v>
                </c:pt>
                <c:pt idx="37">
                  <c:v>4668</c:v>
                </c:pt>
                <c:pt idx="38">
                  <c:v>4585</c:v>
                </c:pt>
                <c:pt idx="39">
                  <c:v>4805</c:v>
                </c:pt>
                <c:pt idx="40">
                  <c:v>4316</c:v>
                </c:pt>
                <c:pt idx="41">
                  <c:v>3599</c:v>
                </c:pt>
                <c:pt idx="42">
                  <c:v>3039</c:v>
                </c:pt>
                <c:pt idx="43">
                  <c:v>3836</c:v>
                </c:pt>
                <c:pt idx="44">
                  <c:v>4204</c:v>
                </c:pt>
                <c:pt idx="45">
                  <c:v>3951</c:v>
                </c:pt>
                <c:pt idx="46">
                  <c:v>4694</c:v>
                </c:pt>
                <c:pt idx="47">
                  <c:v>4092</c:v>
                </c:pt>
                <c:pt idx="48">
                  <c:v>3153</c:v>
                </c:pt>
                <c:pt idx="49">
                  <c:v>2972</c:v>
                </c:pt>
                <c:pt idx="50">
                  <c:v>2667</c:v>
                </c:pt>
                <c:pt idx="51">
                  <c:v>3786</c:v>
                </c:pt>
                <c:pt idx="52">
                  <c:v>3493</c:v>
                </c:pt>
                <c:pt idx="53">
                  <c:v>3491</c:v>
                </c:pt>
                <c:pt idx="54">
                  <c:v>3047</c:v>
                </c:pt>
                <c:pt idx="55">
                  <c:v>2256</c:v>
                </c:pt>
                <c:pt idx="56">
                  <c:v>2729</c:v>
                </c:pt>
                <c:pt idx="57">
                  <c:v>3370</c:v>
                </c:pt>
                <c:pt idx="58">
                  <c:v>2646</c:v>
                </c:pt>
                <c:pt idx="59">
                  <c:v>3021</c:v>
                </c:pt>
                <c:pt idx="60">
                  <c:v>2357</c:v>
                </c:pt>
                <c:pt idx="61">
                  <c:v>2324</c:v>
                </c:pt>
                <c:pt idx="62">
                  <c:v>1739</c:v>
                </c:pt>
                <c:pt idx="63">
                  <c:v>2091</c:v>
                </c:pt>
                <c:pt idx="64">
                  <c:v>2086</c:v>
                </c:pt>
                <c:pt idx="65">
                  <c:v>1872</c:v>
                </c:pt>
                <c:pt idx="66">
                  <c:v>1965</c:v>
                </c:pt>
                <c:pt idx="67">
                  <c:v>1900</c:v>
                </c:pt>
                <c:pt idx="68">
                  <c:v>1389</c:v>
                </c:pt>
                <c:pt idx="69">
                  <c:v>1221</c:v>
                </c:pt>
                <c:pt idx="70">
                  <c:v>1075</c:v>
                </c:pt>
                <c:pt idx="71">
                  <c:v>1444</c:v>
                </c:pt>
                <c:pt idx="72">
                  <c:v>1401</c:v>
                </c:pt>
                <c:pt idx="73">
                  <c:v>1327</c:v>
                </c:pt>
                <c:pt idx="74">
                  <c:v>1083</c:v>
                </c:pt>
                <c:pt idx="75">
                  <c:v>802</c:v>
                </c:pt>
                <c:pt idx="76">
                  <c:v>744</c:v>
                </c:pt>
                <c:pt idx="77">
                  <c:v>1402</c:v>
                </c:pt>
                <c:pt idx="78">
                  <c:v>888</c:v>
                </c:pt>
                <c:pt idx="79">
                  <c:v>992</c:v>
                </c:pt>
                <c:pt idx="80">
                  <c:v>789</c:v>
                </c:pt>
                <c:pt idx="81">
                  <c:v>875</c:v>
                </c:pt>
                <c:pt idx="82">
                  <c:v>675</c:v>
                </c:pt>
                <c:pt idx="83">
                  <c:v>451</c:v>
                </c:pt>
                <c:pt idx="84">
                  <c:v>813</c:v>
                </c:pt>
                <c:pt idx="85">
                  <c:v>665</c:v>
                </c:pt>
                <c:pt idx="86">
                  <c:v>642</c:v>
                </c:pt>
                <c:pt idx="87">
                  <c:v>652</c:v>
                </c:pt>
                <c:pt idx="88">
                  <c:v>669</c:v>
                </c:pt>
                <c:pt idx="89">
                  <c:v>531</c:v>
                </c:pt>
                <c:pt idx="90">
                  <c:v>300</c:v>
                </c:pt>
                <c:pt idx="91">
                  <c:v>397</c:v>
                </c:pt>
                <c:pt idx="92">
                  <c:v>584</c:v>
                </c:pt>
                <c:pt idx="93">
                  <c:v>593</c:v>
                </c:pt>
                <c:pt idx="94">
                  <c:v>516</c:v>
                </c:pt>
                <c:pt idx="95">
                  <c:v>416</c:v>
                </c:pt>
                <c:pt idx="96">
                  <c:v>355</c:v>
                </c:pt>
                <c:pt idx="97">
                  <c:v>178</c:v>
                </c:pt>
                <c:pt idx="98">
                  <c:v>318</c:v>
                </c:pt>
                <c:pt idx="99">
                  <c:v>321</c:v>
                </c:pt>
                <c:pt idx="100">
                  <c:v>177</c:v>
                </c:pt>
                <c:pt idx="101">
                  <c:v>518</c:v>
                </c:pt>
                <c:pt idx="102">
                  <c:v>270</c:v>
                </c:pt>
                <c:pt idx="103">
                  <c:v>197</c:v>
                </c:pt>
                <c:pt idx="104">
                  <c:v>280</c:v>
                </c:pt>
                <c:pt idx="105">
                  <c:v>283</c:v>
                </c:pt>
                <c:pt idx="106">
                  <c:v>202</c:v>
                </c:pt>
                <c:pt idx="107">
                  <c:v>379</c:v>
                </c:pt>
                <c:pt idx="108">
                  <c:v>163</c:v>
                </c:pt>
                <c:pt idx="109">
                  <c:v>346</c:v>
                </c:pt>
                <c:pt idx="110">
                  <c:v>338</c:v>
                </c:pt>
                <c:pt idx="111">
                  <c:v>303</c:v>
                </c:pt>
                <c:pt idx="112">
                  <c:v>210</c:v>
                </c:pt>
                <c:pt idx="113">
                  <c:v>329</c:v>
                </c:pt>
                <c:pt idx="114">
                  <c:v>333</c:v>
                </c:pt>
                <c:pt idx="115">
                  <c:v>251</c:v>
                </c:pt>
                <c:pt idx="116">
                  <c:v>262</c:v>
                </c:pt>
                <c:pt idx="117">
                  <c:v>224</c:v>
                </c:pt>
                <c:pt idx="118">
                  <c:v>218</c:v>
                </c:pt>
                <c:pt idx="119">
                  <c:v>122</c:v>
                </c:pt>
                <c:pt idx="120">
                  <c:v>190</c:v>
                </c:pt>
                <c:pt idx="121">
                  <c:v>296</c:v>
                </c:pt>
                <c:pt idx="122">
                  <c:v>259</c:v>
                </c:pt>
                <c:pt idx="123">
                  <c:v>175</c:v>
                </c:pt>
                <c:pt idx="124">
                  <c:v>174</c:v>
                </c:pt>
                <c:pt idx="125">
                  <c:v>126</c:v>
                </c:pt>
                <c:pt idx="126">
                  <c:v>142</c:v>
                </c:pt>
                <c:pt idx="127">
                  <c:v>187</c:v>
                </c:pt>
                <c:pt idx="128">
                  <c:v>201</c:v>
                </c:pt>
                <c:pt idx="129">
                  <c:v>223</c:v>
                </c:pt>
                <c:pt idx="130">
                  <c:v>235</c:v>
                </c:pt>
                <c:pt idx="131">
                  <c:v>192</c:v>
                </c:pt>
                <c:pt idx="132">
                  <c:v>208</c:v>
                </c:pt>
                <c:pt idx="133">
                  <c:v>138</c:v>
                </c:pt>
                <c:pt idx="134">
                  <c:v>193</c:v>
                </c:pt>
                <c:pt idx="135">
                  <c:v>229</c:v>
                </c:pt>
                <c:pt idx="136">
                  <c:v>276</c:v>
                </c:pt>
                <c:pt idx="137">
                  <c:v>188</c:v>
                </c:pt>
                <c:pt idx="138">
                  <c:v>234</c:v>
                </c:pt>
                <c:pt idx="139">
                  <c:v>169</c:v>
                </c:pt>
                <c:pt idx="140">
                  <c:v>114</c:v>
                </c:pt>
                <c:pt idx="141">
                  <c:v>163</c:v>
                </c:pt>
                <c:pt idx="142">
                  <c:v>230</c:v>
                </c:pt>
                <c:pt idx="143">
                  <c:v>233</c:v>
                </c:pt>
                <c:pt idx="144">
                  <c:v>249</c:v>
                </c:pt>
                <c:pt idx="145">
                  <c:v>219</c:v>
                </c:pt>
                <c:pt idx="146">
                  <c:v>190</c:v>
                </c:pt>
                <c:pt idx="147">
                  <c:v>129</c:v>
                </c:pt>
                <c:pt idx="148">
                  <c:v>282</c:v>
                </c:pt>
                <c:pt idx="149">
                  <c:v>306</c:v>
                </c:pt>
                <c:pt idx="150">
                  <c:v>252</c:v>
                </c:pt>
                <c:pt idx="151">
                  <c:v>275</c:v>
                </c:pt>
                <c:pt idx="152">
                  <c:v>255</c:v>
                </c:pt>
                <c:pt idx="153">
                  <c:v>170</c:v>
                </c:pt>
                <c:pt idx="154">
                  <c:v>212</c:v>
                </c:pt>
                <c:pt idx="155">
                  <c:v>289</c:v>
                </c:pt>
                <c:pt idx="156">
                  <c:v>386</c:v>
                </c:pt>
                <c:pt idx="157">
                  <c:v>379</c:v>
                </c:pt>
                <c:pt idx="158">
                  <c:v>295</c:v>
                </c:pt>
                <c:pt idx="159">
                  <c:v>239</c:v>
                </c:pt>
                <c:pt idx="160">
                  <c:v>159</c:v>
                </c:pt>
                <c:pt idx="161">
                  <c:v>190</c:v>
                </c:pt>
                <c:pt idx="162">
                  <c:v>384</c:v>
                </c:pt>
                <c:pt idx="163">
                  <c:v>402</c:v>
                </c:pt>
                <c:pt idx="164">
                  <c:v>552</c:v>
                </c:pt>
                <c:pt idx="165">
                  <c:v>347</c:v>
                </c:pt>
                <c:pt idx="166">
                  <c:v>463</c:v>
                </c:pt>
                <c:pt idx="167">
                  <c:v>259</c:v>
                </c:pt>
                <c:pt idx="168">
                  <c:v>412</c:v>
                </c:pt>
                <c:pt idx="169">
                  <c:v>481</c:v>
                </c:pt>
                <c:pt idx="170">
                  <c:v>523</c:v>
                </c:pt>
                <c:pt idx="171">
                  <c:v>574</c:v>
                </c:pt>
                <c:pt idx="172">
                  <c:v>629</c:v>
                </c:pt>
                <c:pt idx="173">
                  <c:v>479</c:v>
                </c:pt>
                <c:pt idx="174">
                  <c:v>320</c:v>
                </c:pt>
                <c:pt idx="175">
                  <c:v>403</c:v>
                </c:pt>
                <c:pt idx="176">
                  <c:v>642</c:v>
                </c:pt>
                <c:pt idx="177">
                  <c:v>845</c:v>
                </c:pt>
                <c:pt idx="178">
                  <c:v>947</c:v>
                </c:pt>
                <c:pt idx="179">
                  <c:v>1071</c:v>
                </c:pt>
                <c:pt idx="180">
                  <c:v>1210</c:v>
                </c:pt>
                <c:pt idx="181">
                  <c:v>953</c:v>
                </c:pt>
                <c:pt idx="182">
                  <c:v>878</c:v>
                </c:pt>
                <c:pt idx="183">
                  <c:v>1367</c:v>
                </c:pt>
                <c:pt idx="184">
                  <c:v>1411</c:v>
                </c:pt>
                <c:pt idx="185">
                  <c:v>1462</c:v>
                </c:pt>
                <c:pt idx="186">
                  <c:v>1444</c:v>
                </c:pt>
                <c:pt idx="187">
                  <c:v>1365</c:v>
                </c:pt>
                <c:pt idx="188">
                  <c:v>996</c:v>
                </c:pt>
                <c:pt idx="189">
                  <c:v>978</c:v>
                </c:pt>
                <c:pt idx="190">
                  <c:v>1326</c:v>
                </c:pt>
                <c:pt idx="191">
                  <c:v>1397</c:v>
                </c:pt>
                <c:pt idx="192">
                  <c:v>1733</c:v>
                </c:pt>
                <c:pt idx="193">
                  <c:v>1694</c:v>
                </c:pt>
                <c:pt idx="194">
                  <c:v>1297</c:v>
                </c:pt>
                <c:pt idx="195">
                  <c:v>1108</c:v>
                </c:pt>
                <c:pt idx="196">
                  <c:v>1370</c:v>
                </c:pt>
                <c:pt idx="197">
                  <c:v>1434</c:v>
                </c:pt>
                <c:pt idx="198">
                  <c:v>1597</c:v>
                </c:pt>
                <c:pt idx="199">
                  <c:v>1616</c:v>
                </c:pt>
                <c:pt idx="200">
                  <c:v>1501</c:v>
                </c:pt>
                <c:pt idx="201">
                  <c:v>1458</c:v>
                </c:pt>
                <c:pt idx="202">
                  <c:v>1008</c:v>
                </c:pt>
                <c:pt idx="203">
                  <c:v>1229</c:v>
                </c:pt>
                <c:pt idx="204">
                  <c:v>1452</c:v>
                </c:pt>
                <c:pt idx="205">
                  <c:v>1585</c:v>
                </c:pt>
                <c:pt idx="206">
                  <c:v>1907</c:v>
                </c:pt>
                <c:pt idx="207">
                  <c:v>1638</c:v>
                </c:pt>
                <c:pt idx="208">
                  <c:v>1587</c:v>
                </c:pt>
                <c:pt idx="209">
                  <c:v>1350</c:v>
                </c:pt>
                <c:pt idx="210">
                  <c:v>1392</c:v>
                </c:pt>
                <c:pt idx="211">
                  <c:v>1640</c:v>
                </c:pt>
                <c:pt idx="212">
                  <c:v>1786</c:v>
                </c:pt>
                <c:pt idx="213">
                  <c:v>1912</c:v>
                </c:pt>
                <c:pt idx="214">
                  <c:v>1869</c:v>
                </c:pt>
                <c:pt idx="215">
                  <c:v>1766</c:v>
                </c:pt>
                <c:pt idx="216">
                  <c:v>1494</c:v>
                </c:pt>
                <c:pt idx="217">
                  <c:v>1648</c:v>
                </c:pt>
                <c:pt idx="218">
                  <c:v>1851</c:v>
                </c:pt>
                <c:pt idx="219">
                  <c:v>2548</c:v>
                </c:pt>
                <c:pt idx="220">
                  <c:v>2499</c:v>
                </c:pt>
                <c:pt idx="221">
                  <c:v>2844</c:v>
                </c:pt>
                <c:pt idx="222">
                  <c:v>2578</c:v>
                </c:pt>
                <c:pt idx="223">
                  <c:v>2257</c:v>
                </c:pt>
                <c:pt idx="224">
                  <c:v>2677</c:v>
                </c:pt>
                <c:pt idx="225">
                  <c:v>3678</c:v>
                </c:pt>
                <c:pt idx="226">
                  <c:v>4458</c:v>
                </c:pt>
                <c:pt idx="227">
                  <c:v>5372</c:v>
                </c:pt>
                <c:pt idx="228">
                  <c:v>5724</c:v>
                </c:pt>
                <c:pt idx="229">
                  <c:v>5456</c:v>
                </c:pt>
                <c:pt idx="230">
                  <c:v>4619</c:v>
                </c:pt>
                <c:pt idx="231">
                  <c:v>5901</c:v>
                </c:pt>
                <c:pt idx="232">
                  <c:v>7332</c:v>
                </c:pt>
                <c:pt idx="233">
                  <c:v>8804</c:v>
                </c:pt>
                <c:pt idx="234">
                  <c:v>10010</c:v>
                </c:pt>
                <c:pt idx="235">
                  <c:v>10925</c:v>
                </c:pt>
              </c:numCache>
            </c:numRef>
          </c:val>
          <c:smooth val="0"/>
          <c:extLst>
            <c:ext xmlns:c16="http://schemas.microsoft.com/office/drawing/2014/chart" uri="{C3380CC4-5D6E-409C-BE32-E72D297353CC}">
              <c16:uniqueId val="{00000005-39BD-42C4-A51C-941BD3496882}"/>
            </c:ext>
          </c:extLst>
        </c:ser>
        <c:dLbls>
          <c:showLegendKey val="0"/>
          <c:showVal val="0"/>
          <c:showCatName val="0"/>
          <c:showSerName val="0"/>
          <c:showPercent val="0"/>
          <c:showBubbleSize val="0"/>
        </c:dLbls>
        <c:marker val="1"/>
        <c:smooth val="0"/>
        <c:axId val="1130003936"/>
        <c:axId val="1130010168"/>
      </c:lineChart>
      <c:catAx>
        <c:axId val="1285583824"/>
        <c:scaling>
          <c:orientation val="minMax"/>
        </c:scaling>
        <c:delete val="0"/>
        <c:axPos val="b"/>
        <c:numFmt formatCode="m/d;@"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IT"/>
          </a:p>
        </c:txPr>
        <c:crossAx val="1285581528"/>
        <c:crossesAt val="0"/>
        <c:auto val="1"/>
        <c:lblAlgn val="ctr"/>
        <c:lblOffset val="100"/>
        <c:tickLblSkip val="5"/>
        <c:noMultiLvlLbl val="0"/>
      </c:catAx>
      <c:valAx>
        <c:axId val="12855815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 testati &amp; infetti</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T"/>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IT"/>
          </a:p>
        </c:txPr>
        <c:crossAx val="1285583824"/>
        <c:crosses val="autoZero"/>
        <c:crossBetween val="between"/>
      </c:valAx>
      <c:valAx>
        <c:axId val="1130010168"/>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Positivi # assoluti</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T"/>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IT"/>
          </a:p>
        </c:txPr>
        <c:crossAx val="1130003936"/>
        <c:crosses val="max"/>
        <c:crossBetween val="between"/>
      </c:valAx>
      <c:catAx>
        <c:axId val="1130003936"/>
        <c:scaling>
          <c:orientation val="minMax"/>
        </c:scaling>
        <c:delete val="1"/>
        <c:axPos val="b"/>
        <c:majorTickMark val="out"/>
        <c:minorTickMark val="none"/>
        <c:tickLblPos val="nextTo"/>
        <c:crossAx val="113001016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IT"/>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IT"/>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 Ospedalizzati &amp; Asintomatici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T"/>
        </a:p>
      </c:txPr>
    </c:title>
    <c:autoTitleDeleted val="0"/>
    <c:plotArea>
      <c:layout/>
      <c:lineChart>
        <c:grouping val="standard"/>
        <c:varyColors val="0"/>
        <c:ser>
          <c:idx val="0"/>
          <c:order val="0"/>
          <c:tx>
            <c:strRef>
              <c:f>Sheet6!$AA$2</c:f>
              <c:strCache>
                <c:ptCount val="1"/>
                <c:pt idx="0">
                  <c:v>%Ricoverati con sintomi su tot infetti</c:v>
                </c:pt>
              </c:strCache>
            </c:strRef>
          </c:tx>
          <c:spPr>
            <a:ln w="28575" cap="rnd">
              <a:solidFill>
                <a:schemeClr val="accent1"/>
              </a:solidFill>
              <a:round/>
            </a:ln>
            <a:effectLst/>
          </c:spPr>
          <c:marker>
            <c:symbol val="none"/>
          </c:marker>
          <c:cat>
            <c:numRef>
              <c:f>Sheet6!$B$3:$B$239</c:f>
              <c:numCache>
                <c:formatCode>m/d;@</c:formatCode>
                <c:ptCount val="237"/>
                <c:pt idx="0">
                  <c:v>43885.75</c:v>
                </c:pt>
                <c:pt idx="1">
                  <c:v>43886.75</c:v>
                </c:pt>
                <c:pt idx="2">
                  <c:v>43887.75</c:v>
                </c:pt>
                <c:pt idx="3">
                  <c:v>43888.75</c:v>
                </c:pt>
                <c:pt idx="4">
                  <c:v>43889.75</c:v>
                </c:pt>
                <c:pt idx="5">
                  <c:v>43890.75</c:v>
                </c:pt>
                <c:pt idx="6">
                  <c:v>43891.75</c:v>
                </c:pt>
                <c:pt idx="7">
                  <c:v>43892.75</c:v>
                </c:pt>
                <c:pt idx="8">
                  <c:v>43893.75</c:v>
                </c:pt>
                <c:pt idx="9">
                  <c:v>43894.75</c:v>
                </c:pt>
                <c:pt idx="10">
                  <c:v>43895.75</c:v>
                </c:pt>
                <c:pt idx="11">
                  <c:v>43896.75</c:v>
                </c:pt>
                <c:pt idx="12">
                  <c:v>43897.75</c:v>
                </c:pt>
                <c:pt idx="13">
                  <c:v>43898.75</c:v>
                </c:pt>
                <c:pt idx="14">
                  <c:v>43899.75</c:v>
                </c:pt>
                <c:pt idx="15">
                  <c:v>43900.75</c:v>
                </c:pt>
                <c:pt idx="16">
                  <c:v>43901.708333333336</c:v>
                </c:pt>
                <c:pt idx="17">
                  <c:v>43902.708333333336</c:v>
                </c:pt>
                <c:pt idx="18">
                  <c:v>43903.708333333336</c:v>
                </c:pt>
                <c:pt idx="19">
                  <c:v>43904.708333333336</c:v>
                </c:pt>
                <c:pt idx="20">
                  <c:v>43905.708333333336</c:v>
                </c:pt>
                <c:pt idx="21">
                  <c:v>43906.708333333336</c:v>
                </c:pt>
                <c:pt idx="22">
                  <c:v>43907.708333333336</c:v>
                </c:pt>
                <c:pt idx="23">
                  <c:v>43908.708333333336</c:v>
                </c:pt>
                <c:pt idx="24">
                  <c:v>43909.708333333336</c:v>
                </c:pt>
                <c:pt idx="25">
                  <c:v>43910.708333333336</c:v>
                </c:pt>
                <c:pt idx="26">
                  <c:v>43911.708333333336</c:v>
                </c:pt>
                <c:pt idx="27">
                  <c:v>43912.708333333336</c:v>
                </c:pt>
                <c:pt idx="28">
                  <c:v>43913.708333333336</c:v>
                </c:pt>
                <c:pt idx="29">
                  <c:v>43914.708333333336</c:v>
                </c:pt>
                <c:pt idx="30">
                  <c:v>43915.708333333336</c:v>
                </c:pt>
                <c:pt idx="31">
                  <c:v>43916.708333333336</c:v>
                </c:pt>
                <c:pt idx="32">
                  <c:v>43917.708333333336</c:v>
                </c:pt>
                <c:pt idx="33">
                  <c:v>43918.708333333336</c:v>
                </c:pt>
                <c:pt idx="34">
                  <c:v>43919.708333333336</c:v>
                </c:pt>
                <c:pt idx="35">
                  <c:v>43920.708333333336</c:v>
                </c:pt>
                <c:pt idx="36">
                  <c:v>43921.708333333336</c:v>
                </c:pt>
                <c:pt idx="37">
                  <c:v>43922.708333333336</c:v>
                </c:pt>
                <c:pt idx="38">
                  <c:v>43923.708333333336</c:v>
                </c:pt>
                <c:pt idx="39">
                  <c:v>43924.708333333336</c:v>
                </c:pt>
                <c:pt idx="40">
                  <c:v>43925.708333333336</c:v>
                </c:pt>
                <c:pt idx="41">
                  <c:v>43926.708333333336</c:v>
                </c:pt>
                <c:pt idx="42">
                  <c:v>43927.708333333336</c:v>
                </c:pt>
                <c:pt idx="43">
                  <c:v>43928.708333333336</c:v>
                </c:pt>
                <c:pt idx="44">
                  <c:v>43929.708333333336</c:v>
                </c:pt>
                <c:pt idx="45">
                  <c:v>43930.708333333336</c:v>
                </c:pt>
                <c:pt idx="46">
                  <c:v>43931.708333333336</c:v>
                </c:pt>
                <c:pt idx="47">
                  <c:v>43932.708333333336</c:v>
                </c:pt>
                <c:pt idx="48">
                  <c:v>43933.708333333336</c:v>
                </c:pt>
                <c:pt idx="49">
                  <c:v>43934.708333333336</c:v>
                </c:pt>
                <c:pt idx="50">
                  <c:v>43935.708333333336</c:v>
                </c:pt>
                <c:pt idx="51">
                  <c:v>43936.708333333336</c:v>
                </c:pt>
                <c:pt idx="52">
                  <c:v>43937.708333333336</c:v>
                </c:pt>
                <c:pt idx="53">
                  <c:v>43938.708333333336</c:v>
                </c:pt>
                <c:pt idx="54">
                  <c:v>43939.708333333336</c:v>
                </c:pt>
                <c:pt idx="55">
                  <c:v>43940.708333333336</c:v>
                </c:pt>
                <c:pt idx="56">
                  <c:v>43941.708333333336</c:v>
                </c:pt>
                <c:pt idx="57">
                  <c:v>43942.708333333336</c:v>
                </c:pt>
                <c:pt idx="58">
                  <c:v>43943.708333333336</c:v>
                </c:pt>
                <c:pt idx="59">
                  <c:v>43944.708333333336</c:v>
                </c:pt>
                <c:pt idx="60">
                  <c:v>43945.708333333336</c:v>
                </c:pt>
                <c:pt idx="61">
                  <c:v>43946.708333333336</c:v>
                </c:pt>
                <c:pt idx="62">
                  <c:v>43947.708333333336</c:v>
                </c:pt>
                <c:pt idx="63">
                  <c:v>43948.708333333336</c:v>
                </c:pt>
                <c:pt idx="64">
                  <c:v>43949.708333333336</c:v>
                </c:pt>
                <c:pt idx="65">
                  <c:v>43950.708333333336</c:v>
                </c:pt>
                <c:pt idx="66">
                  <c:v>43951.708333333336</c:v>
                </c:pt>
                <c:pt idx="67">
                  <c:v>43952.708333333336</c:v>
                </c:pt>
                <c:pt idx="68">
                  <c:v>43953.708333333336</c:v>
                </c:pt>
                <c:pt idx="69">
                  <c:v>43954.708333333336</c:v>
                </c:pt>
                <c:pt idx="70">
                  <c:v>43955.708333333336</c:v>
                </c:pt>
                <c:pt idx="71">
                  <c:v>43956.708333333336</c:v>
                </c:pt>
                <c:pt idx="72">
                  <c:v>43957.708333333336</c:v>
                </c:pt>
                <c:pt idx="73">
                  <c:v>43958.708333333336</c:v>
                </c:pt>
                <c:pt idx="74">
                  <c:v>43959.708333333336</c:v>
                </c:pt>
                <c:pt idx="75">
                  <c:v>43960.708333333336</c:v>
                </c:pt>
                <c:pt idx="76">
                  <c:v>43961.708333333336</c:v>
                </c:pt>
                <c:pt idx="77">
                  <c:v>43962.708333333336</c:v>
                </c:pt>
                <c:pt idx="78">
                  <c:v>43963.708333333336</c:v>
                </c:pt>
                <c:pt idx="79">
                  <c:v>43964.708333333336</c:v>
                </c:pt>
                <c:pt idx="80">
                  <c:v>43965.708333333336</c:v>
                </c:pt>
                <c:pt idx="81">
                  <c:v>43966.708333333336</c:v>
                </c:pt>
                <c:pt idx="82">
                  <c:v>43967.708333333336</c:v>
                </c:pt>
                <c:pt idx="83">
                  <c:v>43968.708333333336</c:v>
                </c:pt>
                <c:pt idx="84">
                  <c:v>43969.708333333336</c:v>
                </c:pt>
                <c:pt idx="85">
                  <c:v>43970.708333333336</c:v>
                </c:pt>
                <c:pt idx="86">
                  <c:v>43971.708333333336</c:v>
                </c:pt>
                <c:pt idx="87">
                  <c:v>43972.708333333336</c:v>
                </c:pt>
                <c:pt idx="88">
                  <c:v>43973.708333333336</c:v>
                </c:pt>
                <c:pt idx="89">
                  <c:v>43974.708333333336</c:v>
                </c:pt>
                <c:pt idx="90">
                  <c:v>43975.708333333336</c:v>
                </c:pt>
                <c:pt idx="91">
                  <c:v>43976.708333333336</c:v>
                </c:pt>
                <c:pt idx="92">
                  <c:v>43977.708333333336</c:v>
                </c:pt>
                <c:pt idx="93">
                  <c:v>43978.708333333336</c:v>
                </c:pt>
                <c:pt idx="94">
                  <c:v>43979.708333333336</c:v>
                </c:pt>
                <c:pt idx="95">
                  <c:v>43980.708333333336</c:v>
                </c:pt>
                <c:pt idx="96">
                  <c:v>43981.708333333336</c:v>
                </c:pt>
                <c:pt idx="97">
                  <c:v>43982.708333333336</c:v>
                </c:pt>
                <c:pt idx="98">
                  <c:v>43983.708333333336</c:v>
                </c:pt>
                <c:pt idx="99">
                  <c:v>43984.708333333336</c:v>
                </c:pt>
                <c:pt idx="100">
                  <c:v>43985.708333333336</c:v>
                </c:pt>
                <c:pt idx="101">
                  <c:v>43986.708333333336</c:v>
                </c:pt>
                <c:pt idx="102">
                  <c:v>43987.708333333336</c:v>
                </c:pt>
                <c:pt idx="103">
                  <c:v>43988.708333333336</c:v>
                </c:pt>
                <c:pt idx="104">
                  <c:v>43989.708333333336</c:v>
                </c:pt>
                <c:pt idx="105">
                  <c:v>43990.708333333336</c:v>
                </c:pt>
                <c:pt idx="106">
                  <c:v>43991.708333333336</c:v>
                </c:pt>
                <c:pt idx="107">
                  <c:v>43992.708333333336</c:v>
                </c:pt>
                <c:pt idx="108">
                  <c:v>43993.708333333336</c:v>
                </c:pt>
                <c:pt idx="109">
                  <c:v>43994.708333333336</c:v>
                </c:pt>
                <c:pt idx="110">
                  <c:v>43995.708333333336</c:v>
                </c:pt>
                <c:pt idx="111">
                  <c:v>43996.708333333336</c:v>
                </c:pt>
                <c:pt idx="112">
                  <c:v>43997.708333333336</c:v>
                </c:pt>
                <c:pt idx="113">
                  <c:v>43998.708333333336</c:v>
                </c:pt>
                <c:pt idx="114">
                  <c:v>43999.708333333336</c:v>
                </c:pt>
                <c:pt idx="115">
                  <c:v>44000.708333333336</c:v>
                </c:pt>
                <c:pt idx="116">
                  <c:v>44001.708333333336</c:v>
                </c:pt>
                <c:pt idx="117">
                  <c:v>44002.708333333336</c:v>
                </c:pt>
                <c:pt idx="118">
                  <c:v>44003.708333333336</c:v>
                </c:pt>
                <c:pt idx="119">
                  <c:v>44004.708333333336</c:v>
                </c:pt>
                <c:pt idx="120">
                  <c:v>44005.708333333336</c:v>
                </c:pt>
                <c:pt idx="121">
                  <c:v>44006.708333333336</c:v>
                </c:pt>
                <c:pt idx="122">
                  <c:v>44007.708333333336</c:v>
                </c:pt>
                <c:pt idx="123">
                  <c:v>44008.708333333336</c:v>
                </c:pt>
                <c:pt idx="124">
                  <c:v>44009.708333333336</c:v>
                </c:pt>
                <c:pt idx="125">
                  <c:v>44010.708333333336</c:v>
                </c:pt>
                <c:pt idx="126">
                  <c:v>44011.708333333336</c:v>
                </c:pt>
                <c:pt idx="127">
                  <c:v>44012.708333333336</c:v>
                </c:pt>
                <c:pt idx="128">
                  <c:v>44013.708333333336</c:v>
                </c:pt>
                <c:pt idx="129">
                  <c:v>44014.708333333336</c:v>
                </c:pt>
                <c:pt idx="130">
                  <c:v>44015.708333333336</c:v>
                </c:pt>
                <c:pt idx="131">
                  <c:v>44016.708333333336</c:v>
                </c:pt>
                <c:pt idx="132">
                  <c:v>44017.708333333336</c:v>
                </c:pt>
                <c:pt idx="133">
                  <c:v>44018.708333333336</c:v>
                </c:pt>
                <c:pt idx="134">
                  <c:v>44019.708333333336</c:v>
                </c:pt>
                <c:pt idx="135">
                  <c:v>44020.708333333336</c:v>
                </c:pt>
                <c:pt idx="136">
                  <c:v>44021.708333333336</c:v>
                </c:pt>
                <c:pt idx="137">
                  <c:v>44022.708333333336</c:v>
                </c:pt>
                <c:pt idx="138">
                  <c:v>44023.708333333336</c:v>
                </c:pt>
                <c:pt idx="139">
                  <c:v>44024.708333333336</c:v>
                </c:pt>
                <c:pt idx="140">
                  <c:v>44025.708333333336</c:v>
                </c:pt>
                <c:pt idx="141">
                  <c:v>44026.708333333336</c:v>
                </c:pt>
                <c:pt idx="142">
                  <c:v>44027.708333333336</c:v>
                </c:pt>
                <c:pt idx="143">
                  <c:v>44028.708333333336</c:v>
                </c:pt>
                <c:pt idx="144">
                  <c:v>44029.708333333336</c:v>
                </c:pt>
                <c:pt idx="145">
                  <c:v>44030.708333333336</c:v>
                </c:pt>
                <c:pt idx="146">
                  <c:v>44031.708333333336</c:v>
                </c:pt>
                <c:pt idx="147">
                  <c:v>44032.708333333336</c:v>
                </c:pt>
                <c:pt idx="148">
                  <c:v>44033.708333333336</c:v>
                </c:pt>
                <c:pt idx="149">
                  <c:v>44034.708333333336</c:v>
                </c:pt>
                <c:pt idx="150">
                  <c:v>44035.708333333336</c:v>
                </c:pt>
                <c:pt idx="151">
                  <c:v>44036.708333333336</c:v>
                </c:pt>
                <c:pt idx="152">
                  <c:v>44037.708333333336</c:v>
                </c:pt>
                <c:pt idx="153">
                  <c:v>44038.708333333336</c:v>
                </c:pt>
                <c:pt idx="154">
                  <c:v>44039.708333333336</c:v>
                </c:pt>
                <c:pt idx="155">
                  <c:v>44040.708333333336</c:v>
                </c:pt>
                <c:pt idx="156">
                  <c:v>44041.708333333336</c:v>
                </c:pt>
                <c:pt idx="157">
                  <c:v>44042.708333333336</c:v>
                </c:pt>
                <c:pt idx="158">
                  <c:v>44043.708333333336</c:v>
                </c:pt>
                <c:pt idx="159">
                  <c:v>44044.708333333336</c:v>
                </c:pt>
                <c:pt idx="160">
                  <c:v>44045.708333333336</c:v>
                </c:pt>
                <c:pt idx="161">
                  <c:v>44046.708333333336</c:v>
                </c:pt>
                <c:pt idx="162">
                  <c:v>44047.708333333336</c:v>
                </c:pt>
                <c:pt idx="163">
                  <c:v>44048.708333333336</c:v>
                </c:pt>
                <c:pt idx="164">
                  <c:v>44049.708333333336</c:v>
                </c:pt>
                <c:pt idx="165">
                  <c:v>44050.708333333336</c:v>
                </c:pt>
                <c:pt idx="166">
                  <c:v>44051.708333333336</c:v>
                </c:pt>
                <c:pt idx="167">
                  <c:v>44052.708333333336</c:v>
                </c:pt>
                <c:pt idx="168">
                  <c:v>44053.708333333336</c:v>
                </c:pt>
                <c:pt idx="169">
                  <c:v>44054.708333333336</c:v>
                </c:pt>
                <c:pt idx="170">
                  <c:v>44055.708333333336</c:v>
                </c:pt>
                <c:pt idx="171">
                  <c:v>44056.708333333336</c:v>
                </c:pt>
                <c:pt idx="172">
                  <c:v>44057.708333333336</c:v>
                </c:pt>
                <c:pt idx="173">
                  <c:v>44058.708333333336</c:v>
                </c:pt>
                <c:pt idx="174">
                  <c:v>44059.708333333336</c:v>
                </c:pt>
                <c:pt idx="175">
                  <c:v>44060.708333333336</c:v>
                </c:pt>
                <c:pt idx="176">
                  <c:v>44061.708333333336</c:v>
                </c:pt>
                <c:pt idx="177">
                  <c:v>44062.708333333336</c:v>
                </c:pt>
                <c:pt idx="178">
                  <c:v>44063.708333333336</c:v>
                </c:pt>
                <c:pt idx="179">
                  <c:v>44064.708333333336</c:v>
                </c:pt>
                <c:pt idx="180">
                  <c:v>44065.708333333336</c:v>
                </c:pt>
                <c:pt idx="181">
                  <c:v>44066.708333333336</c:v>
                </c:pt>
                <c:pt idx="182">
                  <c:v>44067.708333333336</c:v>
                </c:pt>
                <c:pt idx="183">
                  <c:v>44068.708333333336</c:v>
                </c:pt>
                <c:pt idx="184">
                  <c:v>44069.708333333336</c:v>
                </c:pt>
                <c:pt idx="185">
                  <c:v>44070.708333333336</c:v>
                </c:pt>
                <c:pt idx="186">
                  <c:v>44071.708333333336</c:v>
                </c:pt>
                <c:pt idx="187">
                  <c:v>44072.708333333336</c:v>
                </c:pt>
                <c:pt idx="188">
                  <c:v>44073.708333333336</c:v>
                </c:pt>
                <c:pt idx="189">
                  <c:v>44074.708333333336</c:v>
                </c:pt>
                <c:pt idx="190">
                  <c:v>44075.708333333336</c:v>
                </c:pt>
                <c:pt idx="191">
                  <c:v>44076.708333333336</c:v>
                </c:pt>
                <c:pt idx="192">
                  <c:v>44077.708333333336</c:v>
                </c:pt>
                <c:pt idx="193">
                  <c:v>44078.708333333336</c:v>
                </c:pt>
                <c:pt idx="194">
                  <c:v>44079.708333333336</c:v>
                </c:pt>
                <c:pt idx="195">
                  <c:v>44080.708333333336</c:v>
                </c:pt>
                <c:pt idx="196">
                  <c:v>44081.708333333336</c:v>
                </c:pt>
                <c:pt idx="197">
                  <c:v>44082.708333333336</c:v>
                </c:pt>
                <c:pt idx="198">
                  <c:v>44083.708333333336</c:v>
                </c:pt>
                <c:pt idx="199">
                  <c:v>44084.708333333336</c:v>
                </c:pt>
                <c:pt idx="200">
                  <c:v>44085.708333333336</c:v>
                </c:pt>
                <c:pt idx="201">
                  <c:v>44086.708333333336</c:v>
                </c:pt>
                <c:pt idx="202">
                  <c:v>44087.708333333336</c:v>
                </c:pt>
                <c:pt idx="203">
                  <c:v>44088.708333333336</c:v>
                </c:pt>
                <c:pt idx="204">
                  <c:v>44089.708333333336</c:v>
                </c:pt>
                <c:pt idx="205">
                  <c:v>44090.708333333336</c:v>
                </c:pt>
                <c:pt idx="206">
                  <c:v>44091.708333333336</c:v>
                </c:pt>
                <c:pt idx="207">
                  <c:v>44092.708333333336</c:v>
                </c:pt>
                <c:pt idx="208">
                  <c:v>44093.708333333336</c:v>
                </c:pt>
                <c:pt idx="209">
                  <c:v>44094.708333333336</c:v>
                </c:pt>
                <c:pt idx="210">
                  <c:v>44095.708333333336</c:v>
                </c:pt>
                <c:pt idx="211">
                  <c:v>44096.708333333336</c:v>
                </c:pt>
                <c:pt idx="212">
                  <c:v>44097.708333333336</c:v>
                </c:pt>
                <c:pt idx="213">
                  <c:v>44098.708333333336</c:v>
                </c:pt>
                <c:pt idx="214">
                  <c:v>44099.708333333336</c:v>
                </c:pt>
                <c:pt idx="215">
                  <c:v>44100.708333333336</c:v>
                </c:pt>
                <c:pt idx="216">
                  <c:v>44101.708333333336</c:v>
                </c:pt>
                <c:pt idx="217">
                  <c:v>44102.708333333336</c:v>
                </c:pt>
                <c:pt idx="218">
                  <c:v>44103.708333333336</c:v>
                </c:pt>
                <c:pt idx="219">
                  <c:v>44104.708333333336</c:v>
                </c:pt>
                <c:pt idx="220">
                  <c:v>44105.708333333336</c:v>
                </c:pt>
                <c:pt idx="221">
                  <c:v>44106.708333333336</c:v>
                </c:pt>
                <c:pt idx="222">
                  <c:v>44107.708333333336</c:v>
                </c:pt>
                <c:pt idx="223">
                  <c:v>44108.708333333336</c:v>
                </c:pt>
                <c:pt idx="224">
                  <c:v>44109.708333333336</c:v>
                </c:pt>
                <c:pt idx="225">
                  <c:v>44110.708333333336</c:v>
                </c:pt>
                <c:pt idx="226">
                  <c:v>44111.708333333336</c:v>
                </c:pt>
                <c:pt idx="227">
                  <c:v>44112.708333333336</c:v>
                </c:pt>
                <c:pt idx="228">
                  <c:v>44113.708333333336</c:v>
                </c:pt>
                <c:pt idx="229">
                  <c:v>44114.708333333336</c:v>
                </c:pt>
                <c:pt idx="230">
                  <c:v>44115.708333333336</c:v>
                </c:pt>
                <c:pt idx="231">
                  <c:v>44116.708333333336</c:v>
                </c:pt>
                <c:pt idx="232">
                  <c:v>44117.708333333336</c:v>
                </c:pt>
                <c:pt idx="233">
                  <c:v>44118.708333333336</c:v>
                </c:pt>
                <c:pt idx="234">
                  <c:v>44119.708333333336</c:v>
                </c:pt>
                <c:pt idx="235">
                  <c:v>44120.708333333336</c:v>
                </c:pt>
                <c:pt idx="236">
                  <c:v>44121.708333333336</c:v>
                </c:pt>
              </c:numCache>
            </c:numRef>
          </c:cat>
          <c:val>
            <c:numRef>
              <c:f>Sheet6!$AA$3:$AA$242</c:f>
              <c:numCache>
                <c:formatCode>0.00</c:formatCode>
                <c:ptCount val="240"/>
                <c:pt idx="0">
                  <c:v>45.701357466063349</c:v>
                </c:pt>
                <c:pt idx="1">
                  <c:v>36.655948553054664</c:v>
                </c:pt>
                <c:pt idx="2">
                  <c:v>33.246753246753244</c:v>
                </c:pt>
                <c:pt idx="3">
                  <c:v>42.176870748299322</c:v>
                </c:pt>
                <c:pt idx="4">
                  <c:v>42.021924482338612</c:v>
                </c:pt>
                <c:pt idx="5">
                  <c:v>38.226882745471883</c:v>
                </c:pt>
                <c:pt idx="6">
                  <c:v>40.51997463538364</c:v>
                </c:pt>
                <c:pt idx="7">
                  <c:v>40.435967302452312</c:v>
                </c:pt>
                <c:pt idx="8">
                  <c:v>45.691559876270439</c:v>
                </c:pt>
                <c:pt idx="9">
                  <c:v>49.741315594974132</c:v>
                </c:pt>
                <c:pt idx="10">
                  <c:v>54.30825242718447</c:v>
                </c:pt>
                <c:pt idx="11">
                  <c:v>61.133810010214503</c:v>
                </c:pt>
                <c:pt idx="12">
                  <c:v>52.380952380952387</c:v>
                </c:pt>
                <c:pt idx="13">
                  <c:v>55.691247847189608</c:v>
                </c:pt>
                <c:pt idx="14">
                  <c:v>54.051346274264247</c:v>
                </c:pt>
                <c:pt idx="15">
                  <c:v>59.173126614987083</c:v>
                </c:pt>
                <c:pt idx="16">
                  <c:v>55.127478753541084</c:v>
                </c:pt>
                <c:pt idx="17">
                  <c:v>51.795311161305399</c:v>
                </c:pt>
                <c:pt idx="18">
                  <c:v>49.655633567368774</c:v>
                </c:pt>
                <c:pt idx="19">
                  <c:v>47.166197183098589</c:v>
                </c:pt>
                <c:pt idx="20">
                  <c:v>46.90093675678299</c:v>
                </c:pt>
                <c:pt idx="21">
                  <c:v>47.78312313093226</c:v>
                </c:pt>
                <c:pt idx="22">
                  <c:v>49.474330442790269</c:v>
                </c:pt>
                <c:pt idx="23">
                  <c:v>50.027864855451064</c:v>
                </c:pt>
                <c:pt idx="24">
                  <c:v>47.4751431153962</c:v>
                </c:pt>
                <c:pt idx="25">
                  <c:v>42.313787638668785</c:v>
                </c:pt>
                <c:pt idx="26">
                  <c:v>41.489187226166209</c:v>
                </c:pt>
                <c:pt idx="27">
                  <c:v>42.553282730820364</c:v>
                </c:pt>
                <c:pt idx="28">
                  <c:v>41.040898091951291</c:v>
                </c:pt>
                <c:pt idx="29">
                  <c:v>40.601517675365542</c:v>
                </c:pt>
                <c:pt idx="30">
                  <c:v>40.180108134420472</c:v>
                </c:pt>
                <c:pt idx="31">
                  <c:v>39.915824101398094</c:v>
                </c:pt>
                <c:pt idx="32">
                  <c:v>39.192037823350503</c:v>
                </c:pt>
                <c:pt idx="33">
                  <c:v>38.073217726396919</c:v>
                </c:pt>
                <c:pt idx="34">
                  <c:v>37.06821873308067</c:v>
                </c:pt>
                <c:pt idx="35">
                  <c:v>36.800921512551639</c:v>
                </c:pt>
                <c:pt idx="36">
                  <c:v>36.313518387325303</c:v>
                </c:pt>
                <c:pt idx="37">
                  <c:v>35.251700342550762</c:v>
                </c:pt>
                <c:pt idx="38">
                  <c:v>34.365254247492445</c:v>
                </c:pt>
                <c:pt idx="39">
                  <c:v>33.659296388251278</c:v>
                </c:pt>
                <c:pt idx="40">
                  <c:v>32.863583841221647</c:v>
                </c:pt>
                <c:pt idx="41">
                  <c:v>31.726322249742456</c:v>
                </c:pt>
                <c:pt idx="42">
                  <c:v>31.094465966282854</c:v>
                </c:pt>
                <c:pt idx="43">
                  <c:v>30.529303581489792</c:v>
                </c:pt>
                <c:pt idx="44">
                  <c:v>29.901744662089811</c:v>
                </c:pt>
                <c:pt idx="45">
                  <c:v>29.314491571786906</c:v>
                </c:pt>
                <c:pt idx="46">
                  <c:v>28.738310624484853</c:v>
                </c:pt>
                <c:pt idx="47">
                  <c:v>28.068495746442068</c:v>
                </c:pt>
                <c:pt idx="48">
                  <c:v>27.233430803986192</c:v>
                </c:pt>
                <c:pt idx="49">
                  <c:v>27.0450509573811</c:v>
                </c:pt>
                <c:pt idx="50">
                  <c:v>26.858501692379978</c:v>
                </c:pt>
                <c:pt idx="51">
                  <c:v>26.222277030488151</c:v>
                </c:pt>
                <c:pt idx="52">
                  <c:v>25.226298460701457</c:v>
                </c:pt>
                <c:pt idx="53">
                  <c:v>24.107627007722368</c:v>
                </c:pt>
                <c:pt idx="54">
                  <c:v>23.203830343970086</c:v>
                </c:pt>
                <c:pt idx="55">
                  <c:v>23.123677914592129</c:v>
                </c:pt>
                <c:pt idx="56">
                  <c:v>23.01061559355858</c:v>
                </c:pt>
                <c:pt idx="57">
                  <c:v>22.406669823320243</c:v>
                </c:pt>
                <c:pt idx="58">
                  <c:v>22.103269296836555</c:v>
                </c:pt>
                <c:pt idx="59">
                  <c:v>21.405173704702008</c:v>
                </c:pt>
                <c:pt idx="60">
                  <c:v>20.715874848629927</c:v>
                </c:pt>
                <c:pt idx="61">
                  <c:v>20.34351469574008</c:v>
                </c:pt>
                <c:pt idx="62">
                  <c:v>20.142691535583349</c:v>
                </c:pt>
                <c:pt idx="63">
                  <c:v>19.234876621965167</c:v>
                </c:pt>
                <c:pt idx="64">
                  <c:v>18.747207832327362</c:v>
                </c:pt>
                <c:pt idx="65">
                  <c:v>18.355198410044242</c:v>
                </c:pt>
                <c:pt idx="66">
                  <c:v>17.87180825398076</c:v>
                </c:pt>
                <c:pt idx="67">
                  <c:v>17.404872056507138</c:v>
                </c:pt>
                <c:pt idx="68">
                  <c:v>17.235660946933589</c:v>
                </c:pt>
                <c:pt idx="69">
                  <c:v>17.211191966380181</c:v>
                </c:pt>
                <c:pt idx="70">
                  <c:v>16.826365273054613</c:v>
                </c:pt>
                <c:pt idx="71">
                  <c:v>16.523302223079813</c:v>
                </c:pt>
                <c:pt idx="72">
                  <c:v>17.228607639192379</c:v>
                </c:pt>
                <c:pt idx="73">
                  <c:v>16.930732839418013</c:v>
                </c:pt>
                <c:pt idx="74">
                  <c:v>16.639192369345505</c:v>
                </c:pt>
                <c:pt idx="75">
                  <c:v>16.305603356827987</c:v>
                </c:pt>
                <c:pt idx="76">
                  <c:v>16.343430464211991</c:v>
                </c:pt>
                <c:pt idx="77">
                  <c:v>16.413296479487926</c:v>
                </c:pt>
                <c:pt idx="78">
                  <c:v>15.830728718037063</c:v>
                </c:pt>
                <c:pt idx="79">
                  <c:v>15.51423072511057</c:v>
                </c:pt>
                <c:pt idx="80">
                  <c:v>14.982993197278912</c:v>
                </c:pt>
                <c:pt idx="81">
                  <c:v>14.97433051200222</c:v>
                </c:pt>
                <c:pt idx="82">
                  <c:v>14.817558807186515</c:v>
                </c:pt>
                <c:pt idx="83">
                  <c:v>15.085368173106465</c:v>
                </c:pt>
                <c:pt idx="84">
                  <c:v>15.33664898652202</c:v>
                </c:pt>
                <c:pt idx="85">
                  <c:v>15.34032458658969</c:v>
                </c:pt>
                <c:pt idx="86">
                  <c:v>15.336562978072413</c:v>
                </c:pt>
                <c:pt idx="87">
                  <c:v>15.20505249343832</c:v>
                </c:pt>
                <c:pt idx="88">
                  <c:v>15.098951485115133</c:v>
                </c:pt>
                <c:pt idx="89">
                  <c:v>15.055755644826153</c:v>
                </c:pt>
                <c:pt idx="90">
                  <c:v>15.218927801533733</c:v>
                </c:pt>
                <c:pt idx="91">
                  <c:v>14.801084990958408</c:v>
                </c:pt>
                <c:pt idx="92">
                  <c:v>14.954100713988893</c:v>
                </c:pt>
                <c:pt idx="93">
                  <c:v>15.165011968763489</c:v>
                </c:pt>
                <c:pt idx="94">
                  <c:v>15.377401742174801</c:v>
                </c:pt>
                <c:pt idx="95">
                  <c:v>15.363291824580399</c:v>
                </c:pt>
                <c:pt idx="96">
                  <c:v>15.289189993362479</c:v>
                </c:pt>
                <c:pt idx="97">
                  <c:v>15.172102525120554</c:v>
                </c:pt>
                <c:pt idx="98">
                  <c:v>14.743636231778954</c:v>
                </c:pt>
                <c:pt idx="99">
                  <c:v>14.829669365552853</c:v>
                </c:pt>
                <c:pt idx="100">
                  <c:v>14.611802427666234</c:v>
                </c:pt>
                <c:pt idx="101">
                  <c:v>14.319914647792032</c:v>
                </c:pt>
                <c:pt idx="102">
                  <c:v>14.33632626568585</c:v>
                </c:pt>
                <c:pt idx="103">
                  <c:v>13.942079884048276</c:v>
                </c:pt>
                <c:pt idx="104">
                  <c:v>13.79388576938347</c:v>
                </c:pt>
                <c:pt idx="105">
                  <c:v>13.616469910739996</c:v>
                </c:pt>
                <c:pt idx="106">
                  <c:v>13.935872475054758</c:v>
                </c:pt>
                <c:pt idx="107">
                  <c:v>13.623462630085148</c:v>
                </c:pt>
                <c:pt idx="108">
                  <c:v>13.483696184352253</c:v>
                </c:pt>
                <c:pt idx="109">
                  <c:v>13.425526778632271</c:v>
                </c:pt>
                <c:pt idx="110">
                  <c:v>13.632890667636893</c:v>
                </c:pt>
                <c:pt idx="111">
                  <c:v>13.678922128339805</c:v>
                </c:pt>
                <c:pt idx="112">
                  <c:v>13.466363039870316</c:v>
                </c:pt>
                <c:pt idx="113">
                  <c:v>13.435630265782084</c:v>
                </c:pt>
                <c:pt idx="114">
                  <c:v>13.011494252873563</c:v>
                </c:pt>
                <c:pt idx="115">
                  <c:v>12.410718150729405</c:v>
                </c:pt>
                <c:pt idx="116">
                  <c:v>12.217425613888503</c:v>
                </c:pt>
                <c:pt idx="117">
                  <c:v>11.66320950405431</c:v>
                </c:pt>
                <c:pt idx="118">
                  <c:v>11.033759298111768</c:v>
                </c:pt>
                <c:pt idx="119">
                  <c:v>9.8754663953093953</c:v>
                </c:pt>
                <c:pt idx="120">
                  <c:v>9.467123077709088</c:v>
                </c:pt>
                <c:pt idx="121">
                  <c:v>8.6303939962476548</c:v>
                </c:pt>
                <c:pt idx="122">
                  <c:v>8.2773315849860687</c:v>
                </c:pt>
                <c:pt idx="123">
                  <c:v>7.6879464791926519</c:v>
                </c:pt>
                <c:pt idx="124">
                  <c:v>7.4839629365645051</c:v>
                </c:pt>
                <c:pt idx="125">
                  <c:v>6.9540195431928549</c:v>
                </c:pt>
                <c:pt idx="126">
                  <c:v>6.7895247332686717</c:v>
                </c:pt>
                <c:pt idx="127">
                  <c:v>7.0037910428580608</c:v>
                </c:pt>
                <c:pt idx="128">
                  <c:v>6.7191084890199937</c:v>
                </c:pt>
                <c:pt idx="129">
                  <c:v>6.3944223107569726</c:v>
                </c:pt>
                <c:pt idx="130">
                  <c:v>6.4230045686643384</c:v>
                </c:pt>
                <c:pt idx="131">
                  <c:v>6.4291088160864511</c:v>
                </c:pt>
                <c:pt idx="132">
                  <c:v>6.4540363338341757</c:v>
                </c:pt>
                <c:pt idx="133">
                  <c:v>6.431436535454484</c:v>
                </c:pt>
                <c:pt idx="134">
                  <c:v>6.6001966016008984</c:v>
                </c:pt>
                <c:pt idx="135">
                  <c:v>6.6127252666421485</c:v>
                </c:pt>
                <c:pt idx="136">
                  <c:v>6.4715060554275947</c:v>
                </c:pt>
                <c:pt idx="137">
                  <c:v>6.2853738456955615</c:v>
                </c:pt>
                <c:pt idx="138">
                  <c:v>6.2091257611065176</c:v>
                </c:pt>
                <c:pt idx="139">
                  <c:v>5.8881553987404205</c:v>
                </c:pt>
                <c:pt idx="140">
                  <c:v>5.8371969293911992</c:v>
                </c:pt>
                <c:pt idx="141">
                  <c:v>6.0143973991795034</c:v>
                </c:pt>
                <c:pt idx="142">
                  <c:v>6.3795725606339548</c:v>
                </c:pt>
                <c:pt idx="143">
                  <c:v>6.0129880541970664</c:v>
                </c:pt>
                <c:pt idx="144">
                  <c:v>6.1897880539499042</c:v>
                </c:pt>
                <c:pt idx="145">
                  <c:v>6.1206338939197931</c:v>
                </c:pt>
                <c:pt idx="146">
                  <c:v>5.972668810289389</c:v>
                </c:pt>
                <c:pt idx="147">
                  <c:v>6.006127055788455</c:v>
                </c:pt>
                <c:pt idx="148">
                  <c:v>5.9764859568909205</c:v>
                </c:pt>
                <c:pt idx="149">
                  <c:v>5.8756695341665308</c:v>
                </c:pt>
                <c:pt idx="150">
                  <c:v>5.7481457594324405</c:v>
                </c:pt>
                <c:pt idx="151">
                  <c:v>5.7962767254694745</c:v>
                </c:pt>
                <c:pt idx="152">
                  <c:v>5.8752612120237906</c:v>
                </c:pt>
                <c:pt idx="153">
                  <c:v>5.8495821727019495</c:v>
                </c:pt>
                <c:pt idx="154">
                  <c:v>5.8818853827199744</c:v>
                </c:pt>
                <c:pt idx="155">
                  <c:v>5.9402014434134349</c:v>
                </c:pt>
                <c:pt idx="156">
                  <c:v>5.79422954977806</c:v>
                </c:pt>
                <c:pt idx="157">
                  <c:v>6.116107931316435</c:v>
                </c:pt>
                <c:pt idx="158">
                  <c:v>5.7639671550474958</c:v>
                </c:pt>
                <c:pt idx="159">
                  <c:v>5.6594685718872926</c:v>
                </c:pt>
                <c:pt idx="160">
                  <c:v>5.6840077071290942</c:v>
                </c:pt>
                <c:pt idx="161">
                  <c:v>5.8842392175725511</c:v>
                </c:pt>
                <c:pt idx="162">
                  <c:v>6.0967793622816853</c:v>
                </c:pt>
                <c:pt idx="163">
                  <c:v>6.0414360272022769</c:v>
                </c:pt>
                <c:pt idx="164">
                  <c:v>6.0028359855049631</c:v>
                </c:pt>
                <c:pt idx="165">
                  <c:v>6.0275456515010832</c:v>
                </c:pt>
                <c:pt idx="166">
                  <c:v>5.9522890450088779</c:v>
                </c:pt>
                <c:pt idx="167">
                  <c:v>5.7528462640428257</c:v>
                </c:pt>
                <c:pt idx="168">
                  <c:v>5.8273488928785158</c:v>
                </c:pt>
                <c:pt idx="169">
                  <c:v>5.906644052798466</c:v>
                </c:pt>
                <c:pt idx="170">
                  <c:v>5.6486114132405199</c:v>
                </c:pt>
                <c:pt idx="171">
                  <c:v>5.5819899154889567</c:v>
                </c:pt>
                <c:pt idx="172">
                  <c:v>5.4109060284932271</c:v>
                </c:pt>
                <c:pt idx="173">
                  <c:v>5.3033458281271688</c:v>
                </c:pt>
                <c:pt idx="174">
                  <c:v>5.341749813344193</c:v>
                </c:pt>
                <c:pt idx="175">
                  <c:v>5.4483083338938592</c:v>
                </c:pt>
                <c:pt idx="176">
                  <c:v>5.5868513486645899</c:v>
                </c:pt>
                <c:pt idx="177">
                  <c:v>5.638020833333333</c:v>
                </c:pt>
                <c:pt idx="178">
                  <c:v>5.5139253153490699</c:v>
                </c:pt>
                <c:pt idx="179">
                  <c:v>5.5102530279410002</c:v>
                </c:pt>
                <c:pt idx="180">
                  <c:v>5.2790950122836087</c:v>
                </c:pt>
                <c:pt idx="181">
                  <c:v>5.2662978631087976</c:v>
                </c:pt>
                <c:pt idx="182">
                  <c:v>5.444126074498568</c:v>
                </c:pt>
                <c:pt idx="183">
                  <c:v>5.3667444455716753</c:v>
                </c:pt>
                <c:pt idx="184">
                  <c:v>5.0836023707415796</c:v>
                </c:pt>
                <c:pt idx="185">
                  <c:v>5.1568484406346888</c:v>
                </c:pt>
                <c:pt idx="186">
                  <c:v>5.1139570219231612</c:v>
                </c:pt>
                <c:pt idx="187">
                  <c:v>4.8352376221228681</c:v>
                </c:pt>
                <c:pt idx="188">
                  <c:v>4.9633009323546915</c:v>
                </c:pt>
                <c:pt idx="189">
                  <c:v>4.9390290666462153</c:v>
                </c:pt>
                <c:pt idx="190">
                  <c:v>5.1581071989235259</c:v>
                </c:pt>
                <c:pt idx="191">
                  <c:v>5.1659057410935763</c:v>
                </c:pt>
                <c:pt idx="192">
                  <c:v>5.2049109458758434</c:v>
                </c:pt>
                <c:pt idx="193">
                  <c:v>5.3390478088973055</c:v>
                </c:pt>
                <c:pt idx="194">
                  <c:v>5.193306405077899</c:v>
                </c:pt>
                <c:pt idx="195">
                  <c:v>5.2465864455389983</c:v>
                </c:pt>
                <c:pt idx="196">
                  <c:v>5.2101961022034979</c:v>
                </c:pt>
                <c:pt idx="197">
                  <c:v>5.2087957619343577</c:v>
                </c:pt>
                <c:pt idx="198">
                  <c:v>5.1189036678758564</c:v>
                </c:pt>
                <c:pt idx="199">
                  <c:v>5.1417049400694523</c:v>
                </c:pt>
                <c:pt idx="200">
                  <c:v>5.0289661925095874</c:v>
                </c:pt>
                <c:pt idx="201">
                  <c:v>5.2022504866277366</c:v>
                </c:pt>
                <c:pt idx="202">
                  <c:v>5.3026565218520343</c:v>
                </c:pt>
                <c:pt idx="203">
                  <c:v>5.4150611172072374</c:v>
                </c:pt>
                <c:pt idx="204">
                  <c:v>5.5952860596293315</c:v>
                </c:pt>
                <c:pt idx="205">
                  <c:v>5.6375209710845748</c:v>
                </c:pt>
                <c:pt idx="206">
                  <c:v>5.6697172385482819</c:v>
                </c:pt>
                <c:pt idx="207">
                  <c:v>5.6221588901712316</c:v>
                </c:pt>
                <c:pt idx="208">
                  <c:v>5.5142373902365556</c:v>
                </c:pt>
                <c:pt idx="209">
                  <c:v>5.3630550138328275</c:v>
                </c:pt>
                <c:pt idx="210">
                  <c:v>5.4903613656026087</c:v>
                </c:pt>
                <c:pt idx="211">
                  <c:v>5.7244608586691292</c:v>
                </c:pt>
                <c:pt idx="212">
                  <c:v>5.7639762328143291</c:v>
                </c:pt>
                <c:pt idx="213">
                  <c:v>5.8379649422830271</c:v>
                </c:pt>
                <c:pt idx="214">
                  <c:v>5.7357810469843669</c:v>
                </c:pt>
                <c:pt idx="215">
                  <c:v>5.6510196941946376</c:v>
                </c:pt>
                <c:pt idx="216">
                  <c:v>5.7358216776169941</c:v>
                </c:pt>
                <c:pt idx="217">
                  <c:v>5.9157840351330409</c:v>
                </c:pt>
                <c:pt idx="218">
                  <c:v>6.020146158404108</c:v>
                </c:pt>
                <c:pt idx="219">
                  <c:v>5.9438581433002362</c:v>
                </c:pt>
                <c:pt idx="220">
                  <c:v>5.8825764051133014</c:v>
                </c:pt>
                <c:pt idx="221">
                  <c:v>5.818841787506714</c:v>
                </c:pt>
                <c:pt idx="222">
                  <c:v>5.7679156318612108</c:v>
                </c:pt>
                <c:pt idx="223">
                  <c:v>5.7235891274443222</c:v>
                </c:pt>
                <c:pt idx="224">
                  <c:v>5.9199022121114373</c:v>
                </c:pt>
                <c:pt idx="225">
                  <c:v>6.0282036784514581</c:v>
                </c:pt>
                <c:pt idx="226">
                  <c:v>6.0438506775760672</c:v>
                </c:pt>
                <c:pt idx="227">
                  <c:v>5.9512979136341588</c:v>
                </c:pt>
                <c:pt idx="228">
                  <c:v>5.8279845956354297</c:v>
                </c:pt>
                <c:pt idx="229">
                  <c:v>5.7945448956955197</c:v>
                </c:pt>
                <c:pt idx="230">
                  <c:v>5.7148276952260515</c:v>
                </c:pt>
                <c:pt idx="231">
                  <c:v>5.8249963752356093</c:v>
                </c:pt>
                <c:pt idx="232">
                  <c:v>5.8215682451572954</c:v>
                </c:pt>
                <c:pt idx="233">
                  <c:v>5.9170317486072799</c:v>
                </c:pt>
                <c:pt idx="234">
                  <c:v>5.8388572119356077</c:v>
                </c:pt>
                <c:pt idx="235">
                  <c:v>5.7570448784851642</c:v>
                </c:pt>
                <c:pt idx="236">
                  <c:v>5.6586992773763205</c:v>
                </c:pt>
              </c:numCache>
            </c:numRef>
          </c:val>
          <c:smooth val="0"/>
          <c:extLst>
            <c:ext xmlns:c16="http://schemas.microsoft.com/office/drawing/2014/chart" uri="{C3380CC4-5D6E-409C-BE32-E72D297353CC}">
              <c16:uniqueId val="{00000000-82AD-4834-BE85-D930E6F8F3E3}"/>
            </c:ext>
          </c:extLst>
        </c:ser>
        <c:ser>
          <c:idx val="1"/>
          <c:order val="1"/>
          <c:tx>
            <c:strRef>
              <c:f>Sheet6!$AB$2</c:f>
              <c:strCache>
                <c:ptCount val="1"/>
                <c:pt idx="0">
                  <c:v>% terapia intensiva su tot infetti</c:v>
                </c:pt>
              </c:strCache>
            </c:strRef>
          </c:tx>
          <c:spPr>
            <a:ln w="28575" cap="rnd">
              <a:solidFill>
                <a:schemeClr val="accent2"/>
              </a:solidFill>
              <a:round/>
            </a:ln>
            <a:effectLst/>
          </c:spPr>
          <c:marker>
            <c:symbol val="none"/>
          </c:marker>
          <c:cat>
            <c:numRef>
              <c:f>Sheet6!$B$3:$B$239</c:f>
              <c:numCache>
                <c:formatCode>m/d;@</c:formatCode>
                <c:ptCount val="237"/>
                <c:pt idx="0">
                  <c:v>43885.75</c:v>
                </c:pt>
                <c:pt idx="1">
                  <c:v>43886.75</c:v>
                </c:pt>
                <c:pt idx="2">
                  <c:v>43887.75</c:v>
                </c:pt>
                <c:pt idx="3">
                  <c:v>43888.75</c:v>
                </c:pt>
                <c:pt idx="4">
                  <c:v>43889.75</c:v>
                </c:pt>
                <c:pt idx="5">
                  <c:v>43890.75</c:v>
                </c:pt>
                <c:pt idx="6">
                  <c:v>43891.75</c:v>
                </c:pt>
                <c:pt idx="7">
                  <c:v>43892.75</c:v>
                </c:pt>
                <c:pt idx="8">
                  <c:v>43893.75</c:v>
                </c:pt>
                <c:pt idx="9">
                  <c:v>43894.75</c:v>
                </c:pt>
                <c:pt idx="10">
                  <c:v>43895.75</c:v>
                </c:pt>
                <c:pt idx="11">
                  <c:v>43896.75</c:v>
                </c:pt>
                <c:pt idx="12">
                  <c:v>43897.75</c:v>
                </c:pt>
                <c:pt idx="13">
                  <c:v>43898.75</c:v>
                </c:pt>
                <c:pt idx="14">
                  <c:v>43899.75</c:v>
                </c:pt>
                <c:pt idx="15">
                  <c:v>43900.75</c:v>
                </c:pt>
                <c:pt idx="16">
                  <c:v>43901.708333333336</c:v>
                </c:pt>
                <c:pt idx="17">
                  <c:v>43902.708333333336</c:v>
                </c:pt>
                <c:pt idx="18">
                  <c:v>43903.708333333336</c:v>
                </c:pt>
                <c:pt idx="19">
                  <c:v>43904.708333333336</c:v>
                </c:pt>
                <c:pt idx="20">
                  <c:v>43905.708333333336</c:v>
                </c:pt>
                <c:pt idx="21">
                  <c:v>43906.708333333336</c:v>
                </c:pt>
                <c:pt idx="22">
                  <c:v>43907.708333333336</c:v>
                </c:pt>
                <c:pt idx="23">
                  <c:v>43908.708333333336</c:v>
                </c:pt>
                <c:pt idx="24">
                  <c:v>43909.708333333336</c:v>
                </c:pt>
                <c:pt idx="25">
                  <c:v>43910.708333333336</c:v>
                </c:pt>
                <c:pt idx="26">
                  <c:v>43911.708333333336</c:v>
                </c:pt>
                <c:pt idx="27">
                  <c:v>43912.708333333336</c:v>
                </c:pt>
                <c:pt idx="28">
                  <c:v>43913.708333333336</c:v>
                </c:pt>
                <c:pt idx="29">
                  <c:v>43914.708333333336</c:v>
                </c:pt>
                <c:pt idx="30">
                  <c:v>43915.708333333336</c:v>
                </c:pt>
                <c:pt idx="31">
                  <c:v>43916.708333333336</c:v>
                </c:pt>
                <c:pt idx="32">
                  <c:v>43917.708333333336</c:v>
                </c:pt>
                <c:pt idx="33">
                  <c:v>43918.708333333336</c:v>
                </c:pt>
                <c:pt idx="34">
                  <c:v>43919.708333333336</c:v>
                </c:pt>
                <c:pt idx="35">
                  <c:v>43920.708333333336</c:v>
                </c:pt>
                <c:pt idx="36">
                  <c:v>43921.708333333336</c:v>
                </c:pt>
                <c:pt idx="37">
                  <c:v>43922.708333333336</c:v>
                </c:pt>
                <c:pt idx="38">
                  <c:v>43923.708333333336</c:v>
                </c:pt>
                <c:pt idx="39">
                  <c:v>43924.708333333336</c:v>
                </c:pt>
                <c:pt idx="40">
                  <c:v>43925.708333333336</c:v>
                </c:pt>
                <c:pt idx="41">
                  <c:v>43926.708333333336</c:v>
                </c:pt>
                <c:pt idx="42">
                  <c:v>43927.708333333336</c:v>
                </c:pt>
                <c:pt idx="43">
                  <c:v>43928.708333333336</c:v>
                </c:pt>
                <c:pt idx="44">
                  <c:v>43929.708333333336</c:v>
                </c:pt>
                <c:pt idx="45">
                  <c:v>43930.708333333336</c:v>
                </c:pt>
                <c:pt idx="46">
                  <c:v>43931.708333333336</c:v>
                </c:pt>
                <c:pt idx="47">
                  <c:v>43932.708333333336</c:v>
                </c:pt>
                <c:pt idx="48">
                  <c:v>43933.708333333336</c:v>
                </c:pt>
                <c:pt idx="49">
                  <c:v>43934.708333333336</c:v>
                </c:pt>
                <c:pt idx="50">
                  <c:v>43935.708333333336</c:v>
                </c:pt>
                <c:pt idx="51">
                  <c:v>43936.708333333336</c:v>
                </c:pt>
                <c:pt idx="52">
                  <c:v>43937.708333333336</c:v>
                </c:pt>
                <c:pt idx="53">
                  <c:v>43938.708333333336</c:v>
                </c:pt>
                <c:pt idx="54">
                  <c:v>43939.708333333336</c:v>
                </c:pt>
                <c:pt idx="55">
                  <c:v>43940.708333333336</c:v>
                </c:pt>
                <c:pt idx="56">
                  <c:v>43941.708333333336</c:v>
                </c:pt>
                <c:pt idx="57">
                  <c:v>43942.708333333336</c:v>
                </c:pt>
                <c:pt idx="58">
                  <c:v>43943.708333333336</c:v>
                </c:pt>
                <c:pt idx="59">
                  <c:v>43944.708333333336</c:v>
                </c:pt>
                <c:pt idx="60">
                  <c:v>43945.708333333336</c:v>
                </c:pt>
                <c:pt idx="61">
                  <c:v>43946.708333333336</c:v>
                </c:pt>
                <c:pt idx="62">
                  <c:v>43947.708333333336</c:v>
                </c:pt>
                <c:pt idx="63">
                  <c:v>43948.708333333336</c:v>
                </c:pt>
                <c:pt idx="64">
                  <c:v>43949.708333333336</c:v>
                </c:pt>
                <c:pt idx="65">
                  <c:v>43950.708333333336</c:v>
                </c:pt>
                <c:pt idx="66">
                  <c:v>43951.708333333336</c:v>
                </c:pt>
                <c:pt idx="67">
                  <c:v>43952.708333333336</c:v>
                </c:pt>
                <c:pt idx="68">
                  <c:v>43953.708333333336</c:v>
                </c:pt>
                <c:pt idx="69">
                  <c:v>43954.708333333336</c:v>
                </c:pt>
                <c:pt idx="70">
                  <c:v>43955.708333333336</c:v>
                </c:pt>
                <c:pt idx="71">
                  <c:v>43956.708333333336</c:v>
                </c:pt>
                <c:pt idx="72">
                  <c:v>43957.708333333336</c:v>
                </c:pt>
                <c:pt idx="73">
                  <c:v>43958.708333333336</c:v>
                </c:pt>
                <c:pt idx="74">
                  <c:v>43959.708333333336</c:v>
                </c:pt>
                <c:pt idx="75">
                  <c:v>43960.708333333336</c:v>
                </c:pt>
                <c:pt idx="76">
                  <c:v>43961.708333333336</c:v>
                </c:pt>
                <c:pt idx="77">
                  <c:v>43962.708333333336</c:v>
                </c:pt>
                <c:pt idx="78">
                  <c:v>43963.708333333336</c:v>
                </c:pt>
                <c:pt idx="79">
                  <c:v>43964.708333333336</c:v>
                </c:pt>
                <c:pt idx="80">
                  <c:v>43965.708333333336</c:v>
                </c:pt>
                <c:pt idx="81">
                  <c:v>43966.708333333336</c:v>
                </c:pt>
                <c:pt idx="82">
                  <c:v>43967.708333333336</c:v>
                </c:pt>
                <c:pt idx="83">
                  <c:v>43968.708333333336</c:v>
                </c:pt>
                <c:pt idx="84">
                  <c:v>43969.708333333336</c:v>
                </c:pt>
                <c:pt idx="85">
                  <c:v>43970.708333333336</c:v>
                </c:pt>
                <c:pt idx="86">
                  <c:v>43971.708333333336</c:v>
                </c:pt>
                <c:pt idx="87">
                  <c:v>43972.708333333336</c:v>
                </c:pt>
                <c:pt idx="88">
                  <c:v>43973.708333333336</c:v>
                </c:pt>
                <c:pt idx="89">
                  <c:v>43974.708333333336</c:v>
                </c:pt>
                <c:pt idx="90">
                  <c:v>43975.708333333336</c:v>
                </c:pt>
                <c:pt idx="91">
                  <c:v>43976.708333333336</c:v>
                </c:pt>
                <c:pt idx="92">
                  <c:v>43977.708333333336</c:v>
                </c:pt>
                <c:pt idx="93">
                  <c:v>43978.708333333336</c:v>
                </c:pt>
                <c:pt idx="94">
                  <c:v>43979.708333333336</c:v>
                </c:pt>
                <c:pt idx="95">
                  <c:v>43980.708333333336</c:v>
                </c:pt>
                <c:pt idx="96">
                  <c:v>43981.708333333336</c:v>
                </c:pt>
                <c:pt idx="97">
                  <c:v>43982.708333333336</c:v>
                </c:pt>
                <c:pt idx="98">
                  <c:v>43983.708333333336</c:v>
                </c:pt>
                <c:pt idx="99">
                  <c:v>43984.708333333336</c:v>
                </c:pt>
                <c:pt idx="100">
                  <c:v>43985.708333333336</c:v>
                </c:pt>
                <c:pt idx="101">
                  <c:v>43986.708333333336</c:v>
                </c:pt>
                <c:pt idx="102">
                  <c:v>43987.708333333336</c:v>
                </c:pt>
                <c:pt idx="103">
                  <c:v>43988.708333333336</c:v>
                </c:pt>
                <c:pt idx="104">
                  <c:v>43989.708333333336</c:v>
                </c:pt>
                <c:pt idx="105">
                  <c:v>43990.708333333336</c:v>
                </c:pt>
                <c:pt idx="106">
                  <c:v>43991.708333333336</c:v>
                </c:pt>
                <c:pt idx="107">
                  <c:v>43992.708333333336</c:v>
                </c:pt>
                <c:pt idx="108">
                  <c:v>43993.708333333336</c:v>
                </c:pt>
                <c:pt idx="109">
                  <c:v>43994.708333333336</c:v>
                </c:pt>
                <c:pt idx="110">
                  <c:v>43995.708333333336</c:v>
                </c:pt>
                <c:pt idx="111">
                  <c:v>43996.708333333336</c:v>
                </c:pt>
                <c:pt idx="112">
                  <c:v>43997.708333333336</c:v>
                </c:pt>
                <c:pt idx="113">
                  <c:v>43998.708333333336</c:v>
                </c:pt>
                <c:pt idx="114">
                  <c:v>43999.708333333336</c:v>
                </c:pt>
                <c:pt idx="115">
                  <c:v>44000.708333333336</c:v>
                </c:pt>
                <c:pt idx="116">
                  <c:v>44001.708333333336</c:v>
                </c:pt>
                <c:pt idx="117">
                  <c:v>44002.708333333336</c:v>
                </c:pt>
                <c:pt idx="118">
                  <c:v>44003.708333333336</c:v>
                </c:pt>
                <c:pt idx="119">
                  <c:v>44004.708333333336</c:v>
                </c:pt>
                <c:pt idx="120">
                  <c:v>44005.708333333336</c:v>
                </c:pt>
                <c:pt idx="121">
                  <c:v>44006.708333333336</c:v>
                </c:pt>
                <c:pt idx="122">
                  <c:v>44007.708333333336</c:v>
                </c:pt>
                <c:pt idx="123">
                  <c:v>44008.708333333336</c:v>
                </c:pt>
                <c:pt idx="124">
                  <c:v>44009.708333333336</c:v>
                </c:pt>
                <c:pt idx="125">
                  <c:v>44010.708333333336</c:v>
                </c:pt>
                <c:pt idx="126">
                  <c:v>44011.708333333336</c:v>
                </c:pt>
                <c:pt idx="127">
                  <c:v>44012.708333333336</c:v>
                </c:pt>
                <c:pt idx="128">
                  <c:v>44013.708333333336</c:v>
                </c:pt>
                <c:pt idx="129">
                  <c:v>44014.708333333336</c:v>
                </c:pt>
                <c:pt idx="130">
                  <c:v>44015.708333333336</c:v>
                </c:pt>
                <c:pt idx="131">
                  <c:v>44016.708333333336</c:v>
                </c:pt>
                <c:pt idx="132">
                  <c:v>44017.708333333336</c:v>
                </c:pt>
                <c:pt idx="133">
                  <c:v>44018.708333333336</c:v>
                </c:pt>
                <c:pt idx="134">
                  <c:v>44019.708333333336</c:v>
                </c:pt>
                <c:pt idx="135">
                  <c:v>44020.708333333336</c:v>
                </c:pt>
                <c:pt idx="136">
                  <c:v>44021.708333333336</c:v>
                </c:pt>
                <c:pt idx="137">
                  <c:v>44022.708333333336</c:v>
                </c:pt>
                <c:pt idx="138">
                  <c:v>44023.708333333336</c:v>
                </c:pt>
                <c:pt idx="139">
                  <c:v>44024.708333333336</c:v>
                </c:pt>
                <c:pt idx="140">
                  <c:v>44025.708333333336</c:v>
                </c:pt>
                <c:pt idx="141">
                  <c:v>44026.708333333336</c:v>
                </c:pt>
                <c:pt idx="142">
                  <c:v>44027.708333333336</c:v>
                </c:pt>
                <c:pt idx="143">
                  <c:v>44028.708333333336</c:v>
                </c:pt>
                <c:pt idx="144">
                  <c:v>44029.708333333336</c:v>
                </c:pt>
                <c:pt idx="145">
                  <c:v>44030.708333333336</c:v>
                </c:pt>
                <c:pt idx="146">
                  <c:v>44031.708333333336</c:v>
                </c:pt>
                <c:pt idx="147">
                  <c:v>44032.708333333336</c:v>
                </c:pt>
                <c:pt idx="148">
                  <c:v>44033.708333333336</c:v>
                </c:pt>
                <c:pt idx="149">
                  <c:v>44034.708333333336</c:v>
                </c:pt>
                <c:pt idx="150">
                  <c:v>44035.708333333336</c:v>
                </c:pt>
                <c:pt idx="151">
                  <c:v>44036.708333333336</c:v>
                </c:pt>
                <c:pt idx="152">
                  <c:v>44037.708333333336</c:v>
                </c:pt>
                <c:pt idx="153">
                  <c:v>44038.708333333336</c:v>
                </c:pt>
                <c:pt idx="154">
                  <c:v>44039.708333333336</c:v>
                </c:pt>
                <c:pt idx="155">
                  <c:v>44040.708333333336</c:v>
                </c:pt>
                <c:pt idx="156">
                  <c:v>44041.708333333336</c:v>
                </c:pt>
                <c:pt idx="157">
                  <c:v>44042.708333333336</c:v>
                </c:pt>
                <c:pt idx="158">
                  <c:v>44043.708333333336</c:v>
                </c:pt>
                <c:pt idx="159">
                  <c:v>44044.708333333336</c:v>
                </c:pt>
                <c:pt idx="160">
                  <c:v>44045.708333333336</c:v>
                </c:pt>
                <c:pt idx="161">
                  <c:v>44046.708333333336</c:v>
                </c:pt>
                <c:pt idx="162">
                  <c:v>44047.708333333336</c:v>
                </c:pt>
                <c:pt idx="163">
                  <c:v>44048.708333333336</c:v>
                </c:pt>
                <c:pt idx="164">
                  <c:v>44049.708333333336</c:v>
                </c:pt>
                <c:pt idx="165">
                  <c:v>44050.708333333336</c:v>
                </c:pt>
                <c:pt idx="166">
                  <c:v>44051.708333333336</c:v>
                </c:pt>
                <c:pt idx="167">
                  <c:v>44052.708333333336</c:v>
                </c:pt>
                <c:pt idx="168">
                  <c:v>44053.708333333336</c:v>
                </c:pt>
                <c:pt idx="169">
                  <c:v>44054.708333333336</c:v>
                </c:pt>
                <c:pt idx="170">
                  <c:v>44055.708333333336</c:v>
                </c:pt>
                <c:pt idx="171">
                  <c:v>44056.708333333336</c:v>
                </c:pt>
                <c:pt idx="172">
                  <c:v>44057.708333333336</c:v>
                </c:pt>
                <c:pt idx="173">
                  <c:v>44058.708333333336</c:v>
                </c:pt>
                <c:pt idx="174">
                  <c:v>44059.708333333336</c:v>
                </c:pt>
                <c:pt idx="175">
                  <c:v>44060.708333333336</c:v>
                </c:pt>
                <c:pt idx="176">
                  <c:v>44061.708333333336</c:v>
                </c:pt>
                <c:pt idx="177">
                  <c:v>44062.708333333336</c:v>
                </c:pt>
                <c:pt idx="178">
                  <c:v>44063.708333333336</c:v>
                </c:pt>
                <c:pt idx="179">
                  <c:v>44064.708333333336</c:v>
                </c:pt>
                <c:pt idx="180">
                  <c:v>44065.708333333336</c:v>
                </c:pt>
                <c:pt idx="181">
                  <c:v>44066.708333333336</c:v>
                </c:pt>
                <c:pt idx="182">
                  <c:v>44067.708333333336</c:v>
                </c:pt>
                <c:pt idx="183">
                  <c:v>44068.708333333336</c:v>
                </c:pt>
                <c:pt idx="184">
                  <c:v>44069.708333333336</c:v>
                </c:pt>
                <c:pt idx="185">
                  <c:v>44070.708333333336</c:v>
                </c:pt>
                <c:pt idx="186">
                  <c:v>44071.708333333336</c:v>
                </c:pt>
                <c:pt idx="187">
                  <c:v>44072.708333333336</c:v>
                </c:pt>
                <c:pt idx="188">
                  <c:v>44073.708333333336</c:v>
                </c:pt>
                <c:pt idx="189">
                  <c:v>44074.708333333336</c:v>
                </c:pt>
                <c:pt idx="190">
                  <c:v>44075.708333333336</c:v>
                </c:pt>
                <c:pt idx="191">
                  <c:v>44076.708333333336</c:v>
                </c:pt>
                <c:pt idx="192">
                  <c:v>44077.708333333336</c:v>
                </c:pt>
                <c:pt idx="193">
                  <c:v>44078.708333333336</c:v>
                </c:pt>
                <c:pt idx="194">
                  <c:v>44079.708333333336</c:v>
                </c:pt>
                <c:pt idx="195">
                  <c:v>44080.708333333336</c:v>
                </c:pt>
                <c:pt idx="196">
                  <c:v>44081.708333333336</c:v>
                </c:pt>
                <c:pt idx="197">
                  <c:v>44082.708333333336</c:v>
                </c:pt>
                <c:pt idx="198">
                  <c:v>44083.708333333336</c:v>
                </c:pt>
                <c:pt idx="199">
                  <c:v>44084.708333333336</c:v>
                </c:pt>
                <c:pt idx="200">
                  <c:v>44085.708333333336</c:v>
                </c:pt>
                <c:pt idx="201">
                  <c:v>44086.708333333336</c:v>
                </c:pt>
                <c:pt idx="202">
                  <c:v>44087.708333333336</c:v>
                </c:pt>
                <c:pt idx="203">
                  <c:v>44088.708333333336</c:v>
                </c:pt>
                <c:pt idx="204">
                  <c:v>44089.708333333336</c:v>
                </c:pt>
                <c:pt idx="205">
                  <c:v>44090.708333333336</c:v>
                </c:pt>
                <c:pt idx="206">
                  <c:v>44091.708333333336</c:v>
                </c:pt>
                <c:pt idx="207">
                  <c:v>44092.708333333336</c:v>
                </c:pt>
                <c:pt idx="208">
                  <c:v>44093.708333333336</c:v>
                </c:pt>
                <c:pt idx="209">
                  <c:v>44094.708333333336</c:v>
                </c:pt>
                <c:pt idx="210">
                  <c:v>44095.708333333336</c:v>
                </c:pt>
                <c:pt idx="211">
                  <c:v>44096.708333333336</c:v>
                </c:pt>
                <c:pt idx="212">
                  <c:v>44097.708333333336</c:v>
                </c:pt>
                <c:pt idx="213">
                  <c:v>44098.708333333336</c:v>
                </c:pt>
                <c:pt idx="214">
                  <c:v>44099.708333333336</c:v>
                </c:pt>
                <c:pt idx="215">
                  <c:v>44100.708333333336</c:v>
                </c:pt>
                <c:pt idx="216">
                  <c:v>44101.708333333336</c:v>
                </c:pt>
                <c:pt idx="217">
                  <c:v>44102.708333333336</c:v>
                </c:pt>
                <c:pt idx="218">
                  <c:v>44103.708333333336</c:v>
                </c:pt>
                <c:pt idx="219">
                  <c:v>44104.708333333336</c:v>
                </c:pt>
                <c:pt idx="220">
                  <c:v>44105.708333333336</c:v>
                </c:pt>
                <c:pt idx="221">
                  <c:v>44106.708333333336</c:v>
                </c:pt>
                <c:pt idx="222">
                  <c:v>44107.708333333336</c:v>
                </c:pt>
                <c:pt idx="223">
                  <c:v>44108.708333333336</c:v>
                </c:pt>
                <c:pt idx="224">
                  <c:v>44109.708333333336</c:v>
                </c:pt>
                <c:pt idx="225">
                  <c:v>44110.708333333336</c:v>
                </c:pt>
                <c:pt idx="226">
                  <c:v>44111.708333333336</c:v>
                </c:pt>
                <c:pt idx="227">
                  <c:v>44112.708333333336</c:v>
                </c:pt>
                <c:pt idx="228">
                  <c:v>44113.708333333336</c:v>
                </c:pt>
                <c:pt idx="229">
                  <c:v>44114.708333333336</c:v>
                </c:pt>
                <c:pt idx="230">
                  <c:v>44115.708333333336</c:v>
                </c:pt>
                <c:pt idx="231">
                  <c:v>44116.708333333336</c:v>
                </c:pt>
                <c:pt idx="232">
                  <c:v>44117.708333333336</c:v>
                </c:pt>
                <c:pt idx="233">
                  <c:v>44118.708333333336</c:v>
                </c:pt>
                <c:pt idx="234">
                  <c:v>44119.708333333336</c:v>
                </c:pt>
                <c:pt idx="235">
                  <c:v>44120.708333333336</c:v>
                </c:pt>
                <c:pt idx="236">
                  <c:v>44121.708333333336</c:v>
                </c:pt>
              </c:numCache>
            </c:numRef>
          </c:cat>
          <c:val>
            <c:numRef>
              <c:f>Sheet6!$AB$3:$AB$242</c:f>
              <c:numCache>
                <c:formatCode>0.00</c:formatCode>
                <c:ptCount val="240"/>
                <c:pt idx="0">
                  <c:v>11.76470588235294</c:v>
                </c:pt>
                <c:pt idx="1">
                  <c:v>11.254019292604502</c:v>
                </c:pt>
                <c:pt idx="2">
                  <c:v>9.3506493506493502</c:v>
                </c:pt>
                <c:pt idx="3">
                  <c:v>9.5238095238095237</c:v>
                </c:pt>
                <c:pt idx="4">
                  <c:v>7.7953714981729592</c:v>
                </c:pt>
                <c:pt idx="5">
                  <c:v>10.009532888465204</c:v>
                </c:pt>
                <c:pt idx="6">
                  <c:v>8.8776157260621442</c:v>
                </c:pt>
                <c:pt idx="7">
                  <c:v>9.0463215258855598</c:v>
                </c:pt>
                <c:pt idx="8">
                  <c:v>10.119310649580203</c:v>
                </c:pt>
                <c:pt idx="9">
                  <c:v>10.901699926090171</c:v>
                </c:pt>
                <c:pt idx="10">
                  <c:v>10.649271844660193</c:v>
                </c:pt>
                <c:pt idx="11">
                  <c:v>11.797752808988763</c:v>
                </c:pt>
                <c:pt idx="12">
                  <c:v>11.20331950207469</c:v>
                </c:pt>
                <c:pt idx="13">
                  <c:v>10.176921872553626</c:v>
                </c:pt>
                <c:pt idx="14">
                  <c:v>9.1797119599248589</c:v>
                </c:pt>
                <c:pt idx="15">
                  <c:v>10.300681230913789</c:v>
                </c:pt>
                <c:pt idx="16">
                  <c:v>9.7072710103871565</c:v>
                </c:pt>
                <c:pt idx="17">
                  <c:v>8.9804501908248309</c:v>
                </c:pt>
                <c:pt idx="18">
                  <c:v>8.8799732530926114</c:v>
                </c:pt>
                <c:pt idx="19">
                  <c:v>8.5521126760563373</c:v>
                </c:pt>
                <c:pt idx="20">
                  <c:v>8.1153230112119594</c:v>
                </c:pt>
                <c:pt idx="21">
                  <c:v>8.0223638018463141</c:v>
                </c:pt>
                <c:pt idx="22">
                  <c:v>7.904228378482081</c:v>
                </c:pt>
                <c:pt idx="23">
                  <c:v>7.8613723441309649</c:v>
                </c:pt>
                <c:pt idx="24">
                  <c:v>7.5263633624585715</c:v>
                </c:pt>
                <c:pt idx="25">
                  <c:v>7.0126782884310623</c:v>
                </c:pt>
                <c:pt idx="26">
                  <c:v>6.693845036433073</c:v>
                </c:pt>
                <c:pt idx="27">
                  <c:v>6.4518204039624338</c:v>
                </c:pt>
                <c:pt idx="28">
                  <c:v>6.3548732595501605</c:v>
                </c:pt>
                <c:pt idx="29">
                  <c:v>6.285397001665741</c:v>
                </c:pt>
                <c:pt idx="30">
                  <c:v>6.0656108203960297</c:v>
                </c:pt>
                <c:pt idx="31">
                  <c:v>5.8245851676261431</c:v>
                </c:pt>
                <c:pt idx="32">
                  <c:v>5.6192971361459936</c:v>
                </c:pt>
                <c:pt idx="33">
                  <c:v>5.5034610718618424</c:v>
                </c:pt>
                <c:pt idx="34">
                  <c:v>5.2869518137520304</c:v>
                </c:pt>
                <c:pt idx="35">
                  <c:v>5.2708929138862413</c:v>
                </c:pt>
                <c:pt idx="36">
                  <c:v>5.1819411347974498</c:v>
                </c:pt>
                <c:pt idx="37">
                  <c:v>5.0079432060765523</c:v>
                </c:pt>
                <c:pt idx="38">
                  <c:v>4.8802514178376626</c:v>
                </c:pt>
                <c:pt idx="39">
                  <c:v>4.7641354757108729</c:v>
                </c:pt>
                <c:pt idx="40">
                  <c:v>4.5245485646962864</c:v>
                </c:pt>
                <c:pt idx="41">
                  <c:v>4.3585472239879008</c:v>
                </c:pt>
                <c:pt idx="42">
                  <c:v>4.1829868973140032</c:v>
                </c:pt>
                <c:pt idx="43">
                  <c:v>4.0311692729650144</c:v>
                </c:pt>
                <c:pt idx="44">
                  <c:v>3.876676954084525</c:v>
                </c:pt>
                <c:pt idx="45">
                  <c:v>3.7212134975277928</c:v>
                </c:pt>
                <c:pt idx="46">
                  <c:v>3.5584545093769395</c:v>
                </c:pt>
                <c:pt idx="47">
                  <c:v>3.3719295096191244</c:v>
                </c:pt>
                <c:pt idx="48">
                  <c:v>3.2693417308049644</c:v>
                </c:pt>
                <c:pt idx="49">
                  <c:v>3.1462322421247682</c:v>
                </c:pt>
                <c:pt idx="50">
                  <c:v>3.054913655061319</c:v>
                </c:pt>
                <c:pt idx="51">
                  <c:v>2.9207535714963289</c:v>
                </c:pt>
                <c:pt idx="52">
                  <c:v>2.754040541427861</c:v>
                </c:pt>
                <c:pt idx="53">
                  <c:v>2.6289710364428487</c:v>
                </c:pt>
                <c:pt idx="54">
                  <c:v>2.5359326720546345</c:v>
                </c:pt>
                <c:pt idx="55">
                  <c:v>2.4340227421783349</c:v>
                </c:pt>
                <c:pt idx="56">
                  <c:v>2.377190794275525</c:v>
                </c:pt>
                <c:pt idx="57">
                  <c:v>2.2941444076168196</c:v>
                </c:pt>
                <c:pt idx="58">
                  <c:v>2.2135767277319198</c:v>
                </c:pt>
                <c:pt idx="59">
                  <c:v>2.1217056004791854</c:v>
                </c:pt>
                <c:pt idx="60">
                  <c:v>2.0398584396444095</c:v>
                </c:pt>
                <c:pt idx="61">
                  <c:v>1.9858852872542445</c:v>
                </c:pt>
                <c:pt idx="62">
                  <c:v>1.8934431637182738</c:v>
                </c:pt>
                <c:pt idx="63">
                  <c:v>1.8485441297383121</c:v>
                </c:pt>
                <c:pt idx="64">
                  <c:v>1.7708283826814313</c:v>
                </c:pt>
                <c:pt idx="65">
                  <c:v>1.7151265562743057</c:v>
                </c:pt>
                <c:pt idx="66">
                  <c:v>1.6681273448808973</c:v>
                </c:pt>
                <c:pt idx="67">
                  <c:v>1.5632584726033505</c:v>
                </c:pt>
                <c:pt idx="68">
                  <c:v>1.5282411820781696</c:v>
                </c:pt>
                <c:pt idx="69">
                  <c:v>1.4983180107607383</c:v>
                </c:pt>
                <c:pt idx="70">
                  <c:v>1.4792958591718344</c:v>
                </c:pt>
                <c:pt idx="71">
                  <c:v>1.4492164887728884</c:v>
                </c:pt>
                <c:pt idx="72">
                  <c:v>1.4563849313871164</c:v>
                </c:pt>
                <c:pt idx="73">
                  <c:v>1.4627778273676693</c:v>
                </c:pt>
                <c:pt idx="74">
                  <c:v>1.3278612112186081</c:v>
                </c:pt>
                <c:pt idx="75">
                  <c:v>1.2187360033945451</c:v>
                </c:pt>
                <c:pt idx="76">
                  <c:v>1.2325380442609573</c:v>
                </c:pt>
                <c:pt idx="77">
                  <c:v>1.2110852487634565</c:v>
                </c:pt>
                <c:pt idx="78">
                  <c:v>1.1714616198656265</c:v>
                </c:pt>
                <c:pt idx="79">
                  <c:v>1.1382030921396435</c:v>
                </c:pt>
                <c:pt idx="80">
                  <c:v>1.1185243328100472</c:v>
                </c:pt>
                <c:pt idx="81">
                  <c:v>1.1211322325516859</c:v>
                </c:pt>
                <c:pt idx="82">
                  <c:v>1.1041930841893799</c:v>
                </c:pt>
                <c:pt idx="83">
                  <c:v>1.1148337259147636</c:v>
                </c:pt>
                <c:pt idx="84">
                  <c:v>1.1254188391207007</c:v>
                </c:pt>
                <c:pt idx="85">
                  <c:v>1.0993566613950776</c:v>
                </c:pt>
                <c:pt idx="86">
                  <c:v>1.0772565017848037</c:v>
                </c:pt>
                <c:pt idx="87">
                  <c:v>1.0498687664041995</c:v>
                </c:pt>
                <c:pt idx="88">
                  <c:v>1.0030005731431848</c:v>
                </c:pt>
                <c:pt idx="89">
                  <c:v>0.99044188945837364</c:v>
                </c:pt>
                <c:pt idx="90">
                  <c:v>0.97713538537654165</c:v>
                </c:pt>
                <c:pt idx="91">
                  <c:v>0.97830018083182646</c:v>
                </c:pt>
                <c:pt idx="92">
                  <c:v>0.98409580295417631</c:v>
                </c:pt>
                <c:pt idx="93">
                  <c:v>0.9908566495310599</c:v>
                </c:pt>
                <c:pt idx="94">
                  <c:v>1.0190472221064477</c:v>
                </c:pt>
                <c:pt idx="95">
                  <c:v>1.028695181375203</c:v>
                </c:pt>
                <c:pt idx="96">
                  <c:v>1.0299604037444783</c:v>
                </c:pt>
                <c:pt idx="97">
                  <c:v>1.0333277905789011</c:v>
                </c:pt>
                <c:pt idx="98">
                  <c:v>1.0249715957163923</c:v>
                </c:pt>
                <c:pt idx="99">
                  <c:v>1.0227358183139901</c:v>
                </c:pt>
                <c:pt idx="100">
                  <c:v>0.89828740107387328</c:v>
                </c:pt>
                <c:pt idx="101">
                  <c:v>0.87954409430378089</c:v>
                </c:pt>
                <c:pt idx="102">
                  <c:v>0.85460839463435745</c:v>
                </c:pt>
                <c:pt idx="103">
                  <c:v>0.81667920952142037</c:v>
                </c:pt>
                <c:pt idx="104">
                  <c:v>0.81390732232998697</c:v>
                </c:pt>
                <c:pt idx="105">
                  <c:v>0.81485747192628855</c:v>
                </c:pt>
                <c:pt idx="106">
                  <c:v>0.80007301046483326</c:v>
                </c:pt>
                <c:pt idx="107">
                  <c:v>0.78524124881740776</c:v>
                </c:pt>
                <c:pt idx="108">
                  <c:v>0.77031040898260272</c:v>
                </c:pt>
                <c:pt idx="109">
                  <c:v>0.78283960409697551</c:v>
                </c:pt>
                <c:pt idx="110">
                  <c:v>0.80043660178279064</c:v>
                </c:pt>
                <c:pt idx="111">
                  <c:v>0.7954631955545407</c:v>
                </c:pt>
                <c:pt idx="112">
                  <c:v>0.7989501717549885</c:v>
                </c:pt>
                <c:pt idx="113">
                  <c:v>0.72042004151573125</c:v>
                </c:pt>
                <c:pt idx="114">
                  <c:v>0.68129571577847436</c:v>
                </c:pt>
                <c:pt idx="115">
                  <c:v>0.72724124496775033</c:v>
                </c:pt>
                <c:pt idx="116">
                  <c:v>0.74734252425381797</c:v>
                </c:pt>
                <c:pt idx="117">
                  <c:v>0.71657552328870444</c:v>
                </c:pt>
                <c:pt idx="118">
                  <c:v>0.70570284188441723</c:v>
                </c:pt>
                <c:pt idx="119">
                  <c:v>0.6153995251247758</c:v>
                </c:pt>
                <c:pt idx="120">
                  <c:v>0.58754406580493534</c:v>
                </c:pt>
                <c:pt idx="121">
                  <c:v>0.57357276869471996</c:v>
                </c:pt>
                <c:pt idx="122">
                  <c:v>0.56274927607496039</c:v>
                </c:pt>
                <c:pt idx="123">
                  <c:v>0.5953055902029708</c:v>
                </c:pt>
                <c:pt idx="124">
                  <c:v>0.57614635305298167</c:v>
                </c:pt>
                <c:pt idx="125">
                  <c:v>0.58749475451112043</c:v>
                </c:pt>
                <c:pt idx="126">
                  <c:v>0.58195926285160038</c:v>
                </c:pt>
                <c:pt idx="127">
                  <c:v>0.59757116237229324</c:v>
                </c:pt>
                <c:pt idx="128">
                  <c:v>0.57030481809242872</c:v>
                </c:pt>
                <c:pt idx="129">
                  <c:v>0.54448871181938907</c:v>
                </c:pt>
                <c:pt idx="130">
                  <c:v>0.53077129803816181</c:v>
                </c:pt>
                <c:pt idx="131">
                  <c:v>0.48560289993844469</c:v>
                </c:pt>
                <c:pt idx="132">
                  <c:v>0.5053954377817238</c:v>
                </c:pt>
                <c:pt idx="133">
                  <c:v>0.48949622679991844</c:v>
                </c:pt>
                <c:pt idx="134">
                  <c:v>0.4915040022468754</c:v>
                </c:pt>
                <c:pt idx="135">
                  <c:v>0.52225082751011409</c:v>
                </c:pt>
                <c:pt idx="136">
                  <c:v>0.51266810312801847</c:v>
                </c:pt>
                <c:pt idx="137">
                  <c:v>0.48406315162347335</c:v>
                </c:pt>
                <c:pt idx="138">
                  <c:v>0.50364579418176358</c:v>
                </c:pt>
                <c:pt idx="139">
                  <c:v>0.51597238030199555</c:v>
                </c:pt>
                <c:pt idx="140">
                  <c:v>0.49403359428441135</c:v>
                </c:pt>
                <c:pt idx="141">
                  <c:v>0.4644322315968728</c:v>
                </c:pt>
                <c:pt idx="142">
                  <c:v>0.4562555030817258</c:v>
                </c:pt>
                <c:pt idx="143">
                  <c:v>0.4249178224965926</c:v>
                </c:pt>
                <c:pt idx="144">
                  <c:v>0.40141297366730899</c:v>
                </c:pt>
                <c:pt idx="145">
                  <c:v>0.40426908150064683</c:v>
                </c:pt>
                <c:pt idx="146">
                  <c:v>0.39389067524115756</c:v>
                </c:pt>
                <c:pt idx="147">
                  <c:v>0.37891002902289583</c:v>
                </c:pt>
                <c:pt idx="148">
                  <c:v>0.4000653167864141</c:v>
                </c:pt>
                <c:pt idx="149">
                  <c:v>0.38954715143645513</c:v>
                </c:pt>
                <c:pt idx="150">
                  <c:v>0.39503386004514673</c:v>
                </c:pt>
                <c:pt idx="151">
                  <c:v>0.37395333712706286</c:v>
                </c:pt>
                <c:pt idx="152">
                  <c:v>0.32952901462787332</c:v>
                </c:pt>
                <c:pt idx="153">
                  <c:v>0.35017906884202149</c:v>
                </c:pt>
                <c:pt idx="154">
                  <c:v>0.35768221921945792</c:v>
                </c:pt>
                <c:pt idx="155">
                  <c:v>0.31723372194464272</c:v>
                </c:pt>
                <c:pt idx="156">
                  <c:v>0.30120481927710846</c:v>
                </c:pt>
                <c:pt idx="157">
                  <c:v>0.38430089942763695</c:v>
                </c:pt>
                <c:pt idx="158">
                  <c:v>0.3300595717275801</c:v>
                </c:pt>
                <c:pt idx="159">
                  <c:v>0.3451874448101469</c:v>
                </c:pt>
                <c:pt idx="160">
                  <c:v>0.33718689788053952</c:v>
                </c:pt>
                <c:pt idx="161">
                  <c:v>0.32868366201699534</c:v>
                </c:pt>
                <c:pt idx="162">
                  <c:v>0.32847300112161515</c:v>
                </c:pt>
                <c:pt idx="163">
                  <c:v>0.32421318994148346</c:v>
                </c:pt>
                <c:pt idx="164">
                  <c:v>0.33086497557901368</c:v>
                </c:pt>
                <c:pt idx="165">
                  <c:v>0.32497678737233054</c:v>
                </c:pt>
                <c:pt idx="166">
                  <c:v>0.33196942793175321</c:v>
                </c:pt>
                <c:pt idx="167">
                  <c:v>0.33928975344944584</c:v>
                </c:pt>
                <c:pt idx="168">
                  <c:v>0.34410532615200479</c:v>
                </c:pt>
                <c:pt idx="169">
                  <c:v>0.36133028537718459</c:v>
                </c:pt>
                <c:pt idx="170">
                  <c:v>0.38430860706257702</c:v>
                </c:pt>
                <c:pt idx="171">
                  <c:v>0.39059725871742068</c:v>
                </c:pt>
                <c:pt idx="172">
                  <c:v>0.3930100357919854</c:v>
                </c:pt>
                <c:pt idx="173">
                  <c:v>0.38178536720810774</c:v>
                </c:pt>
                <c:pt idx="174">
                  <c:v>0.38009909726464403</c:v>
                </c:pt>
                <c:pt idx="175">
                  <c:v>0.39012578193314051</c:v>
                </c:pt>
                <c:pt idx="176">
                  <c:v>0.38438597653920076</c:v>
                </c:pt>
                <c:pt idx="177">
                  <c:v>0.42968750000000006</c:v>
                </c:pt>
                <c:pt idx="178">
                  <c:v>0.42462845010615713</c:v>
                </c:pt>
                <c:pt idx="179">
                  <c:v>0.41371867130351364</c:v>
                </c:pt>
                <c:pt idx="180">
                  <c:v>0.36565160258241441</c:v>
                </c:pt>
                <c:pt idx="181">
                  <c:v>0.37422713960299381</c:v>
                </c:pt>
                <c:pt idx="182">
                  <c:v>0.33862985152383429</c:v>
                </c:pt>
                <c:pt idx="183">
                  <c:v>0.33478746068783605</c:v>
                </c:pt>
                <c:pt idx="184">
                  <c:v>0.33248205078783793</c:v>
                </c:pt>
                <c:pt idx="185">
                  <c:v>0.3054896954222141</c:v>
                </c:pt>
                <c:pt idx="186">
                  <c:v>0.32125027132624268</c:v>
                </c:pt>
                <c:pt idx="187">
                  <c:v>0.32704090081139264</c:v>
                </c:pt>
                <c:pt idx="188">
                  <c:v>0.3412021424320571</c:v>
                </c:pt>
                <c:pt idx="189">
                  <c:v>0.36045709026765854</c:v>
                </c:pt>
                <c:pt idx="190">
                  <c:v>0.39994019585856322</c:v>
                </c:pt>
                <c:pt idx="191">
                  <c:v>0.3918467124420319</c:v>
                </c:pt>
                <c:pt idx="192">
                  <c:v>0.41500951063461872</c:v>
                </c:pt>
                <c:pt idx="193">
                  <c:v>0.40200671118641818</c:v>
                </c:pt>
                <c:pt idx="194">
                  <c:v>0.38789510803359623</c:v>
                </c:pt>
                <c:pt idx="195">
                  <c:v>0.41461437745495355</c:v>
                </c:pt>
                <c:pt idx="196">
                  <c:v>0.43039432606916622</c:v>
                </c:pt>
                <c:pt idx="197">
                  <c:v>0.42321465565716654</c:v>
                </c:pt>
                <c:pt idx="198">
                  <c:v>0.4318535152876144</c:v>
                </c:pt>
                <c:pt idx="199">
                  <c:v>0.45928083342668308</c:v>
                </c:pt>
                <c:pt idx="200">
                  <c:v>0.47597029945331409</c:v>
                </c:pt>
                <c:pt idx="201">
                  <c:v>0.48529450977255151</c:v>
                </c:pt>
                <c:pt idx="202">
                  <c:v>0.48560076865148405</c:v>
                </c:pt>
                <c:pt idx="203">
                  <c:v>0.50271773802536557</c:v>
                </c:pt>
                <c:pt idx="204">
                  <c:v>0.50614423851732482</c:v>
                </c:pt>
                <c:pt idx="205">
                  <c:v>0.51070758906542979</c:v>
                </c:pt>
                <c:pt idx="206">
                  <c:v>0.51191654794388242</c:v>
                </c:pt>
                <c:pt idx="207">
                  <c:v>0.48990743575853213</c:v>
                </c:pt>
                <c:pt idx="208">
                  <c:v>0.49813489029447883</c:v>
                </c:pt>
                <c:pt idx="209">
                  <c:v>0.50342419157331397</c:v>
                </c:pt>
                <c:pt idx="210">
                  <c:v>0.51465205528072933</c:v>
                </c:pt>
                <c:pt idx="211">
                  <c:v>0.52540174547692853</c:v>
                </c:pt>
                <c:pt idx="212">
                  <c:v>0.52912347660146597</c:v>
                </c:pt>
                <c:pt idx="213">
                  <c:v>0.52586575459598117</c:v>
                </c:pt>
                <c:pt idx="214">
                  <c:v>0.51133744079802168</c:v>
                </c:pt>
                <c:pt idx="215">
                  <c:v>0.50830366513695391</c:v>
                </c:pt>
                <c:pt idx="216">
                  <c:v>0.51191100004030787</c:v>
                </c:pt>
                <c:pt idx="217">
                  <c:v>0.52461101285694411</c:v>
                </c:pt>
                <c:pt idx="218">
                  <c:v>0.53525577720718942</c:v>
                </c:pt>
                <c:pt idx="219">
                  <c:v>0.54620291438269319</c:v>
                </c:pt>
                <c:pt idx="220">
                  <c:v>0.55273804775200874</c:v>
                </c:pt>
                <c:pt idx="221">
                  <c:v>0.54447469303850216</c:v>
                </c:pt>
                <c:pt idx="222">
                  <c:v>0.53449951409135088</c:v>
                </c:pt>
                <c:pt idx="223">
                  <c:v>0.52760800292535126</c:v>
                </c:pt>
                <c:pt idx="224">
                  <c:v>0.54835916676569951</c:v>
                </c:pt>
                <c:pt idx="225">
                  <c:v>0.53048192370372838</c:v>
                </c:pt>
                <c:pt idx="226">
                  <c:v>0.53854512912298647</c:v>
                </c:pt>
                <c:pt idx="227">
                  <c:v>0.54281901989325576</c:v>
                </c:pt>
                <c:pt idx="228">
                  <c:v>0.5519897304236201</c:v>
                </c:pt>
                <c:pt idx="229">
                  <c:v>0.52118830934530735</c:v>
                </c:pt>
                <c:pt idx="230">
                  <c:v>0.53114132153019278</c:v>
                </c:pt>
                <c:pt idx="231">
                  <c:v>0.54613116814073748</c:v>
                </c:pt>
                <c:pt idx="232">
                  <c:v>0.58949686328030915</c:v>
                </c:pt>
                <c:pt idx="233">
                  <c:v>0.58304938071285628</c:v>
                </c:pt>
                <c:pt idx="234">
                  <c:v>0.59033304454697477</c:v>
                </c:pt>
                <c:pt idx="235">
                  <c:v>0.594528104964962</c:v>
                </c:pt>
                <c:pt idx="236">
                  <c:v>0.60289904647881309</c:v>
                </c:pt>
              </c:numCache>
            </c:numRef>
          </c:val>
          <c:smooth val="0"/>
          <c:extLst>
            <c:ext xmlns:c16="http://schemas.microsoft.com/office/drawing/2014/chart" uri="{C3380CC4-5D6E-409C-BE32-E72D297353CC}">
              <c16:uniqueId val="{00000001-82AD-4834-BE85-D930E6F8F3E3}"/>
            </c:ext>
          </c:extLst>
        </c:ser>
        <c:ser>
          <c:idx val="2"/>
          <c:order val="2"/>
          <c:tx>
            <c:strRef>
              <c:f>Sheet6!$AC$2</c:f>
              <c:strCache>
                <c:ptCount val="1"/>
                <c:pt idx="0">
                  <c:v>% Asintomatici</c:v>
                </c:pt>
              </c:strCache>
            </c:strRef>
          </c:tx>
          <c:spPr>
            <a:ln w="28575" cap="rnd">
              <a:solidFill>
                <a:schemeClr val="accent3"/>
              </a:solidFill>
              <a:round/>
            </a:ln>
            <a:effectLst/>
          </c:spPr>
          <c:marker>
            <c:symbol val="none"/>
          </c:marker>
          <c:val>
            <c:numRef>
              <c:f>Sheet6!$AC$3:$AC$242</c:f>
              <c:numCache>
                <c:formatCode>0.00</c:formatCode>
                <c:ptCount val="240"/>
                <c:pt idx="0">
                  <c:v>42.533936651583709</c:v>
                </c:pt>
                <c:pt idx="1">
                  <c:v>51.768488745980711</c:v>
                </c:pt>
                <c:pt idx="2">
                  <c:v>57.402597402597401</c:v>
                </c:pt>
                <c:pt idx="3">
                  <c:v>48.299319727891152</c:v>
                </c:pt>
                <c:pt idx="4">
                  <c:v>50.182704019488433</c:v>
                </c:pt>
                <c:pt idx="5">
                  <c:v>51.763584366062922</c:v>
                </c:pt>
                <c:pt idx="6">
                  <c:v>50.602409638554214</c:v>
                </c:pt>
                <c:pt idx="7">
                  <c:v>50.517711171662128</c:v>
                </c:pt>
                <c:pt idx="8">
                  <c:v>44.189129474149361</c:v>
                </c:pt>
                <c:pt idx="9">
                  <c:v>39.356984478935701</c:v>
                </c:pt>
                <c:pt idx="10">
                  <c:v>35.042475728155345</c:v>
                </c:pt>
                <c:pt idx="11">
                  <c:v>27.068437180796735</c:v>
                </c:pt>
                <c:pt idx="12">
                  <c:v>36.415728116972929</c:v>
                </c:pt>
                <c:pt idx="13">
                  <c:v>34.131830280256771</c:v>
                </c:pt>
                <c:pt idx="14">
                  <c:v>36.768941765810901</c:v>
                </c:pt>
                <c:pt idx="15">
                  <c:v>30.526192154099128</c:v>
                </c:pt>
                <c:pt idx="16">
                  <c:v>35.165250236071763</c:v>
                </c:pt>
                <c:pt idx="17">
                  <c:v>39.224238647869768</c:v>
                </c:pt>
                <c:pt idx="18">
                  <c:v>41.464393179538618</c:v>
                </c:pt>
                <c:pt idx="19">
                  <c:v>44.281690140845072</c:v>
                </c:pt>
                <c:pt idx="20">
                  <c:v>44.983740232005047</c:v>
                </c:pt>
                <c:pt idx="21">
                  <c:v>44.194513067221429</c:v>
                </c:pt>
                <c:pt idx="22">
                  <c:v>42.62144117872765</c:v>
                </c:pt>
                <c:pt idx="23">
                  <c:v>42.110762800417973</c:v>
                </c:pt>
                <c:pt idx="24">
                  <c:v>44.998493522145225</c:v>
                </c:pt>
                <c:pt idx="25">
                  <c:v>50.673534072900161</c:v>
                </c:pt>
                <c:pt idx="26">
                  <c:v>51.816967737400724</c:v>
                </c:pt>
                <c:pt idx="27">
                  <c:v>50.994896865217207</c:v>
                </c:pt>
                <c:pt idx="28">
                  <c:v>52.604228648498555</c:v>
                </c:pt>
                <c:pt idx="29">
                  <c:v>53.113085322968722</c:v>
                </c:pt>
                <c:pt idx="30">
                  <c:v>53.754281045183497</c:v>
                </c:pt>
                <c:pt idx="31">
                  <c:v>54.259590730975759</c:v>
                </c:pt>
                <c:pt idx="32">
                  <c:v>55.188665040503501</c:v>
                </c:pt>
                <c:pt idx="33">
                  <c:v>56.423321201741238</c:v>
                </c:pt>
                <c:pt idx="34">
                  <c:v>57.644829453167304</c:v>
                </c:pt>
                <c:pt idx="35">
                  <c:v>57.928185573562118</c:v>
                </c:pt>
                <c:pt idx="36">
                  <c:v>58.504540477877242</c:v>
                </c:pt>
                <c:pt idx="37">
                  <c:v>59.740356451372691</c:v>
                </c:pt>
                <c:pt idx="38">
                  <c:v>60.754494334669893</c:v>
                </c:pt>
                <c:pt idx="39">
                  <c:v>61.576568136037849</c:v>
                </c:pt>
                <c:pt idx="40">
                  <c:v>62.611867594082057</c:v>
                </c:pt>
                <c:pt idx="41">
                  <c:v>63.91513052626965</c:v>
                </c:pt>
                <c:pt idx="42">
                  <c:v>64.722547136403136</c:v>
                </c:pt>
                <c:pt idx="43">
                  <c:v>65.439527145545199</c:v>
                </c:pt>
                <c:pt idx="44">
                  <c:v>66.221578383825658</c:v>
                </c:pt>
                <c:pt idx="45">
                  <c:v>66.964294930685298</c:v>
                </c:pt>
                <c:pt idx="46">
                  <c:v>67.703234866138203</c:v>
                </c:pt>
                <c:pt idx="47">
                  <c:v>68.559574743938796</c:v>
                </c:pt>
                <c:pt idx="48">
                  <c:v>69.497227465208837</c:v>
                </c:pt>
                <c:pt idx="49">
                  <c:v>69.808716800494125</c:v>
                </c:pt>
                <c:pt idx="50">
                  <c:v>70.086584652558699</c:v>
                </c:pt>
                <c:pt idx="51">
                  <c:v>70.856969398015522</c:v>
                </c:pt>
                <c:pt idx="52">
                  <c:v>72.019660997870687</c:v>
                </c:pt>
                <c:pt idx="53">
                  <c:v>73.26340195583478</c:v>
                </c:pt>
                <c:pt idx="54">
                  <c:v>74.260236983975275</c:v>
                </c:pt>
                <c:pt idx="55">
                  <c:v>74.442299343229536</c:v>
                </c:pt>
                <c:pt idx="56">
                  <c:v>74.612193612165896</c:v>
                </c:pt>
                <c:pt idx="57">
                  <c:v>75.299185769062944</c:v>
                </c:pt>
                <c:pt idx="58">
                  <c:v>75.683153975431523</c:v>
                </c:pt>
                <c:pt idx="59">
                  <c:v>76.473120694818803</c:v>
                </c:pt>
                <c:pt idx="60">
                  <c:v>77.244266711725658</c:v>
                </c:pt>
                <c:pt idx="61">
                  <c:v>77.670600017005683</c:v>
                </c:pt>
                <c:pt idx="62">
                  <c:v>77.963865300698373</c:v>
                </c:pt>
                <c:pt idx="63">
                  <c:v>78.916579248296529</c:v>
                </c:pt>
                <c:pt idx="64">
                  <c:v>79.481963784991208</c:v>
                </c:pt>
                <c:pt idx="65">
                  <c:v>79.929675033681463</c:v>
                </c:pt>
                <c:pt idx="66">
                  <c:v>80.460064401138339</c:v>
                </c:pt>
                <c:pt idx="67">
                  <c:v>81.031869470889518</c:v>
                </c:pt>
                <c:pt idx="68">
                  <c:v>81.236097870988246</c:v>
                </c:pt>
                <c:pt idx="69">
                  <c:v>81.290490022859089</c:v>
                </c:pt>
                <c:pt idx="70">
                  <c:v>81.694338867773553</c:v>
                </c:pt>
                <c:pt idx="71">
                  <c:v>82.0274812881473</c:v>
                </c:pt>
                <c:pt idx="72">
                  <c:v>81.315007429420504</c:v>
                </c:pt>
                <c:pt idx="73">
                  <c:v>81.606489333214313</c:v>
                </c:pt>
                <c:pt idx="74">
                  <c:v>82.032946419435888</c:v>
                </c:pt>
                <c:pt idx="75">
                  <c:v>82.475660639777473</c:v>
                </c:pt>
                <c:pt idx="76">
                  <c:v>82.424031491527046</c:v>
                </c:pt>
                <c:pt idx="77">
                  <c:v>82.375618271748621</c:v>
                </c:pt>
                <c:pt idx="78">
                  <c:v>82.99780966209731</c:v>
                </c:pt>
                <c:pt idx="79">
                  <c:v>83.347566182749787</c:v>
                </c:pt>
                <c:pt idx="80">
                  <c:v>83.898482469911045</c:v>
                </c:pt>
                <c:pt idx="81">
                  <c:v>83.904537255446101</c:v>
                </c:pt>
                <c:pt idx="82">
                  <c:v>84.078248108624109</c:v>
                </c:pt>
                <c:pt idx="83">
                  <c:v>83.799798100978776</c:v>
                </c:pt>
                <c:pt idx="84">
                  <c:v>83.53793217435728</c:v>
                </c:pt>
                <c:pt idx="85">
                  <c:v>83.560318752015235</c:v>
                </c:pt>
                <c:pt idx="86">
                  <c:v>83.58618052014279</c:v>
                </c:pt>
                <c:pt idx="87">
                  <c:v>83.745078740157481</c:v>
                </c:pt>
                <c:pt idx="88">
                  <c:v>83.89804794174168</c:v>
                </c:pt>
                <c:pt idx="89">
                  <c:v>83.953802465715484</c:v>
                </c:pt>
                <c:pt idx="90">
                  <c:v>83.803936813089734</c:v>
                </c:pt>
                <c:pt idx="91">
                  <c:v>84.220614828209762</c:v>
                </c:pt>
                <c:pt idx="92">
                  <c:v>84.061803483056934</c:v>
                </c:pt>
                <c:pt idx="93">
                  <c:v>83.844131381705452</c:v>
                </c:pt>
                <c:pt idx="94">
                  <c:v>83.603551035718752</c:v>
                </c:pt>
                <c:pt idx="95">
                  <c:v>83.608012994044401</c:v>
                </c:pt>
                <c:pt idx="96">
                  <c:v>83.680849602893048</c:v>
                </c:pt>
                <c:pt idx="97">
                  <c:v>83.794569684300541</c:v>
                </c:pt>
                <c:pt idx="98">
                  <c:v>84.231392172504655</c:v>
                </c:pt>
                <c:pt idx="99">
                  <c:v>84.14759481613315</c:v>
                </c:pt>
                <c:pt idx="100">
                  <c:v>84.489910171259893</c:v>
                </c:pt>
                <c:pt idx="101">
                  <c:v>84.800541257904186</c:v>
                </c:pt>
                <c:pt idx="102">
                  <c:v>84.80906533967979</c:v>
                </c:pt>
                <c:pt idx="103">
                  <c:v>85.241240906430306</c:v>
                </c:pt>
                <c:pt idx="104">
                  <c:v>85.392206908286539</c:v>
                </c:pt>
                <c:pt idx="105">
                  <c:v>85.568672617333718</c:v>
                </c:pt>
                <c:pt idx="106">
                  <c:v>85.264054514480421</c:v>
                </c:pt>
                <c:pt idx="107">
                  <c:v>85.591296121097443</c:v>
                </c:pt>
                <c:pt idx="108">
                  <c:v>85.74599340666515</c:v>
                </c:pt>
                <c:pt idx="109">
                  <c:v>85.791633617270762</c:v>
                </c:pt>
                <c:pt idx="110">
                  <c:v>85.566672730580322</c:v>
                </c:pt>
                <c:pt idx="111">
                  <c:v>85.525614676105661</c:v>
                </c:pt>
                <c:pt idx="112">
                  <c:v>85.734686788374688</c:v>
                </c:pt>
                <c:pt idx="113">
                  <c:v>85.843949692702182</c:v>
                </c:pt>
                <c:pt idx="114">
                  <c:v>86.307210031347964</c:v>
                </c:pt>
                <c:pt idx="115">
                  <c:v>86.862040604302848</c:v>
                </c:pt>
                <c:pt idx="116">
                  <c:v>87.035231861857682</c:v>
                </c:pt>
                <c:pt idx="117">
                  <c:v>87.620214972656981</c:v>
                </c:pt>
                <c:pt idx="118">
                  <c:v>88.260537860003822</c:v>
                </c:pt>
                <c:pt idx="119">
                  <c:v>89.50913407956584</c:v>
                </c:pt>
                <c:pt idx="120">
                  <c:v>89.945332856485976</c:v>
                </c:pt>
                <c:pt idx="121">
                  <c:v>90.796033235057621</c:v>
                </c:pt>
                <c:pt idx="122">
                  <c:v>91.159919138938974</c:v>
                </c:pt>
                <c:pt idx="123">
                  <c:v>91.716747930604384</c:v>
                </c:pt>
                <c:pt idx="124">
                  <c:v>91.939890710382514</c:v>
                </c:pt>
                <c:pt idx="125">
                  <c:v>92.458485702296016</c:v>
                </c:pt>
                <c:pt idx="126">
                  <c:v>92.628516003879724</c:v>
                </c:pt>
                <c:pt idx="127">
                  <c:v>92.398637794769641</c:v>
                </c:pt>
                <c:pt idx="128">
                  <c:v>92.710586692887574</c:v>
                </c:pt>
                <c:pt idx="129">
                  <c:v>93.061088977423637</c:v>
                </c:pt>
                <c:pt idx="130">
                  <c:v>93.0462241332975</c:v>
                </c:pt>
                <c:pt idx="131">
                  <c:v>93.085288283975103</c:v>
                </c:pt>
                <c:pt idx="132">
                  <c:v>93.040568228384103</c:v>
                </c:pt>
                <c:pt idx="133">
                  <c:v>93.079067237745591</c:v>
                </c:pt>
                <c:pt idx="134">
                  <c:v>92.908299396152231</c:v>
                </c:pt>
                <c:pt idx="135">
                  <c:v>92.86502390584775</c:v>
                </c:pt>
                <c:pt idx="136">
                  <c:v>93.015825841444382</c:v>
                </c:pt>
                <c:pt idx="137">
                  <c:v>93.230563002680967</c:v>
                </c:pt>
                <c:pt idx="138">
                  <c:v>93.287228444711729</c:v>
                </c:pt>
                <c:pt idx="139">
                  <c:v>93.595872220957588</c:v>
                </c:pt>
                <c:pt idx="140">
                  <c:v>93.668769476324385</c:v>
                </c:pt>
                <c:pt idx="141">
                  <c:v>93.521170369223626</c:v>
                </c:pt>
                <c:pt idx="142">
                  <c:v>93.164171936284319</c:v>
                </c:pt>
                <c:pt idx="143">
                  <c:v>93.562094123306338</c:v>
                </c:pt>
                <c:pt idx="144">
                  <c:v>93.408798972382783</c:v>
                </c:pt>
                <c:pt idx="145">
                  <c:v>93.475097024579554</c:v>
                </c:pt>
                <c:pt idx="146">
                  <c:v>93.633440514469456</c:v>
                </c:pt>
                <c:pt idx="147">
                  <c:v>93.614962915188642</c:v>
                </c:pt>
                <c:pt idx="148">
                  <c:v>93.623448726322664</c:v>
                </c:pt>
                <c:pt idx="149">
                  <c:v>93.734783314397021</c:v>
                </c:pt>
                <c:pt idx="150">
                  <c:v>93.856820380522407</c:v>
                </c:pt>
                <c:pt idx="151">
                  <c:v>93.829769937403455</c:v>
                </c:pt>
                <c:pt idx="152">
                  <c:v>93.795209773348333</c:v>
                </c:pt>
                <c:pt idx="153">
                  <c:v>93.800238758456032</c:v>
                </c:pt>
                <c:pt idx="154">
                  <c:v>93.760432398060573</c:v>
                </c:pt>
                <c:pt idx="155">
                  <c:v>93.742564834641911</c:v>
                </c:pt>
                <c:pt idx="156">
                  <c:v>93.90456563094483</c:v>
                </c:pt>
                <c:pt idx="157">
                  <c:v>93.499591169255922</c:v>
                </c:pt>
                <c:pt idx="158">
                  <c:v>93.905973273224916</c:v>
                </c:pt>
                <c:pt idx="159">
                  <c:v>93.995343983302561</c:v>
                </c:pt>
                <c:pt idx="160">
                  <c:v>93.97880539499036</c:v>
                </c:pt>
                <c:pt idx="161">
                  <c:v>93.787077120410459</c:v>
                </c:pt>
                <c:pt idx="162">
                  <c:v>93.574747636596697</c:v>
                </c:pt>
                <c:pt idx="163">
                  <c:v>93.634350782856231</c:v>
                </c:pt>
                <c:pt idx="164">
                  <c:v>93.666299038916023</c:v>
                </c:pt>
                <c:pt idx="165">
                  <c:v>93.647477561126593</c:v>
                </c:pt>
                <c:pt idx="166">
                  <c:v>93.715741527059365</c:v>
                </c:pt>
                <c:pt idx="167">
                  <c:v>93.907863982507735</c:v>
                </c:pt>
                <c:pt idx="168">
                  <c:v>93.828545780969478</c:v>
                </c:pt>
                <c:pt idx="169">
                  <c:v>93.732025661824352</c:v>
                </c:pt>
                <c:pt idx="170">
                  <c:v>93.967079979696905</c:v>
                </c:pt>
                <c:pt idx="171">
                  <c:v>94.027412825793618</c:v>
                </c:pt>
                <c:pt idx="172">
                  <c:v>94.196083935714796</c:v>
                </c:pt>
                <c:pt idx="173">
                  <c:v>94.314868804664727</c:v>
                </c:pt>
                <c:pt idx="174">
                  <c:v>94.278151089391159</c:v>
                </c:pt>
                <c:pt idx="175">
                  <c:v>94.161565884173001</c:v>
                </c:pt>
                <c:pt idx="176">
                  <c:v>94.028762674796212</c:v>
                </c:pt>
                <c:pt idx="177">
                  <c:v>93.932291666666671</c:v>
                </c:pt>
                <c:pt idx="178">
                  <c:v>94.061446234544775</c:v>
                </c:pt>
                <c:pt idx="179">
                  <c:v>94.076028300755482</c:v>
                </c:pt>
                <c:pt idx="180">
                  <c:v>94.355253385133977</c:v>
                </c:pt>
                <c:pt idx="181">
                  <c:v>94.359474997288203</c:v>
                </c:pt>
                <c:pt idx="182">
                  <c:v>94.217244073977596</c:v>
                </c:pt>
                <c:pt idx="183">
                  <c:v>94.298468093740482</c:v>
                </c:pt>
                <c:pt idx="184">
                  <c:v>94.583915578470581</c:v>
                </c:pt>
                <c:pt idx="185">
                  <c:v>94.5376618639431</c:v>
                </c:pt>
                <c:pt idx="186">
                  <c:v>94.564792706750595</c:v>
                </c:pt>
                <c:pt idx="187">
                  <c:v>94.837721477065742</c:v>
                </c:pt>
                <c:pt idx="188">
                  <c:v>94.695496925213249</c:v>
                </c:pt>
                <c:pt idx="189">
                  <c:v>94.700513843086128</c:v>
                </c:pt>
                <c:pt idx="190">
                  <c:v>94.441952605217921</c:v>
                </c:pt>
                <c:pt idx="191">
                  <c:v>94.442247546464401</c:v>
                </c:pt>
                <c:pt idx="192">
                  <c:v>94.380079543489543</c:v>
                </c:pt>
                <c:pt idx="193">
                  <c:v>94.258945479916278</c:v>
                </c:pt>
                <c:pt idx="194">
                  <c:v>94.418798486888505</c:v>
                </c:pt>
                <c:pt idx="195">
                  <c:v>94.338799177006052</c:v>
                </c:pt>
                <c:pt idx="196">
                  <c:v>94.35940957172734</c:v>
                </c:pt>
                <c:pt idx="197">
                  <c:v>94.36798958240847</c:v>
                </c:pt>
                <c:pt idx="198">
                  <c:v>94.449242816836531</c:v>
                </c:pt>
                <c:pt idx="199">
                  <c:v>94.399014226503866</c:v>
                </c:pt>
                <c:pt idx="200">
                  <c:v>94.495063508037106</c:v>
                </c:pt>
                <c:pt idx="201">
                  <c:v>94.312455003599709</c:v>
                </c:pt>
                <c:pt idx="202">
                  <c:v>94.211742709496477</c:v>
                </c:pt>
                <c:pt idx="203">
                  <c:v>94.082221144767402</c:v>
                </c:pt>
                <c:pt idx="204">
                  <c:v>93.898569701853347</c:v>
                </c:pt>
                <c:pt idx="205">
                  <c:v>93.851771439849998</c:v>
                </c:pt>
                <c:pt idx="206">
                  <c:v>93.818366213507829</c:v>
                </c:pt>
                <c:pt idx="207">
                  <c:v>93.88793367407024</c:v>
                </c:pt>
                <c:pt idx="208">
                  <c:v>93.987627719468975</c:v>
                </c:pt>
                <c:pt idx="209">
                  <c:v>94.133520794593863</c:v>
                </c:pt>
                <c:pt idx="210">
                  <c:v>93.994986579116656</c:v>
                </c:pt>
                <c:pt idx="211">
                  <c:v>93.75013739585394</c:v>
                </c:pt>
                <c:pt idx="212">
                  <c:v>93.706900290584201</c:v>
                </c:pt>
                <c:pt idx="213">
                  <c:v>93.636169303120994</c:v>
                </c:pt>
                <c:pt idx="214">
                  <c:v>93.752881512217613</c:v>
                </c:pt>
                <c:pt idx="215">
                  <c:v>93.840676640668406</c:v>
                </c:pt>
                <c:pt idx="216">
                  <c:v>93.752267322342703</c:v>
                </c:pt>
                <c:pt idx="217">
                  <c:v>93.559604952010005</c:v>
                </c:pt>
                <c:pt idx="218">
                  <c:v>93.4445980643887</c:v>
                </c:pt>
                <c:pt idx="219">
                  <c:v>93.509938942317078</c:v>
                </c:pt>
                <c:pt idx="220">
                  <c:v>93.564685547134687</c:v>
                </c:pt>
                <c:pt idx="221">
                  <c:v>93.636683519454792</c:v>
                </c:pt>
                <c:pt idx="222">
                  <c:v>93.697584854047449</c:v>
                </c:pt>
                <c:pt idx="223">
                  <c:v>93.748802869630325</c:v>
                </c:pt>
                <c:pt idx="224">
                  <c:v>93.531738621122855</c:v>
                </c:pt>
                <c:pt idx="225">
                  <c:v>93.441314397844806</c:v>
                </c:pt>
                <c:pt idx="226">
                  <c:v>93.417604193300946</c:v>
                </c:pt>
                <c:pt idx="227">
                  <c:v>93.505883066472578</c:v>
                </c:pt>
                <c:pt idx="228">
                  <c:v>93.620025673940958</c:v>
                </c:pt>
                <c:pt idx="229">
                  <c:v>93.684266794959171</c:v>
                </c:pt>
                <c:pt idx="230">
                  <c:v>93.754030983243752</c:v>
                </c:pt>
                <c:pt idx="231">
                  <c:v>93.628872456623654</c:v>
                </c:pt>
                <c:pt idx="232">
                  <c:v>93.588934891562388</c:v>
                </c:pt>
                <c:pt idx="233">
                  <c:v>93.499918870679863</c:v>
                </c:pt>
                <c:pt idx="234">
                  <c:v>93.570809743517415</c:v>
                </c:pt>
                <c:pt idx="235">
                  <c:v>93.648427016549874</c:v>
                </c:pt>
                <c:pt idx="236">
                  <c:v>93.738401676144861</c:v>
                </c:pt>
              </c:numCache>
            </c:numRef>
          </c:val>
          <c:smooth val="0"/>
          <c:extLst>
            <c:ext xmlns:c16="http://schemas.microsoft.com/office/drawing/2014/chart" uri="{C3380CC4-5D6E-409C-BE32-E72D297353CC}">
              <c16:uniqueId val="{00000003-82AD-4834-BE85-D930E6F8F3E3}"/>
            </c:ext>
          </c:extLst>
        </c:ser>
        <c:dLbls>
          <c:showLegendKey val="0"/>
          <c:showVal val="0"/>
          <c:showCatName val="0"/>
          <c:showSerName val="0"/>
          <c:showPercent val="0"/>
          <c:showBubbleSize val="0"/>
        </c:dLbls>
        <c:smooth val="0"/>
        <c:axId val="1107433152"/>
        <c:axId val="1107429216"/>
      </c:lineChart>
      <c:dateAx>
        <c:axId val="1107433152"/>
        <c:scaling>
          <c:orientation val="minMax"/>
        </c:scaling>
        <c:delete val="0"/>
        <c:axPos val="b"/>
        <c:minorGridlines>
          <c:spPr>
            <a:ln w="9525" cap="flat" cmpd="sng" algn="ctr">
              <a:solidFill>
                <a:schemeClr val="tx1">
                  <a:lumMod val="5000"/>
                  <a:lumOff val="95000"/>
                </a:schemeClr>
              </a:solidFill>
              <a:round/>
            </a:ln>
            <a:effectLst/>
          </c:spPr>
        </c:minorGridlines>
        <c:numFmt formatCode="m/d;@"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IT"/>
          </a:p>
        </c:txPr>
        <c:crossAx val="1107429216"/>
        <c:crosses val="autoZero"/>
        <c:auto val="1"/>
        <c:lblOffset val="100"/>
        <c:baseTimeUnit val="days"/>
        <c:majorUnit val="5"/>
        <c:majorTimeUnit val="days"/>
      </c:dateAx>
      <c:valAx>
        <c:axId val="1107429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IT"/>
          </a:p>
        </c:txPr>
        <c:crossAx val="1107433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IT"/>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IT"/>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T"/>
        </a:p>
      </c:txPr>
    </c:title>
    <c:autoTitleDeleted val="0"/>
    <c:plotArea>
      <c:layout/>
      <c:lineChart>
        <c:grouping val="standard"/>
        <c:varyColors val="0"/>
        <c:ser>
          <c:idx val="0"/>
          <c:order val="0"/>
          <c:tx>
            <c:strRef>
              <c:f>Sheet6!$AD$2</c:f>
              <c:strCache>
                <c:ptCount val="1"/>
                <c:pt idx="0">
                  <c:v>%deceduti su infetti</c:v>
                </c:pt>
              </c:strCache>
            </c:strRef>
          </c:tx>
          <c:spPr>
            <a:ln w="28575" cap="rnd">
              <a:solidFill>
                <a:schemeClr val="accent1"/>
              </a:solidFill>
              <a:round/>
            </a:ln>
            <a:effectLst/>
          </c:spPr>
          <c:marker>
            <c:symbol val="none"/>
          </c:marker>
          <c:cat>
            <c:numRef>
              <c:f>Sheet6!$B$3:$B$239</c:f>
              <c:numCache>
                <c:formatCode>m/d;@</c:formatCode>
                <c:ptCount val="237"/>
                <c:pt idx="0">
                  <c:v>43885.75</c:v>
                </c:pt>
                <c:pt idx="1">
                  <c:v>43886.75</c:v>
                </c:pt>
                <c:pt idx="2">
                  <c:v>43887.75</c:v>
                </c:pt>
                <c:pt idx="3">
                  <c:v>43888.75</c:v>
                </c:pt>
                <c:pt idx="4">
                  <c:v>43889.75</c:v>
                </c:pt>
                <c:pt idx="5">
                  <c:v>43890.75</c:v>
                </c:pt>
                <c:pt idx="6">
                  <c:v>43891.75</c:v>
                </c:pt>
                <c:pt idx="7">
                  <c:v>43892.75</c:v>
                </c:pt>
                <c:pt idx="8">
                  <c:v>43893.75</c:v>
                </c:pt>
                <c:pt idx="9">
                  <c:v>43894.75</c:v>
                </c:pt>
                <c:pt idx="10">
                  <c:v>43895.75</c:v>
                </c:pt>
                <c:pt idx="11">
                  <c:v>43896.75</c:v>
                </c:pt>
                <c:pt idx="12">
                  <c:v>43897.75</c:v>
                </c:pt>
                <c:pt idx="13">
                  <c:v>43898.75</c:v>
                </c:pt>
                <c:pt idx="14">
                  <c:v>43899.75</c:v>
                </c:pt>
                <c:pt idx="15">
                  <c:v>43900.75</c:v>
                </c:pt>
                <c:pt idx="16">
                  <c:v>43901.708333333336</c:v>
                </c:pt>
                <c:pt idx="17">
                  <c:v>43902.708333333336</c:v>
                </c:pt>
                <c:pt idx="18">
                  <c:v>43903.708333333336</c:v>
                </c:pt>
                <c:pt idx="19">
                  <c:v>43904.708333333336</c:v>
                </c:pt>
                <c:pt idx="20">
                  <c:v>43905.708333333336</c:v>
                </c:pt>
                <c:pt idx="21">
                  <c:v>43906.708333333336</c:v>
                </c:pt>
                <c:pt idx="22">
                  <c:v>43907.708333333336</c:v>
                </c:pt>
                <c:pt idx="23">
                  <c:v>43908.708333333336</c:v>
                </c:pt>
                <c:pt idx="24">
                  <c:v>43909.708333333336</c:v>
                </c:pt>
                <c:pt idx="25">
                  <c:v>43910.708333333336</c:v>
                </c:pt>
                <c:pt idx="26">
                  <c:v>43911.708333333336</c:v>
                </c:pt>
                <c:pt idx="27">
                  <c:v>43912.708333333336</c:v>
                </c:pt>
                <c:pt idx="28">
                  <c:v>43913.708333333336</c:v>
                </c:pt>
                <c:pt idx="29">
                  <c:v>43914.708333333336</c:v>
                </c:pt>
                <c:pt idx="30">
                  <c:v>43915.708333333336</c:v>
                </c:pt>
                <c:pt idx="31">
                  <c:v>43916.708333333336</c:v>
                </c:pt>
                <c:pt idx="32">
                  <c:v>43917.708333333336</c:v>
                </c:pt>
                <c:pt idx="33">
                  <c:v>43918.708333333336</c:v>
                </c:pt>
                <c:pt idx="34">
                  <c:v>43919.708333333336</c:v>
                </c:pt>
                <c:pt idx="35">
                  <c:v>43920.708333333336</c:v>
                </c:pt>
                <c:pt idx="36">
                  <c:v>43921.708333333336</c:v>
                </c:pt>
                <c:pt idx="37">
                  <c:v>43922.708333333336</c:v>
                </c:pt>
                <c:pt idx="38">
                  <c:v>43923.708333333336</c:v>
                </c:pt>
                <c:pt idx="39">
                  <c:v>43924.708333333336</c:v>
                </c:pt>
                <c:pt idx="40">
                  <c:v>43925.708333333336</c:v>
                </c:pt>
                <c:pt idx="41">
                  <c:v>43926.708333333336</c:v>
                </c:pt>
                <c:pt idx="42">
                  <c:v>43927.708333333336</c:v>
                </c:pt>
                <c:pt idx="43">
                  <c:v>43928.708333333336</c:v>
                </c:pt>
                <c:pt idx="44">
                  <c:v>43929.708333333336</c:v>
                </c:pt>
                <c:pt idx="45">
                  <c:v>43930.708333333336</c:v>
                </c:pt>
                <c:pt idx="46">
                  <c:v>43931.708333333336</c:v>
                </c:pt>
                <c:pt idx="47">
                  <c:v>43932.708333333336</c:v>
                </c:pt>
                <c:pt idx="48">
                  <c:v>43933.708333333336</c:v>
                </c:pt>
                <c:pt idx="49">
                  <c:v>43934.708333333336</c:v>
                </c:pt>
                <c:pt idx="50">
                  <c:v>43935.708333333336</c:v>
                </c:pt>
                <c:pt idx="51">
                  <c:v>43936.708333333336</c:v>
                </c:pt>
                <c:pt idx="52">
                  <c:v>43937.708333333336</c:v>
                </c:pt>
                <c:pt idx="53">
                  <c:v>43938.708333333336</c:v>
                </c:pt>
                <c:pt idx="54">
                  <c:v>43939.708333333336</c:v>
                </c:pt>
                <c:pt idx="55">
                  <c:v>43940.708333333336</c:v>
                </c:pt>
                <c:pt idx="56">
                  <c:v>43941.708333333336</c:v>
                </c:pt>
                <c:pt idx="57">
                  <c:v>43942.708333333336</c:v>
                </c:pt>
                <c:pt idx="58">
                  <c:v>43943.708333333336</c:v>
                </c:pt>
                <c:pt idx="59">
                  <c:v>43944.708333333336</c:v>
                </c:pt>
                <c:pt idx="60">
                  <c:v>43945.708333333336</c:v>
                </c:pt>
                <c:pt idx="61">
                  <c:v>43946.708333333336</c:v>
                </c:pt>
                <c:pt idx="62">
                  <c:v>43947.708333333336</c:v>
                </c:pt>
                <c:pt idx="63">
                  <c:v>43948.708333333336</c:v>
                </c:pt>
                <c:pt idx="64">
                  <c:v>43949.708333333336</c:v>
                </c:pt>
                <c:pt idx="65">
                  <c:v>43950.708333333336</c:v>
                </c:pt>
                <c:pt idx="66">
                  <c:v>43951.708333333336</c:v>
                </c:pt>
                <c:pt idx="67">
                  <c:v>43952.708333333336</c:v>
                </c:pt>
                <c:pt idx="68">
                  <c:v>43953.708333333336</c:v>
                </c:pt>
                <c:pt idx="69">
                  <c:v>43954.708333333336</c:v>
                </c:pt>
                <c:pt idx="70">
                  <c:v>43955.708333333336</c:v>
                </c:pt>
                <c:pt idx="71">
                  <c:v>43956.708333333336</c:v>
                </c:pt>
                <c:pt idx="72">
                  <c:v>43957.708333333336</c:v>
                </c:pt>
                <c:pt idx="73">
                  <c:v>43958.708333333336</c:v>
                </c:pt>
                <c:pt idx="74">
                  <c:v>43959.708333333336</c:v>
                </c:pt>
                <c:pt idx="75">
                  <c:v>43960.708333333336</c:v>
                </c:pt>
                <c:pt idx="76">
                  <c:v>43961.708333333336</c:v>
                </c:pt>
                <c:pt idx="77">
                  <c:v>43962.708333333336</c:v>
                </c:pt>
                <c:pt idx="78">
                  <c:v>43963.708333333336</c:v>
                </c:pt>
                <c:pt idx="79">
                  <c:v>43964.708333333336</c:v>
                </c:pt>
                <c:pt idx="80">
                  <c:v>43965.708333333336</c:v>
                </c:pt>
                <c:pt idx="81">
                  <c:v>43966.708333333336</c:v>
                </c:pt>
                <c:pt idx="82">
                  <c:v>43967.708333333336</c:v>
                </c:pt>
                <c:pt idx="83">
                  <c:v>43968.708333333336</c:v>
                </c:pt>
                <c:pt idx="84">
                  <c:v>43969.708333333336</c:v>
                </c:pt>
                <c:pt idx="85">
                  <c:v>43970.708333333336</c:v>
                </c:pt>
                <c:pt idx="86">
                  <c:v>43971.708333333336</c:v>
                </c:pt>
                <c:pt idx="87">
                  <c:v>43972.708333333336</c:v>
                </c:pt>
                <c:pt idx="88">
                  <c:v>43973.708333333336</c:v>
                </c:pt>
                <c:pt idx="89">
                  <c:v>43974.708333333336</c:v>
                </c:pt>
                <c:pt idx="90">
                  <c:v>43975.708333333336</c:v>
                </c:pt>
                <c:pt idx="91">
                  <c:v>43976.708333333336</c:v>
                </c:pt>
                <c:pt idx="92">
                  <c:v>43977.708333333336</c:v>
                </c:pt>
                <c:pt idx="93">
                  <c:v>43978.708333333336</c:v>
                </c:pt>
                <c:pt idx="94">
                  <c:v>43979.708333333336</c:v>
                </c:pt>
                <c:pt idx="95">
                  <c:v>43980.708333333336</c:v>
                </c:pt>
                <c:pt idx="96">
                  <c:v>43981.708333333336</c:v>
                </c:pt>
                <c:pt idx="97">
                  <c:v>43982.708333333336</c:v>
                </c:pt>
                <c:pt idx="98">
                  <c:v>43983.708333333336</c:v>
                </c:pt>
                <c:pt idx="99">
                  <c:v>43984.708333333336</c:v>
                </c:pt>
                <c:pt idx="100">
                  <c:v>43985.708333333336</c:v>
                </c:pt>
                <c:pt idx="101">
                  <c:v>43986.708333333336</c:v>
                </c:pt>
                <c:pt idx="102">
                  <c:v>43987.708333333336</c:v>
                </c:pt>
                <c:pt idx="103">
                  <c:v>43988.708333333336</c:v>
                </c:pt>
                <c:pt idx="104">
                  <c:v>43989.708333333336</c:v>
                </c:pt>
                <c:pt idx="105">
                  <c:v>43990.708333333336</c:v>
                </c:pt>
                <c:pt idx="106">
                  <c:v>43991.708333333336</c:v>
                </c:pt>
                <c:pt idx="107">
                  <c:v>43992.708333333336</c:v>
                </c:pt>
                <c:pt idx="108">
                  <c:v>43993.708333333336</c:v>
                </c:pt>
                <c:pt idx="109">
                  <c:v>43994.708333333336</c:v>
                </c:pt>
                <c:pt idx="110">
                  <c:v>43995.708333333336</c:v>
                </c:pt>
                <c:pt idx="111">
                  <c:v>43996.708333333336</c:v>
                </c:pt>
                <c:pt idx="112">
                  <c:v>43997.708333333336</c:v>
                </c:pt>
                <c:pt idx="113">
                  <c:v>43998.708333333336</c:v>
                </c:pt>
                <c:pt idx="114">
                  <c:v>43999.708333333336</c:v>
                </c:pt>
                <c:pt idx="115">
                  <c:v>44000.708333333336</c:v>
                </c:pt>
                <c:pt idx="116">
                  <c:v>44001.708333333336</c:v>
                </c:pt>
                <c:pt idx="117">
                  <c:v>44002.708333333336</c:v>
                </c:pt>
                <c:pt idx="118">
                  <c:v>44003.708333333336</c:v>
                </c:pt>
                <c:pt idx="119">
                  <c:v>44004.708333333336</c:v>
                </c:pt>
                <c:pt idx="120">
                  <c:v>44005.708333333336</c:v>
                </c:pt>
                <c:pt idx="121">
                  <c:v>44006.708333333336</c:v>
                </c:pt>
                <c:pt idx="122">
                  <c:v>44007.708333333336</c:v>
                </c:pt>
                <c:pt idx="123">
                  <c:v>44008.708333333336</c:v>
                </c:pt>
                <c:pt idx="124">
                  <c:v>44009.708333333336</c:v>
                </c:pt>
                <c:pt idx="125">
                  <c:v>44010.708333333336</c:v>
                </c:pt>
                <c:pt idx="126">
                  <c:v>44011.708333333336</c:v>
                </c:pt>
                <c:pt idx="127">
                  <c:v>44012.708333333336</c:v>
                </c:pt>
                <c:pt idx="128">
                  <c:v>44013.708333333336</c:v>
                </c:pt>
                <c:pt idx="129">
                  <c:v>44014.708333333336</c:v>
                </c:pt>
                <c:pt idx="130">
                  <c:v>44015.708333333336</c:v>
                </c:pt>
                <c:pt idx="131">
                  <c:v>44016.708333333336</c:v>
                </c:pt>
                <c:pt idx="132">
                  <c:v>44017.708333333336</c:v>
                </c:pt>
                <c:pt idx="133">
                  <c:v>44018.708333333336</c:v>
                </c:pt>
                <c:pt idx="134">
                  <c:v>44019.708333333336</c:v>
                </c:pt>
                <c:pt idx="135">
                  <c:v>44020.708333333336</c:v>
                </c:pt>
                <c:pt idx="136">
                  <c:v>44021.708333333336</c:v>
                </c:pt>
                <c:pt idx="137">
                  <c:v>44022.708333333336</c:v>
                </c:pt>
                <c:pt idx="138">
                  <c:v>44023.708333333336</c:v>
                </c:pt>
                <c:pt idx="139">
                  <c:v>44024.708333333336</c:v>
                </c:pt>
                <c:pt idx="140">
                  <c:v>44025.708333333336</c:v>
                </c:pt>
                <c:pt idx="141">
                  <c:v>44026.708333333336</c:v>
                </c:pt>
                <c:pt idx="142">
                  <c:v>44027.708333333336</c:v>
                </c:pt>
                <c:pt idx="143">
                  <c:v>44028.708333333336</c:v>
                </c:pt>
                <c:pt idx="144">
                  <c:v>44029.708333333336</c:v>
                </c:pt>
                <c:pt idx="145">
                  <c:v>44030.708333333336</c:v>
                </c:pt>
                <c:pt idx="146">
                  <c:v>44031.708333333336</c:v>
                </c:pt>
                <c:pt idx="147">
                  <c:v>44032.708333333336</c:v>
                </c:pt>
                <c:pt idx="148">
                  <c:v>44033.708333333336</c:v>
                </c:pt>
                <c:pt idx="149">
                  <c:v>44034.708333333336</c:v>
                </c:pt>
                <c:pt idx="150">
                  <c:v>44035.708333333336</c:v>
                </c:pt>
                <c:pt idx="151">
                  <c:v>44036.708333333336</c:v>
                </c:pt>
                <c:pt idx="152">
                  <c:v>44037.708333333336</c:v>
                </c:pt>
                <c:pt idx="153">
                  <c:v>44038.708333333336</c:v>
                </c:pt>
                <c:pt idx="154">
                  <c:v>44039.708333333336</c:v>
                </c:pt>
                <c:pt idx="155">
                  <c:v>44040.708333333336</c:v>
                </c:pt>
                <c:pt idx="156">
                  <c:v>44041.708333333336</c:v>
                </c:pt>
                <c:pt idx="157">
                  <c:v>44042.708333333336</c:v>
                </c:pt>
                <c:pt idx="158">
                  <c:v>44043.708333333336</c:v>
                </c:pt>
                <c:pt idx="159">
                  <c:v>44044.708333333336</c:v>
                </c:pt>
                <c:pt idx="160">
                  <c:v>44045.708333333336</c:v>
                </c:pt>
                <c:pt idx="161">
                  <c:v>44046.708333333336</c:v>
                </c:pt>
                <c:pt idx="162">
                  <c:v>44047.708333333336</c:v>
                </c:pt>
                <c:pt idx="163">
                  <c:v>44048.708333333336</c:v>
                </c:pt>
                <c:pt idx="164">
                  <c:v>44049.708333333336</c:v>
                </c:pt>
                <c:pt idx="165">
                  <c:v>44050.708333333336</c:v>
                </c:pt>
                <c:pt idx="166">
                  <c:v>44051.708333333336</c:v>
                </c:pt>
                <c:pt idx="167">
                  <c:v>44052.708333333336</c:v>
                </c:pt>
                <c:pt idx="168">
                  <c:v>44053.708333333336</c:v>
                </c:pt>
                <c:pt idx="169">
                  <c:v>44054.708333333336</c:v>
                </c:pt>
                <c:pt idx="170">
                  <c:v>44055.708333333336</c:v>
                </c:pt>
                <c:pt idx="171">
                  <c:v>44056.708333333336</c:v>
                </c:pt>
                <c:pt idx="172">
                  <c:v>44057.708333333336</c:v>
                </c:pt>
                <c:pt idx="173">
                  <c:v>44058.708333333336</c:v>
                </c:pt>
                <c:pt idx="174">
                  <c:v>44059.708333333336</c:v>
                </c:pt>
                <c:pt idx="175">
                  <c:v>44060.708333333336</c:v>
                </c:pt>
                <c:pt idx="176">
                  <c:v>44061.708333333336</c:v>
                </c:pt>
                <c:pt idx="177">
                  <c:v>44062.708333333336</c:v>
                </c:pt>
                <c:pt idx="178">
                  <c:v>44063.708333333336</c:v>
                </c:pt>
                <c:pt idx="179">
                  <c:v>44064.708333333336</c:v>
                </c:pt>
                <c:pt idx="180">
                  <c:v>44065.708333333336</c:v>
                </c:pt>
                <c:pt idx="181">
                  <c:v>44066.708333333336</c:v>
                </c:pt>
                <c:pt idx="182">
                  <c:v>44067.708333333336</c:v>
                </c:pt>
                <c:pt idx="183">
                  <c:v>44068.708333333336</c:v>
                </c:pt>
                <c:pt idx="184">
                  <c:v>44069.708333333336</c:v>
                </c:pt>
                <c:pt idx="185">
                  <c:v>44070.708333333336</c:v>
                </c:pt>
                <c:pt idx="186">
                  <c:v>44071.708333333336</c:v>
                </c:pt>
                <c:pt idx="187">
                  <c:v>44072.708333333336</c:v>
                </c:pt>
                <c:pt idx="188">
                  <c:v>44073.708333333336</c:v>
                </c:pt>
                <c:pt idx="189">
                  <c:v>44074.708333333336</c:v>
                </c:pt>
                <c:pt idx="190">
                  <c:v>44075.708333333336</c:v>
                </c:pt>
                <c:pt idx="191">
                  <c:v>44076.708333333336</c:v>
                </c:pt>
                <c:pt idx="192">
                  <c:v>44077.708333333336</c:v>
                </c:pt>
                <c:pt idx="193">
                  <c:v>44078.708333333336</c:v>
                </c:pt>
                <c:pt idx="194">
                  <c:v>44079.708333333336</c:v>
                </c:pt>
                <c:pt idx="195">
                  <c:v>44080.708333333336</c:v>
                </c:pt>
                <c:pt idx="196">
                  <c:v>44081.708333333336</c:v>
                </c:pt>
                <c:pt idx="197">
                  <c:v>44082.708333333336</c:v>
                </c:pt>
                <c:pt idx="198">
                  <c:v>44083.708333333336</c:v>
                </c:pt>
                <c:pt idx="199">
                  <c:v>44084.708333333336</c:v>
                </c:pt>
                <c:pt idx="200">
                  <c:v>44085.708333333336</c:v>
                </c:pt>
                <c:pt idx="201">
                  <c:v>44086.708333333336</c:v>
                </c:pt>
                <c:pt idx="202">
                  <c:v>44087.708333333336</c:v>
                </c:pt>
                <c:pt idx="203">
                  <c:v>44088.708333333336</c:v>
                </c:pt>
                <c:pt idx="204">
                  <c:v>44089.708333333336</c:v>
                </c:pt>
                <c:pt idx="205">
                  <c:v>44090.708333333336</c:v>
                </c:pt>
                <c:pt idx="206">
                  <c:v>44091.708333333336</c:v>
                </c:pt>
                <c:pt idx="207">
                  <c:v>44092.708333333336</c:v>
                </c:pt>
                <c:pt idx="208">
                  <c:v>44093.708333333336</c:v>
                </c:pt>
                <c:pt idx="209">
                  <c:v>44094.708333333336</c:v>
                </c:pt>
                <c:pt idx="210">
                  <c:v>44095.708333333336</c:v>
                </c:pt>
                <c:pt idx="211">
                  <c:v>44096.708333333336</c:v>
                </c:pt>
                <c:pt idx="212">
                  <c:v>44097.708333333336</c:v>
                </c:pt>
                <c:pt idx="213">
                  <c:v>44098.708333333336</c:v>
                </c:pt>
                <c:pt idx="214">
                  <c:v>44099.708333333336</c:v>
                </c:pt>
                <c:pt idx="215">
                  <c:v>44100.708333333336</c:v>
                </c:pt>
                <c:pt idx="216">
                  <c:v>44101.708333333336</c:v>
                </c:pt>
                <c:pt idx="217">
                  <c:v>44102.708333333336</c:v>
                </c:pt>
                <c:pt idx="218">
                  <c:v>44103.708333333336</c:v>
                </c:pt>
                <c:pt idx="219">
                  <c:v>44104.708333333336</c:v>
                </c:pt>
                <c:pt idx="220">
                  <c:v>44105.708333333336</c:v>
                </c:pt>
                <c:pt idx="221">
                  <c:v>44106.708333333336</c:v>
                </c:pt>
                <c:pt idx="222">
                  <c:v>44107.708333333336</c:v>
                </c:pt>
                <c:pt idx="223">
                  <c:v>44108.708333333336</c:v>
                </c:pt>
                <c:pt idx="224">
                  <c:v>44109.708333333336</c:v>
                </c:pt>
                <c:pt idx="225">
                  <c:v>44110.708333333336</c:v>
                </c:pt>
                <c:pt idx="226">
                  <c:v>44111.708333333336</c:v>
                </c:pt>
                <c:pt idx="227">
                  <c:v>44112.708333333336</c:v>
                </c:pt>
                <c:pt idx="228">
                  <c:v>44113.708333333336</c:v>
                </c:pt>
                <c:pt idx="229">
                  <c:v>44114.708333333336</c:v>
                </c:pt>
                <c:pt idx="230">
                  <c:v>44115.708333333336</c:v>
                </c:pt>
                <c:pt idx="231">
                  <c:v>44116.708333333336</c:v>
                </c:pt>
                <c:pt idx="232">
                  <c:v>44117.708333333336</c:v>
                </c:pt>
                <c:pt idx="233">
                  <c:v>44118.708333333336</c:v>
                </c:pt>
                <c:pt idx="234">
                  <c:v>44119.708333333336</c:v>
                </c:pt>
                <c:pt idx="235">
                  <c:v>44120.708333333336</c:v>
                </c:pt>
                <c:pt idx="236">
                  <c:v>44121.708333333336</c:v>
                </c:pt>
              </c:numCache>
            </c:numRef>
          </c:cat>
          <c:val>
            <c:numRef>
              <c:f>Sheet6!$AD$3:$AD$242</c:f>
              <c:numCache>
                <c:formatCode>0.000</c:formatCode>
                <c:ptCount val="240"/>
                <c:pt idx="0">
                  <c:v>0</c:v>
                </c:pt>
                <c:pt idx="1">
                  <c:v>0.96463022508038598</c:v>
                </c:pt>
                <c:pt idx="2">
                  <c:v>0.51948051948051943</c:v>
                </c:pt>
                <c:pt idx="3">
                  <c:v>0.85034013605442182</c:v>
                </c:pt>
                <c:pt idx="4">
                  <c:v>0.48721071863580995</c:v>
                </c:pt>
                <c:pt idx="5">
                  <c:v>0.76263107721639656</c:v>
                </c:pt>
                <c:pt idx="6">
                  <c:v>0.31705770450221943</c:v>
                </c:pt>
                <c:pt idx="7">
                  <c:v>0.98092643051771122</c:v>
                </c:pt>
                <c:pt idx="8">
                  <c:v>1.1931064958020325</c:v>
                </c:pt>
                <c:pt idx="9">
                  <c:v>1.0347376201034737</c:v>
                </c:pt>
                <c:pt idx="10">
                  <c:v>1.2439320388349515</c:v>
                </c:pt>
                <c:pt idx="11">
                  <c:v>1.251276813074566</c:v>
                </c:pt>
                <c:pt idx="12">
                  <c:v>0.71132187314759932</c:v>
                </c:pt>
                <c:pt idx="13">
                  <c:v>2.08235478315328</c:v>
                </c:pt>
                <c:pt idx="14">
                  <c:v>1.2147777082028803</c:v>
                </c:pt>
                <c:pt idx="15">
                  <c:v>1.9732205778717407</c:v>
                </c:pt>
                <c:pt idx="16">
                  <c:v>1.850802644003777</c:v>
                </c:pt>
                <c:pt idx="17">
                  <c:v>1.4720772645844693</c:v>
                </c:pt>
                <c:pt idx="18">
                  <c:v>1.671681711802073</c:v>
                </c:pt>
                <c:pt idx="19">
                  <c:v>0.9859154929577465</c:v>
                </c:pt>
                <c:pt idx="20">
                  <c:v>1.7861476484007182</c:v>
                </c:pt>
                <c:pt idx="21">
                  <c:v>1.5125904737138647</c:v>
                </c:pt>
                <c:pt idx="22">
                  <c:v>1.3237664031923875</c:v>
                </c:pt>
                <c:pt idx="23">
                  <c:v>1.654475792406827</c:v>
                </c:pt>
                <c:pt idx="24">
                  <c:v>1.2865320879783066</c:v>
                </c:pt>
                <c:pt idx="25">
                  <c:v>1.6561014263074485</c:v>
                </c:pt>
                <c:pt idx="26">
                  <c:v>1.8579695883414165</c:v>
                </c:pt>
                <c:pt idx="27">
                  <c:v>1.3958574552939662</c:v>
                </c:pt>
                <c:pt idx="28">
                  <c:v>1.1920345908207386</c:v>
                </c:pt>
                <c:pt idx="29">
                  <c:v>1.3751619470664447</c:v>
                </c:pt>
                <c:pt idx="30">
                  <c:v>1.187392430590567</c:v>
                </c:pt>
                <c:pt idx="31">
                  <c:v>1.0675181010433294</c:v>
                </c:pt>
                <c:pt idx="32">
                  <c:v>1.4590297226488391</c:v>
                </c:pt>
                <c:pt idx="33">
                  <c:v>1.2688218083208449</c:v>
                </c:pt>
                <c:pt idx="34">
                  <c:v>1.0232809962100704</c:v>
                </c:pt>
                <c:pt idx="35">
                  <c:v>1.0750979769092257</c:v>
                </c:pt>
                <c:pt idx="36">
                  <c:v>1.0781219810652412</c:v>
                </c:pt>
                <c:pt idx="37">
                  <c:v>0.90229856525840235</c:v>
                </c:pt>
                <c:pt idx="38">
                  <c:v>0.91512239762068182</c:v>
                </c:pt>
                <c:pt idx="39">
                  <c:v>0.89708155712746529</c:v>
                </c:pt>
                <c:pt idx="40">
                  <c:v>0.77146158551781951</c:v>
                </c:pt>
                <c:pt idx="41">
                  <c:v>0.57536768735067834</c:v>
                </c:pt>
                <c:pt idx="42">
                  <c:v>0.6824986317834032</c:v>
                </c:pt>
                <c:pt idx="43">
                  <c:v>0.64209552765581979</c:v>
                </c:pt>
                <c:pt idx="44">
                  <c:v>0.56895719174487203</c:v>
                </c:pt>
                <c:pt idx="45">
                  <c:v>0.62966441983133259</c:v>
                </c:pt>
                <c:pt idx="46">
                  <c:v>0.58001689172000448</c:v>
                </c:pt>
                <c:pt idx="47">
                  <c:v>0.61733935712932209</c:v>
                </c:pt>
                <c:pt idx="48">
                  <c:v>0.42150352556893195</c:v>
                </c:pt>
                <c:pt idx="49">
                  <c:v>0.54624768375540456</c:v>
                </c:pt>
                <c:pt idx="50">
                  <c:v>0.57723101705803959</c:v>
                </c:pt>
                <c:pt idx="51">
                  <c:v>0.54829346031986947</c:v>
                </c:pt>
                <c:pt idx="52">
                  <c:v>0.49246297147466861</c:v>
                </c:pt>
                <c:pt idx="53">
                  <c:v>0.53757409173351278</c:v>
                </c:pt>
                <c:pt idx="54">
                  <c:v>0.44724462053799263</c:v>
                </c:pt>
                <c:pt idx="55">
                  <c:v>0.39997413562171497</c:v>
                </c:pt>
                <c:pt idx="56">
                  <c:v>0.41944991084379651</c:v>
                </c:pt>
                <c:pt idx="57">
                  <c:v>0.49578029691112163</c:v>
                </c:pt>
                <c:pt idx="58">
                  <c:v>0.40576049916898016</c:v>
                </c:pt>
                <c:pt idx="59">
                  <c:v>0.43426175501647202</c:v>
                </c:pt>
                <c:pt idx="60">
                  <c:v>0.39426624236109159</c:v>
                </c:pt>
                <c:pt idx="61">
                  <c:v>0.39207535404876848</c:v>
                </c:pt>
                <c:pt idx="62">
                  <c:v>0.24504490919201155</c:v>
                </c:pt>
                <c:pt idx="63">
                  <c:v>0.31470613251679852</c:v>
                </c:pt>
                <c:pt idx="64">
                  <c:v>0.36310061308873154</c:v>
                </c:pt>
                <c:pt idx="65">
                  <c:v>0.30862722990339875</c:v>
                </c:pt>
                <c:pt idx="66">
                  <c:v>0.28064716250947797</c:v>
                </c:pt>
                <c:pt idx="67">
                  <c:v>0.26648702733225682</c:v>
                </c:pt>
                <c:pt idx="68">
                  <c:v>0.47068636796949476</c:v>
                </c:pt>
                <c:pt idx="69">
                  <c:v>0.17368909651723413</c:v>
                </c:pt>
                <c:pt idx="70">
                  <c:v>0.1950390078015603</c:v>
                </c:pt>
                <c:pt idx="71">
                  <c:v>0.23967420557140973</c:v>
                </c:pt>
                <c:pt idx="72">
                  <c:v>0.40315531859103232</c:v>
                </c:pt>
                <c:pt idx="73">
                  <c:v>0.30572168169240382</c:v>
                </c:pt>
                <c:pt idx="74">
                  <c:v>0.27625879651209057</c:v>
                </c:pt>
                <c:pt idx="75">
                  <c:v>0.22866033332547558</c:v>
                </c:pt>
                <c:pt idx="76">
                  <c:v>0.19802217848399023</c:v>
                </c:pt>
                <c:pt idx="77">
                  <c:v>0.21700126078944815</c:v>
                </c:pt>
                <c:pt idx="78">
                  <c:v>0.21165062879925184</c:v>
                </c:pt>
                <c:pt idx="79">
                  <c:v>0.24854378831716734</c:v>
                </c:pt>
                <c:pt idx="80">
                  <c:v>0.34275248560962845</c:v>
                </c:pt>
                <c:pt idx="81">
                  <c:v>0.33578465380879696</c:v>
                </c:pt>
                <c:pt idx="82">
                  <c:v>0.21798908629803238</c:v>
                </c:pt>
                <c:pt idx="83">
                  <c:v>0.21214027592866233</c:v>
                </c:pt>
                <c:pt idx="84">
                  <c:v>0.14875362493050651</c:v>
                </c:pt>
                <c:pt idx="85">
                  <c:v>0.24873712171229406</c:v>
                </c:pt>
                <c:pt idx="86">
                  <c:v>0.25656552779194286</c:v>
                </c:pt>
                <c:pt idx="87">
                  <c:v>0.25590551181102361</c:v>
                </c:pt>
                <c:pt idx="88">
                  <c:v>0.21914298236741847</c:v>
                </c:pt>
                <c:pt idx="89">
                  <c:v>0.20605347000969662</c:v>
                </c:pt>
                <c:pt idx="90">
                  <c:v>8.834858818956072E-2</c:v>
                </c:pt>
                <c:pt idx="91">
                  <c:v>0.16636528028933092</c:v>
                </c:pt>
                <c:pt idx="92">
                  <c:v>0.14733104151713197</c:v>
                </c:pt>
                <c:pt idx="93">
                  <c:v>0.22956480791115644</c:v>
                </c:pt>
                <c:pt idx="94">
                  <c:v>0.14587588046513567</c:v>
                </c:pt>
                <c:pt idx="95">
                  <c:v>0.18841364374661615</c:v>
                </c:pt>
                <c:pt idx="96">
                  <c:v>0.25405689959030464</c:v>
                </c:pt>
                <c:pt idx="97">
                  <c:v>0.178159963892914</c:v>
                </c:pt>
                <c:pt idx="98">
                  <c:v>0.14504315033722531</c:v>
                </c:pt>
                <c:pt idx="99">
                  <c:v>0.1378687990374251</c:v>
                </c:pt>
                <c:pt idx="100">
                  <c:v>0.18067536962109068</c:v>
                </c:pt>
                <c:pt idx="101">
                  <c:v>0.22899372869447554</c:v>
                </c:pt>
                <c:pt idx="102">
                  <c:v>0.22987884032886194</c:v>
                </c:pt>
                <c:pt idx="103">
                  <c:v>0.2006856760598712</c:v>
                </c:pt>
                <c:pt idx="104">
                  <c:v>0.15030344279961433</c:v>
                </c:pt>
                <c:pt idx="105">
                  <c:v>0.18715807659084366</c:v>
                </c:pt>
                <c:pt idx="106">
                  <c:v>0.2403261134095887</c:v>
                </c:pt>
                <c:pt idx="107">
                  <c:v>0.2239041311888994</c:v>
                </c:pt>
                <c:pt idx="108">
                  <c:v>0.17299343930541503</c:v>
                </c:pt>
                <c:pt idx="109">
                  <c:v>0.19312342656136844</c:v>
                </c:pt>
                <c:pt idx="110">
                  <c:v>0.28379115881389849</c:v>
                </c:pt>
                <c:pt idx="111">
                  <c:v>0.16746593590621908</c:v>
                </c:pt>
                <c:pt idx="112">
                  <c:v>0.10035122930255895</c:v>
                </c:pt>
                <c:pt idx="113">
                  <c:v>0.13838577068663763</c:v>
                </c:pt>
                <c:pt idx="114">
                  <c:v>0.17972831765935215</c:v>
                </c:pt>
                <c:pt idx="115">
                  <c:v>0.28570191766590192</c:v>
                </c:pt>
                <c:pt idx="116">
                  <c:v>0.21816831453372326</c:v>
                </c:pt>
                <c:pt idx="117">
                  <c:v>0.23100132000754289</c:v>
                </c:pt>
                <c:pt idx="118">
                  <c:v>0.11443829868395958</c:v>
                </c:pt>
                <c:pt idx="119">
                  <c:v>0.11145030769976257</c:v>
                </c:pt>
                <c:pt idx="120">
                  <c:v>9.1963418995555102E-2</c:v>
                </c:pt>
                <c:pt idx="121">
                  <c:v>-0.16617528812650764</c:v>
                </c:pt>
                <c:pt idx="122">
                  <c:v>0.18576189695678305</c:v>
                </c:pt>
                <c:pt idx="123">
                  <c:v>0.17008731148656309</c:v>
                </c:pt>
                <c:pt idx="124">
                  <c:v>4.7517224994060345E-2</c:v>
                </c:pt>
                <c:pt idx="125">
                  <c:v>0.13188657754331273</c:v>
                </c:pt>
                <c:pt idx="126">
                  <c:v>3.6372453928225024E-2</c:v>
                </c:pt>
                <c:pt idx="127">
                  <c:v>0.14778641650067467</c:v>
                </c:pt>
                <c:pt idx="128">
                  <c:v>0.13765978367748277</c:v>
                </c:pt>
                <c:pt idx="129">
                  <c:v>0.19920318725099601</c:v>
                </c:pt>
                <c:pt idx="130">
                  <c:v>0.10077936038699274</c:v>
                </c:pt>
                <c:pt idx="131">
                  <c:v>0.14362902674235686</c:v>
                </c:pt>
                <c:pt idx="132">
                  <c:v>4.7807676546919822E-2</c:v>
                </c:pt>
                <c:pt idx="133">
                  <c:v>5.4388469644435382E-2</c:v>
                </c:pt>
                <c:pt idx="134">
                  <c:v>0.21064457239151807</c:v>
                </c:pt>
                <c:pt idx="135">
                  <c:v>0.11033468186833395</c:v>
                </c:pt>
                <c:pt idx="136">
                  <c:v>8.9159670109220587E-2</c:v>
                </c:pt>
                <c:pt idx="137">
                  <c:v>8.936550491510277E-2</c:v>
                </c:pt>
                <c:pt idx="138">
                  <c:v>5.2619709839885738E-2</c:v>
                </c:pt>
                <c:pt idx="139">
                  <c:v>6.8290462098793539E-2</c:v>
                </c:pt>
                <c:pt idx="140">
                  <c:v>9.8806718856882275E-2</c:v>
                </c:pt>
                <c:pt idx="141">
                  <c:v>0.13158913228578062</c:v>
                </c:pt>
                <c:pt idx="142">
                  <c:v>0.10405827263267431</c:v>
                </c:pt>
                <c:pt idx="143">
                  <c:v>0.16034634811192175</c:v>
                </c:pt>
                <c:pt idx="144">
                  <c:v>8.8310854206807968E-2</c:v>
                </c:pt>
                <c:pt idx="145">
                  <c:v>0.11319534282018111</c:v>
                </c:pt>
                <c:pt idx="146">
                  <c:v>2.4115755627009645E-2</c:v>
                </c:pt>
                <c:pt idx="147">
                  <c:v>0.10480490164463076</c:v>
                </c:pt>
                <c:pt idx="148">
                  <c:v>0.12246897452645329</c:v>
                </c:pt>
                <c:pt idx="149">
                  <c:v>7.3040090894335344E-2</c:v>
                </c:pt>
                <c:pt idx="150">
                  <c:v>8.0619155111254434E-2</c:v>
                </c:pt>
                <c:pt idx="151">
                  <c:v>4.0647101861637266E-2</c:v>
                </c:pt>
                <c:pt idx="152">
                  <c:v>4.0186465198521135E-2</c:v>
                </c:pt>
                <c:pt idx="153">
                  <c:v>3.979307600477517E-2</c:v>
                </c:pt>
                <c:pt idx="154">
                  <c:v>3.9742468802161986E-2</c:v>
                </c:pt>
                <c:pt idx="155">
                  <c:v>8.7239273534776743E-2</c:v>
                </c:pt>
                <c:pt idx="156">
                  <c:v>4.7558655675332913E-2</c:v>
                </c:pt>
                <c:pt idx="157">
                  <c:v>2.4529844644317254E-2</c:v>
                </c:pt>
                <c:pt idx="158">
                  <c:v>7.2452101110932213E-2</c:v>
                </c:pt>
                <c:pt idx="159">
                  <c:v>4.0138074977924057E-2</c:v>
                </c:pt>
                <c:pt idx="160">
                  <c:v>6.4226075786769421E-2</c:v>
                </c:pt>
                <c:pt idx="161">
                  <c:v>9.6200096200096202E-2</c:v>
                </c:pt>
                <c:pt idx="162">
                  <c:v>4.0057683063611599E-2</c:v>
                </c:pt>
                <c:pt idx="163">
                  <c:v>7.9076387790605732E-2</c:v>
                </c:pt>
                <c:pt idx="164">
                  <c:v>4.7266425082716244E-2</c:v>
                </c:pt>
                <c:pt idx="165">
                  <c:v>2.3212627669452181E-2</c:v>
                </c:pt>
                <c:pt idx="166">
                  <c:v>0.10036285030494865</c:v>
                </c:pt>
                <c:pt idx="167">
                  <c:v>1.5079544597753148E-2</c:v>
                </c:pt>
                <c:pt idx="168">
                  <c:v>2.9922202274087373E-2</c:v>
                </c:pt>
                <c:pt idx="169">
                  <c:v>4.4244524740063421E-2</c:v>
                </c:pt>
                <c:pt idx="170">
                  <c:v>7.2511057936335291E-2</c:v>
                </c:pt>
                <c:pt idx="171">
                  <c:v>4.2610610041900435E-2</c:v>
                </c:pt>
                <c:pt idx="172">
                  <c:v>2.1054109060284931E-2</c:v>
                </c:pt>
                <c:pt idx="173">
                  <c:v>1.0967652367069278</c:v>
                </c:pt>
                <c:pt idx="174">
                  <c:v>2.7149935518903143E-2</c:v>
                </c:pt>
                <c:pt idx="175">
                  <c:v>2.6905226340216588E-2</c:v>
                </c:pt>
                <c:pt idx="176">
                  <c:v>3.3136722115448339E-2</c:v>
                </c:pt>
                <c:pt idx="177">
                  <c:v>4.5572916666666664E-2</c:v>
                </c:pt>
                <c:pt idx="178">
                  <c:v>3.7467216185837392E-2</c:v>
                </c:pt>
                <c:pt idx="179">
                  <c:v>5.3963304952632213E-2</c:v>
                </c:pt>
                <c:pt idx="180">
                  <c:v>1.7139918871050677E-2</c:v>
                </c:pt>
                <c:pt idx="181">
                  <c:v>3.7965072133637055E-2</c:v>
                </c:pt>
                <c:pt idx="182">
                  <c:v>2.083876009377442E-2</c:v>
                </c:pt>
                <c:pt idx="183">
                  <c:v>2.0290149132596125E-2</c:v>
                </c:pt>
                <c:pt idx="184">
                  <c:v>6.2641545800607143E-2</c:v>
                </c:pt>
                <c:pt idx="185">
                  <c:v>2.2797738464344339E-2</c:v>
                </c:pt>
                <c:pt idx="186">
                  <c:v>3.9070978945083566E-2</c:v>
                </c:pt>
                <c:pt idx="187">
                  <c:v>4.1397582381188939E-3</c:v>
                </c:pt>
                <c:pt idx="188">
                  <c:v>1.5869867089863123E-2</c:v>
                </c:pt>
                <c:pt idx="189">
                  <c:v>2.3007899378786716E-2</c:v>
                </c:pt>
                <c:pt idx="190">
                  <c:v>2.9902070718397251E-2</c:v>
                </c:pt>
                <c:pt idx="191">
                  <c:v>2.1569543804148543E-2</c:v>
                </c:pt>
                <c:pt idx="192">
                  <c:v>3.4584125886218231E-2</c:v>
                </c:pt>
                <c:pt idx="193">
                  <c:v>3.6546064653310742E-2</c:v>
                </c:pt>
                <c:pt idx="194">
                  <c:v>4.8086170417387962E-2</c:v>
                </c:pt>
                <c:pt idx="195">
                  <c:v>2.4939210673982172E-2</c:v>
                </c:pt>
                <c:pt idx="196">
                  <c:v>3.6371351498802773E-2</c:v>
                </c:pt>
                <c:pt idx="197">
                  <c:v>2.9595430465536122E-2</c:v>
                </c:pt>
                <c:pt idx="198">
                  <c:v>4.0306328093510681E-2</c:v>
                </c:pt>
                <c:pt idx="199">
                  <c:v>2.8004928867480676E-2</c:v>
                </c:pt>
                <c:pt idx="200">
                  <c:v>2.7198302825903665E-2</c:v>
                </c:pt>
                <c:pt idx="201">
                  <c:v>1.5998720102391808E-2</c:v>
                </c:pt>
                <c:pt idx="202">
                  <c:v>1.8177568880002076E-2</c:v>
                </c:pt>
                <c:pt idx="203">
                  <c:v>3.5726133666777252E-2</c:v>
                </c:pt>
                <c:pt idx="204">
                  <c:v>2.266317485898469E-2</c:v>
                </c:pt>
                <c:pt idx="205">
                  <c:v>2.9606237047271292E-2</c:v>
                </c:pt>
                <c:pt idx="206">
                  <c:v>3.1391109072030521E-2</c:v>
                </c:pt>
                <c:pt idx="207">
                  <c:v>2.3553242103775584E-2</c:v>
                </c:pt>
                <c:pt idx="208">
                  <c:v>5.5605755195662757E-2</c:v>
                </c:pt>
                <c:pt idx="209">
                  <c:v>3.4015148079277975E-2</c:v>
                </c:pt>
                <c:pt idx="210">
                  <c:v>3.7711573016260339E-2</c:v>
                </c:pt>
                <c:pt idx="211">
                  <c:v>3.0776671283167356E-2</c:v>
                </c:pt>
                <c:pt idx="212">
                  <c:v>4.3370776770611963E-2</c:v>
                </c:pt>
                <c:pt idx="213">
                  <c:v>4.9166310389055147E-2</c:v>
                </c:pt>
                <c:pt idx="214">
                  <c:v>4.1912904983444403E-2</c:v>
                </c:pt>
                <c:pt idx="215">
                  <c:v>3.4984462782705332E-2</c:v>
                </c:pt>
                <c:pt idx="216">
                  <c:v>3.4261759845217461E-2</c:v>
                </c:pt>
                <c:pt idx="217">
                  <c:v>3.1794606839814797E-2</c:v>
                </c:pt>
                <c:pt idx="218">
                  <c:v>4.7402725656725257E-2</c:v>
                </c:pt>
                <c:pt idx="219">
                  <c:v>3.7063769190254184E-2</c:v>
                </c:pt>
                <c:pt idx="220">
                  <c:v>4.5586643113567728E-2</c:v>
                </c:pt>
                <c:pt idx="221">
                  <c:v>4.2594958979202548E-2</c:v>
                </c:pt>
                <c:pt idx="222">
                  <c:v>4.8590864917395525E-2</c:v>
                </c:pt>
                <c:pt idx="223">
                  <c:v>3.1343049678733741E-2</c:v>
                </c:pt>
                <c:pt idx="224">
                  <c:v>2.7163302378486662E-2</c:v>
                </c:pt>
                <c:pt idx="225">
                  <c:v>4.6562676688728509E-2</c:v>
                </c:pt>
                <c:pt idx="226">
                  <c:v>4.9539759652262844E-2</c:v>
                </c:pt>
                <c:pt idx="227">
                  <c:v>3.3357593401261529E-2</c:v>
                </c:pt>
                <c:pt idx="228">
                  <c:v>3.993724147767793E-2</c:v>
                </c:pt>
                <c:pt idx="229">
                  <c:v>3.8755028130804905E-2</c:v>
                </c:pt>
                <c:pt idx="230">
                  <c:v>3.2880177047107176E-2</c:v>
                </c:pt>
                <c:pt idx="231">
                  <c:v>4.7121937074090181E-2</c:v>
                </c:pt>
                <c:pt idx="232">
                  <c:v>4.7022123335588861E-2</c:v>
                </c:pt>
                <c:pt idx="233">
                  <c:v>4.6514143544810427E-2</c:v>
                </c:pt>
                <c:pt idx="234">
                  <c:v>8.3613724739588585E-2</c:v>
                </c:pt>
                <c:pt idx="235">
                  <c:v>5.1252422841807067E-2</c:v>
                </c:pt>
                <c:pt idx="236">
                  <c:v>4.0193269765254197E-2</c:v>
                </c:pt>
              </c:numCache>
            </c:numRef>
          </c:val>
          <c:smooth val="0"/>
          <c:extLst>
            <c:ext xmlns:c16="http://schemas.microsoft.com/office/drawing/2014/chart" uri="{C3380CC4-5D6E-409C-BE32-E72D297353CC}">
              <c16:uniqueId val="{00000000-B987-4C0D-848F-9B6F2615A7B3}"/>
            </c:ext>
          </c:extLst>
        </c:ser>
        <c:dLbls>
          <c:showLegendKey val="0"/>
          <c:showVal val="0"/>
          <c:showCatName val="0"/>
          <c:showSerName val="0"/>
          <c:showPercent val="0"/>
          <c:showBubbleSize val="0"/>
        </c:dLbls>
        <c:smooth val="0"/>
        <c:axId val="68277392"/>
        <c:axId val="68280344"/>
      </c:lineChart>
      <c:dateAx>
        <c:axId val="68277392"/>
        <c:scaling>
          <c:orientation val="minMax"/>
        </c:scaling>
        <c:delete val="0"/>
        <c:axPos val="b"/>
        <c:minorGridlines>
          <c:spPr>
            <a:ln w="9525" cap="flat" cmpd="sng" algn="ctr">
              <a:solidFill>
                <a:schemeClr val="tx1">
                  <a:lumMod val="5000"/>
                  <a:lumOff val="95000"/>
                </a:schemeClr>
              </a:solidFill>
              <a:round/>
            </a:ln>
            <a:effectLst/>
          </c:spPr>
        </c:minorGridlines>
        <c:numFmt formatCode="m/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IT"/>
          </a:p>
        </c:txPr>
        <c:crossAx val="68280344"/>
        <c:crosses val="autoZero"/>
        <c:auto val="1"/>
        <c:lblOffset val="100"/>
        <c:baseTimeUnit val="days"/>
        <c:majorUnit val="5"/>
        <c:majorTimeUnit val="days"/>
      </c:dateAx>
      <c:valAx>
        <c:axId val="6828034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IT"/>
          </a:p>
        </c:txPr>
        <c:crossAx val="682773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IT"/>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r>
              <a:rPr lang="en-US"/>
              <a:t>Deceduti % su morti 2018 (istat)</a:t>
            </a: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 lastClr="FFFFFF">
                    <a:lumMod val="95000"/>
                  </a:sysClr>
                </a:solidFill>
              </a:defRPr>
            </a:pPr>
            <a:r>
              <a:rPr lang="en-US"/>
              <a:t>Tutti i</a:t>
            </a:r>
            <a:r>
              <a:rPr lang="en-US" baseline="0"/>
              <a:t> valori sono %</a:t>
            </a:r>
            <a:br>
              <a:rPr lang="en-US" baseline="0"/>
            </a:br>
            <a:r>
              <a:rPr lang="en-US" sz="1200" b="1" i="0" baseline="0">
                <a:effectLst>
                  <a:outerShdw blurRad="50800" dist="38100" dir="5400000" algn="t" rotWithShape="0">
                    <a:srgbClr val="000000">
                      <a:alpha val="40000"/>
                    </a:srgbClr>
                  </a:outerShdw>
                </a:effectLst>
              </a:rPr>
              <a:t>(Ondata 1 24/02/2020 - 16/05/2020; Ondata 2 16/09/2020 - Oggi)</a:t>
            </a:r>
            <a:endParaRPr lang="en-US">
              <a:effectLst/>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endParaRPr lang="en-IT"/>
        </a:p>
      </c:txPr>
    </c:title>
    <c:autoTitleDeleted val="0"/>
    <c:plotArea>
      <c:layout/>
      <c:barChart>
        <c:barDir val="col"/>
        <c:grouping val="clustered"/>
        <c:varyColors val="0"/>
        <c:ser>
          <c:idx val="0"/>
          <c:order val="0"/>
          <c:tx>
            <c:strRef>
              <c:f>Sheet6!$AC$245</c:f>
              <c:strCache>
                <c:ptCount val="1"/>
                <c:pt idx="0">
                  <c:v>1 - Ondata</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IT"/>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extLst>
                <c:ext xmlns:c15="http://schemas.microsoft.com/office/drawing/2012/chart" uri="{02D57815-91ED-43cb-92C2-25804820EDAC}">
                  <c15:fullRef>
                    <c15:sqref>Sheet6!$AB$246:$AB$251</c15:sqref>
                  </c15:fullRef>
                </c:ext>
              </c:extLst>
              <c:f>Sheet6!$AB$246</c:f>
              <c:strCache>
                <c:ptCount val="1"/>
                <c:pt idx="0">
                  <c:v>%Morti su Morti 2018(istat)</c:v>
                </c:pt>
              </c:strCache>
            </c:strRef>
          </c:cat>
          <c:val>
            <c:numRef>
              <c:extLst>
                <c:ext xmlns:c15="http://schemas.microsoft.com/office/drawing/2012/chart" uri="{02D57815-91ED-43cb-92C2-25804820EDAC}">
                  <c15:fullRef>
                    <c15:sqref>Sheet6!$AC$246:$AC$251</c15:sqref>
                  </c15:fullRef>
                </c:ext>
              </c:extLst>
              <c:f>Sheet6!$AC$246</c:f>
              <c:numCache>
                <c:formatCode>0.000</c:formatCode>
                <c:ptCount val="1"/>
                <c:pt idx="0">
                  <c:v>5.0156918056711621</c:v>
                </c:pt>
              </c:numCache>
            </c:numRef>
          </c:val>
          <c:extLst>
            <c:ext xmlns:c16="http://schemas.microsoft.com/office/drawing/2014/chart" uri="{C3380CC4-5D6E-409C-BE32-E72D297353CC}">
              <c16:uniqueId val="{00000000-82D9-4641-9BEA-BF240642C245}"/>
            </c:ext>
          </c:extLst>
        </c:ser>
        <c:ser>
          <c:idx val="1"/>
          <c:order val="1"/>
          <c:tx>
            <c:strRef>
              <c:f>Sheet6!$AD$245</c:f>
              <c:strCache>
                <c:ptCount val="1"/>
                <c:pt idx="0">
                  <c:v>2 - Ondata</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IT"/>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extLst>
                <c:ext xmlns:c15="http://schemas.microsoft.com/office/drawing/2012/chart" uri="{02D57815-91ED-43cb-92C2-25804820EDAC}">
                  <c15:fullRef>
                    <c15:sqref>Sheet6!$AB$246:$AB$251</c15:sqref>
                  </c15:fullRef>
                </c:ext>
              </c:extLst>
              <c:f>Sheet6!$AB$246</c:f>
              <c:strCache>
                <c:ptCount val="1"/>
                <c:pt idx="0">
                  <c:v>%Morti su Morti 2018(istat)</c:v>
                </c:pt>
              </c:strCache>
            </c:strRef>
          </c:cat>
          <c:val>
            <c:numRef>
              <c:extLst>
                <c:ext xmlns:c15="http://schemas.microsoft.com/office/drawing/2012/chart" uri="{02D57815-91ED-43cb-92C2-25804820EDAC}">
                  <c15:fullRef>
                    <c15:sqref>Sheet6!$AD$246:$AD$251</c15:sqref>
                  </c15:fullRef>
                </c:ext>
              </c:extLst>
              <c:f>Sheet6!$AD$246</c:f>
              <c:numCache>
                <c:formatCode>0.000</c:formatCode>
                <c:ptCount val="1"/>
                <c:pt idx="0">
                  <c:v>0.13283149038195766</c:v>
                </c:pt>
              </c:numCache>
            </c:numRef>
          </c:val>
          <c:extLst>
            <c:ext xmlns:c16="http://schemas.microsoft.com/office/drawing/2014/chart" uri="{C3380CC4-5D6E-409C-BE32-E72D297353CC}">
              <c16:uniqueId val="{00000001-82D9-4641-9BEA-BF240642C245}"/>
            </c:ext>
          </c:extLst>
        </c:ser>
        <c:dLbls>
          <c:dLblPos val="outEnd"/>
          <c:showLegendKey val="0"/>
          <c:showVal val="1"/>
          <c:showCatName val="0"/>
          <c:showSerName val="0"/>
          <c:showPercent val="0"/>
          <c:showBubbleSize val="0"/>
        </c:dLbls>
        <c:gapWidth val="250"/>
        <c:overlap val="-24"/>
        <c:axId val="1146032128"/>
        <c:axId val="1146032456"/>
      </c:barChart>
      <c:catAx>
        <c:axId val="114603212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IT"/>
          </a:p>
        </c:txPr>
        <c:crossAx val="1146032456"/>
        <c:crosses val="autoZero"/>
        <c:auto val="1"/>
        <c:lblAlgn val="ctr"/>
        <c:lblOffset val="100"/>
        <c:noMultiLvlLbl val="0"/>
      </c:catAx>
      <c:valAx>
        <c:axId val="1146032456"/>
        <c:scaling>
          <c:orientation val="minMax"/>
        </c:scaling>
        <c:delete val="0"/>
        <c:axPos val="l"/>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Casi %</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IT"/>
            </a:p>
          </c:txPr>
        </c:title>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IT"/>
          </a:p>
        </c:txPr>
        <c:crossAx val="1146032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IT"/>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IT"/>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r>
              <a:rPr lang="en-US" sz="1400"/>
              <a:t>Positivi/Asintomtici/Terapia</a:t>
            </a:r>
            <a:r>
              <a:rPr lang="en-US" sz="1400" baseline="0"/>
              <a:t> Intensiva/Deceduti</a:t>
            </a:r>
            <a:br>
              <a:rPr lang="en-US" sz="1400" baseline="0"/>
            </a:br>
            <a:r>
              <a:rPr lang="en-US" sz="1400"/>
              <a:t>su infetti</a:t>
            </a: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 lastClr="FFFFFF">
                    <a:lumMod val="95000"/>
                  </a:sysClr>
                </a:solidFill>
              </a:defRPr>
            </a:pPr>
            <a:r>
              <a:rPr lang="en-US" sz="1400"/>
              <a:t>Tutti i</a:t>
            </a:r>
            <a:r>
              <a:rPr lang="en-US" sz="1400" baseline="0"/>
              <a:t> valori sono %</a:t>
            </a:r>
            <a:br>
              <a:rPr lang="en-US" baseline="0"/>
            </a:br>
            <a:r>
              <a:rPr lang="en-US" sz="1000" b="1" i="0" baseline="0">
                <a:effectLst>
                  <a:outerShdw blurRad="50800" dist="38100" dir="5400000" algn="t" rotWithShape="0">
                    <a:srgbClr val="000000">
                      <a:alpha val="40000"/>
                    </a:srgbClr>
                  </a:outerShdw>
                </a:effectLst>
              </a:rPr>
              <a:t>(Ondata 1 24/02/2020 - 16/05/2020; Ondata 2 16/09/2020 - Oggi)</a:t>
            </a:r>
            <a:endParaRPr lang="en-US" sz="900">
              <a:effectLst/>
            </a:endParaRP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 lastClr="FFFFFF">
                    <a:lumMod val="95000"/>
                  </a:sysClr>
                </a:solidFill>
              </a:defRPr>
            </a:pPr>
            <a:endParaRPr lang="en-US"/>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1" i="0" u="none" strike="noStrike" kern="1200" spc="100" baseline="0">
              <a:solidFill>
                <a:sysClr val="window" lastClr="FFFFFF">
                  <a:lumMod val="95000"/>
                </a:sysClr>
              </a:solidFill>
              <a:effectLst>
                <a:outerShdw blurRad="50800" dist="38100" dir="5400000" algn="t" rotWithShape="0">
                  <a:prstClr val="black">
                    <a:alpha val="40000"/>
                  </a:prstClr>
                </a:outerShdw>
              </a:effectLst>
              <a:latin typeface="+mn-lt"/>
              <a:ea typeface="+mn-ea"/>
              <a:cs typeface="+mn-cs"/>
            </a:defRPr>
          </a:pPr>
          <a:endParaRPr lang="en-IT"/>
        </a:p>
      </c:txPr>
    </c:title>
    <c:autoTitleDeleted val="0"/>
    <c:plotArea>
      <c:layout>
        <c:manualLayout>
          <c:layoutTarget val="inner"/>
          <c:xMode val="edge"/>
          <c:yMode val="edge"/>
          <c:x val="9.7653184154967376E-2"/>
          <c:y val="0.23973107948407382"/>
          <c:w val="0.88568352875222156"/>
          <c:h val="0.61683385951094527"/>
        </c:manualLayout>
      </c:layout>
      <c:barChart>
        <c:barDir val="col"/>
        <c:grouping val="clustered"/>
        <c:varyColors val="0"/>
        <c:ser>
          <c:idx val="0"/>
          <c:order val="0"/>
          <c:tx>
            <c:strRef>
              <c:f>Sheet6!$AC$245</c:f>
              <c:strCache>
                <c:ptCount val="1"/>
                <c:pt idx="0">
                  <c:v>1 - Ondata</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IT"/>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extLst>
                <c:ext xmlns:c15="http://schemas.microsoft.com/office/drawing/2012/chart" uri="{02D57815-91ED-43cb-92C2-25804820EDAC}">
                  <c15:fullRef>
                    <c15:sqref>Sheet6!$AB$246:$AB$251</c15:sqref>
                  </c15:fullRef>
                </c:ext>
              </c:extLst>
              <c:f>Sheet6!$AB$247:$AB$250</c:f>
              <c:strCache>
                <c:ptCount val="4"/>
                <c:pt idx="0">
                  <c:v>%infetti su tests</c:v>
                </c:pt>
                <c:pt idx="1">
                  <c:v>%asintomatici su infetti</c:v>
                </c:pt>
                <c:pt idx="2">
                  <c:v>% TI su infetti</c:v>
                </c:pt>
                <c:pt idx="3">
                  <c:v>%deceduti su infetti</c:v>
                </c:pt>
              </c:strCache>
            </c:strRef>
          </c:cat>
          <c:val>
            <c:numRef>
              <c:extLst>
                <c:ext xmlns:c15="http://schemas.microsoft.com/office/drawing/2012/chart" uri="{02D57815-91ED-43cb-92C2-25804820EDAC}">
                  <c15:fullRef>
                    <c15:sqref>Sheet6!$AC$246:$AC$251</c15:sqref>
                  </c15:fullRef>
                </c:ext>
              </c:extLst>
              <c:f>Sheet6!$AC$247:$AC$250</c:f>
              <c:numCache>
                <c:formatCode>0.000</c:formatCode>
                <c:ptCount val="4"/>
                <c:pt idx="0">
                  <c:v>7.1488847361933923</c:v>
                </c:pt>
                <c:pt idx="1">
                  <c:v>85.27399088773403</c:v>
                </c:pt>
                <c:pt idx="2">
                  <c:v>1.8099950167295507</c:v>
                </c:pt>
                <c:pt idx="3">
                  <c:v>14.129351462945824</c:v>
                </c:pt>
              </c:numCache>
            </c:numRef>
          </c:val>
          <c:extLst>
            <c:ext xmlns:c16="http://schemas.microsoft.com/office/drawing/2014/chart" uri="{C3380CC4-5D6E-409C-BE32-E72D297353CC}">
              <c16:uniqueId val="{00000000-A1CF-4488-A00A-F5378D9CE57D}"/>
            </c:ext>
          </c:extLst>
        </c:ser>
        <c:ser>
          <c:idx val="1"/>
          <c:order val="1"/>
          <c:tx>
            <c:strRef>
              <c:f>Sheet6!$AD$245</c:f>
              <c:strCache>
                <c:ptCount val="1"/>
                <c:pt idx="0">
                  <c:v>2 - Ondata</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IT"/>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extLst>
                <c:ext xmlns:c15="http://schemas.microsoft.com/office/drawing/2012/chart" uri="{02D57815-91ED-43cb-92C2-25804820EDAC}">
                  <c15:fullRef>
                    <c15:sqref>Sheet6!$AB$246:$AB$251</c15:sqref>
                  </c15:fullRef>
                </c:ext>
              </c:extLst>
              <c:f>Sheet6!$AB$247:$AB$250</c:f>
              <c:strCache>
                <c:ptCount val="4"/>
                <c:pt idx="0">
                  <c:v>%infetti su tests</c:v>
                </c:pt>
                <c:pt idx="1">
                  <c:v>%asintomatici su infetti</c:v>
                </c:pt>
                <c:pt idx="2">
                  <c:v>% TI su infetti</c:v>
                </c:pt>
                <c:pt idx="3">
                  <c:v>%deceduti su infetti</c:v>
                </c:pt>
              </c:strCache>
            </c:strRef>
          </c:cat>
          <c:val>
            <c:numRef>
              <c:extLst>
                <c:ext xmlns:c15="http://schemas.microsoft.com/office/drawing/2012/chart" uri="{02D57815-91ED-43cb-92C2-25804820EDAC}">
                  <c15:fullRef>
                    <c15:sqref>Sheet6!$AD$246:$AD$251</c15:sqref>
                  </c15:fullRef>
                </c:ext>
              </c:extLst>
              <c:f>Sheet6!$AD$247:$AD$250</c:f>
              <c:numCache>
                <c:formatCode>0.000</c:formatCode>
                <c:ptCount val="4"/>
                <c:pt idx="0">
                  <c:v>5.3663025055839881</c:v>
                </c:pt>
                <c:pt idx="1">
                  <c:v>95.640508533302537</c:v>
                </c:pt>
                <c:pt idx="2">
                  <c:v>0.45664940164713613</c:v>
                </c:pt>
                <c:pt idx="3">
                  <c:v>0.74716370969891344</c:v>
                </c:pt>
              </c:numCache>
            </c:numRef>
          </c:val>
          <c:extLst>
            <c:ext xmlns:c16="http://schemas.microsoft.com/office/drawing/2014/chart" uri="{C3380CC4-5D6E-409C-BE32-E72D297353CC}">
              <c16:uniqueId val="{00000001-A1CF-4488-A00A-F5378D9CE57D}"/>
            </c:ext>
          </c:extLst>
        </c:ser>
        <c:dLbls>
          <c:dLblPos val="outEnd"/>
          <c:showLegendKey val="0"/>
          <c:showVal val="1"/>
          <c:showCatName val="0"/>
          <c:showSerName val="0"/>
          <c:showPercent val="0"/>
          <c:showBubbleSize val="0"/>
        </c:dLbls>
        <c:gapWidth val="100"/>
        <c:overlap val="-24"/>
        <c:axId val="1146032128"/>
        <c:axId val="1146032456"/>
      </c:barChart>
      <c:catAx>
        <c:axId val="114603212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IT"/>
          </a:p>
        </c:txPr>
        <c:crossAx val="1146032456"/>
        <c:crosses val="autoZero"/>
        <c:auto val="1"/>
        <c:lblAlgn val="ctr"/>
        <c:lblOffset val="100"/>
        <c:noMultiLvlLbl val="0"/>
      </c:catAx>
      <c:valAx>
        <c:axId val="1146032456"/>
        <c:scaling>
          <c:orientation val="minMax"/>
          <c:max val="100"/>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Casi %</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IT"/>
            </a:p>
          </c:txPr>
        </c:title>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IT"/>
          </a:p>
        </c:txPr>
        <c:crossAx val="1146032128"/>
        <c:crosses val="autoZero"/>
        <c:crossBetween val="between"/>
        <c:majorUnit val="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IT"/>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IT"/>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 Popolazione</a:t>
            </a:r>
            <a:r>
              <a:rPr lang="en-US" baseline="0"/>
              <a:t> testata nel periodo di riferimento</a:t>
            </a:r>
          </a:p>
          <a:p>
            <a:pPr>
              <a:defRPr/>
            </a:pPr>
            <a:r>
              <a:rPr lang="en-US" sz="1050" baseline="0"/>
              <a:t>(Ondata 1 24/02/2020 - 16/05/2020; Ondata 2 16/09/2020 - Oggi)</a:t>
            </a:r>
            <a:endParaRPr lang="en-US" sz="1050"/>
          </a:p>
          <a:p>
            <a:pPr>
              <a:defRPr/>
            </a:pPr>
            <a:r>
              <a:rPr lang="en-US"/>
              <a:t>Tutti i</a:t>
            </a:r>
            <a:r>
              <a:rPr lang="en-US" baseline="0"/>
              <a:t> valori sono %</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T"/>
        </a:p>
      </c:txPr>
    </c:title>
    <c:autoTitleDeleted val="0"/>
    <c:plotArea>
      <c:layout/>
      <c:barChart>
        <c:barDir val="col"/>
        <c:grouping val="clustered"/>
        <c:varyColors val="0"/>
        <c:ser>
          <c:idx val="0"/>
          <c:order val="0"/>
          <c:tx>
            <c:strRef>
              <c:f>Sheet6!$AC$245</c:f>
              <c:strCache>
                <c:ptCount val="1"/>
                <c:pt idx="0">
                  <c:v>1 - Ondata</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IT"/>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extLst>
                <c:ext xmlns:c15="http://schemas.microsoft.com/office/drawing/2012/chart" uri="{02D57815-91ED-43cb-92C2-25804820EDAC}">
                  <c15:fullRef>
                    <c15:sqref>Sheet6!$AB$246:$AB$251</c15:sqref>
                  </c15:fullRef>
                </c:ext>
              </c:extLst>
              <c:f>Sheet6!$AB$251</c:f>
              <c:strCache>
                <c:ptCount val="1"/>
                <c:pt idx="0">
                  <c:v>%test su tot pop</c:v>
                </c:pt>
              </c:strCache>
            </c:strRef>
          </c:cat>
          <c:val>
            <c:numRef>
              <c:extLst>
                <c:ext xmlns:c15="http://schemas.microsoft.com/office/drawing/2012/chart" uri="{02D57815-91ED-43cb-92C2-25804820EDAC}">
                  <c15:fullRef>
                    <c15:sqref>Sheet6!$AC$246:$AC$251</c15:sqref>
                  </c15:fullRef>
                </c:ext>
              </c:extLst>
              <c:f>Sheet6!$AC$251</c:f>
              <c:numCache>
                <c:formatCode>0.000</c:formatCode>
                <c:ptCount val="1"/>
                <c:pt idx="0">
                  <c:v>5.2741290391000604</c:v>
                </c:pt>
              </c:numCache>
            </c:numRef>
          </c:val>
          <c:extLst>
            <c:ext xmlns:c16="http://schemas.microsoft.com/office/drawing/2014/chart" uri="{C3380CC4-5D6E-409C-BE32-E72D297353CC}">
              <c16:uniqueId val="{00000000-8319-4F51-AC23-92332870BA61}"/>
            </c:ext>
          </c:extLst>
        </c:ser>
        <c:ser>
          <c:idx val="1"/>
          <c:order val="1"/>
          <c:tx>
            <c:strRef>
              <c:f>Sheet6!$AD$245</c:f>
              <c:strCache>
                <c:ptCount val="1"/>
                <c:pt idx="0">
                  <c:v>2 - Ondata</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IT"/>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extLst>
                <c:ext xmlns:c15="http://schemas.microsoft.com/office/drawing/2012/chart" uri="{02D57815-91ED-43cb-92C2-25804820EDAC}">
                  <c15:fullRef>
                    <c15:sqref>Sheet6!$AB$246:$AB$251</c15:sqref>
                  </c15:fullRef>
                </c:ext>
              </c:extLst>
              <c:f>Sheet6!$AB$251</c:f>
              <c:strCache>
                <c:ptCount val="1"/>
                <c:pt idx="0">
                  <c:v>%test su tot pop</c:v>
                </c:pt>
              </c:strCache>
            </c:strRef>
          </c:cat>
          <c:val>
            <c:numRef>
              <c:extLst>
                <c:ext xmlns:c15="http://schemas.microsoft.com/office/drawing/2012/chart" uri="{02D57815-91ED-43cb-92C2-25804820EDAC}">
                  <c15:fullRef>
                    <c15:sqref>Sheet6!$AD$246:$AD$251</c15:sqref>
                  </c15:fullRef>
                </c:ext>
              </c:extLst>
              <c:f>Sheet6!$AD$251</c:f>
              <c:numCache>
                <c:formatCode>0.000</c:formatCode>
                <c:ptCount val="1"/>
                <c:pt idx="0">
                  <c:v>3.8952876786264752</c:v>
                </c:pt>
              </c:numCache>
            </c:numRef>
          </c:val>
          <c:extLst>
            <c:ext xmlns:c16="http://schemas.microsoft.com/office/drawing/2014/chart" uri="{C3380CC4-5D6E-409C-BE32-E72D297353CC}">
              <c16:uniqueId val="{00000001-8319-4F51-AC23-92332870BA61}"/>
            </c:ext>
          </c:extLst>
        </c:ser>
        <c:dLbls>
          <c:dLblPos val="outEnd"/>
          <c:showLegendKey val="0"/>
          <c:showVal val="1"/>
          <c:showCatName val="0"/>
          <c:showSerName val="0"/>
          <c:showPercent val="0"/>
          <c:showBubbleSize val="0"/>
        </c:dLbls>
        <c:gapWidth val="256"/>
        <c:overlap val="-100"/>
        <c:axId val="1146032128"/>
        <c:axId val="1146032456"/>
      </c:barChart>
      <c:catAx>
        <c:axId val="114603212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IT"/>
          </a:p>
        </c:txPr>
        <c:crossAx val="1146032456"/>
        <c:crosses val="autoZero"/>
        <c:auto val="1"/>
        <c:lblAlgn val="ctr"/>
        <c:lblOffset val="100"/>
        <c:noMultiLvlLbl val="0"/>
      </c:catAx>
      <c:valAx>
        <c:axId val="1146032456"/>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Casi %</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IT"/>
            </a:p>
          </c:txPr>
        </c:title>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IT"/>
          </a:p>
        </c:txPr>
        <c:crossAx val="1146032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IT"/>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IT"/>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Popolazione testata dal 24/02/2020</a:t>
            </a:r>
            <a:r>
              <a:rPr lang="en-US" baseline="0"/>
              <a:t> ad oggi</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T"/>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Sheet6!$AC$256</c:f>
              <c:strCache>
                <c:ptCount val="1"/>
                <c:pt idx="0">
                  <c:v>Popolazione testata</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255A-AE41-9963-F54D5096ABE1}"/>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255A-AE41-9963-F54D5096ABE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IT"/>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Sheet6!$AB$257:$AB$259</c15:sqref>
                  </c15:fullRef>
                </c:ext>
              </c:extLst>
              <c:f>Sheet6!$AB$258:$AB$259</c:f>
              <c:strCache>
                <c:ptCount val="2"/>
                <c:pt idx="0">
                  <c:v>Assoluto</c:v>
                </c:pt>
                <c:pt idx="1">
                  <c:v>Popolazione Totale</c:v>
                </c:pt>
              </c:strCache>
            </c:strRef>
          </c:cat>
          <c:val>
            <c:numRef>
              <c:extLst>
                <c:ext xmlns:c15="http://schemas.microsoft.com/office/drawing/2012/chart" uri="{02D57815-91ED-43cb-92C2-25804820EDAC}">
                  <c15:fullRef>
                    <c15:sqref>Sheet6!$AC$257:$AC$259</c15:sqref>
                  </c15:fullRef>
                </c:ext>
              </c:extLst>
              <c:f>Sheet6!$AC$258:$AC$259</c:f>
              <c:numCache>
                <c:formatCode>_(* #,##0_);_(* \(#,##0\);_(* "-"??_);_(@_)</c:formatCode>
                <c:ptCount val="2"/>
                <c:pt idx="0">
                  <c:v>9348298</c:v>
                </c:pt>
                <c:pt idx="1">
                  <c:v>60244639</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00-168D-412D-BA4E-7913194BF60A}"/>
            </c:ext>
          </c:extLst>
        </c:ser>
        <c:dLbls>
          <c:dLblPos val="ctr"/>
          <c:showLegendKey val="0"/>
          <c:showVal val="0"/>
          <c:showCatName val="0"/>
          <c:showSerName val="0"/>
          <c:showPercent val="1"/>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IT"/>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IT"/>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T"/>
        </a:p>
      </c:txPr>
    </c:title>
    <c:autoTitleDeleted val="0"/>
    <c:plotArea>
      <c:layout/>
      <c:lineChart>
        <c:grouping val="standard"/>
        <c:varyColors val="0"/>
        <c:ser>
          <c:idx val="0"/>
          <c:order val="0"/>
          <c:tx>
            <c:strRef>
              <c:f>Sheet6!$X$2</c:f>
              <c:strCache>
                <c:ptCount val="1"/>
                <c:pt idx="0">
                  <c:v>% infettati su testati</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f>Sheet6!$B$203:$B$242</c:f>
              <c:numCache>
                <c:formatCode>m/d;@</c:formatCode>
                <c:ptCount val="40"/>
                <c:pt idx="0">
                  <c:v>44085.708333333336</c:v>
                </c:pt>
                <c:pt idx="1">
                  <c:v>44086.708333333336</c:v>
                </c:pt>
                <c:pt idx="2">
                  <c:v>44087.708333333336</c:v>
                </c:pt>
                <c:pt idx="3">
                  <c:v>44088.708333333336</c:v>
                </c:pt>
                <c:pt idx="4">
                  <c:v>44089.708333333336</c:v>
                </c:pt>
                <c:pt idx="5">
                  <c:v>44090.708333333336</c:v>
                </c:pt>
                <c:pt idx="6">
                  <c:v>44091.708333333336</c:v>
                </c:pt>
                <c:pt idx="7">
                  <c:v>44092.708333333336</c:v>
                </c:pt>
                <c:pt idx="8">
                  <c:v>44093.708333333336</c:v>
                </c:pt>
                <c:pt idx="9">
                  <c:v>44094.708333333336</c:v>
                </c:pt>
                <c:pt idx="10">
                  <c:v>44095.708333333336</c:v>
                </c:pt>
                <c:pt idx="11">
                  <c:v>44096.708333333336</c:v>
                </c:pt>
                <c:pt idx="12">
                  <c:v>44097.708333333336</c:v>
                </c:pt>
                <c:pt idx="13">
                  <c:v>44098.708333333336</c:v>
                </c:pt>
                <c:pt idx="14">
                  <c:v>44099.708333333336</c:v>
                </c:pt>
                <c:pt idx="15">
                  <c:v>44100.708333333336</c:v>
                </c:pt>
                <c:pt idx="16">
                  <c:v>44101.708333333336</c:v>
                </c:pt>
                <c:pt idx="17">
                  <c:v>44102.708333333336</c:v>
                </c:pt>
                <c:pt idx="18">
                  <c:v>44103.708333333336</c:v>
                </c:pt>
                <c:pt idx="19">
                  <c:v>44104.708333333336</c:v>
                </c:pt>
                <c:pt idx="20">
                  <c:v>44105.708333333336</c:v>
                </c:pt>
                <c:pt idx="21">
                  <c:v>44106.708333333336</c:v>
                </c:pt>
                <c:pt idx="22">
                  <c:v>44107.708333333336</c:v>
                </c:pt>
                <c:pt idx="23">
                  <c:v>44108.708333333336</c:v>
                </c:pt>
                <c:pt idx="24">
                  <c:v>44109.708333333336</c:v>
                </c:pt>
                <c:pt idx="25">
                  <c:v>44110.708333333336</c:v>
                </c:pt>
                <c:pt idx="26">
                  <c:v>44111.708333333336</c:v>
                </c:pt>
                <c:pt idx="27">
                  <c:v>44112.708333333336</c:v>
                </c:pt>
                <c:pt idx="28">
                  <c:v>44113.708333333336</c:v>
                </c:pt>
                <c:pt idx="29">
                  <c:v>44114.708333333336</c:v>
                </c:pt>
                <c:pt idx="30">
                  <c:v>44115.708333333336</c:v>
                </c:pt>
                <c:pt idx="31">
                  <c:v>44116.708333333336</c:v>
                </c:pt>
                <c:pt idx="32">
                  <c:v>44117.708333333336</c:v>
                </c:pt>
                <c:pt idx="33">
                  <c:v>44118.708333333336</c:v>
                </c:pt>
                <c:pt idx="34">
                  <c:v>44119.708333333336</c:v>
                </c:pt>
                <c:pt idx="35">
                  <c:v>44120.708333333336</c:v>
                </c:pt>
                <c:pt idx="36">
                  <c:v>44121.708333333336</c:v>
                </c:pt>
              </c:numCache>
            </c:numRef>
          </c:cat>
          <c:val>
            <c:numRef>
              <c:f>Sheet6!$X$203:$X$242</c:f>
              <c:numCache>
                <c:formatCode>General</c:formatCode>
                <c:ptCount val="40"/>
                <c:pt idx="0">
                  <c:v>2.6309791279997397</c:v>
                </c:pt>
                <c:pt idx="1">
                  <c:v>2.6541943697835619</c:v>
                </c:pt>
                <c:pt idx="2">
                  <c:v>2.9840360212853052</c:v>
                </c:pt>
                <c:pt idx="3">
                  <c:v>3.1649345348362585</c:v>
                </c:pt>
                <c:pt idx="4">
                  <c:v>2.4334706161888167</c:v>
                </c:pt>
                <c:pt idx="5">
                  <c:v>2.4984083830892856</c:v>
                </c:pt>
                <c:pt idx="6">
                  <c:v>2.5379897839906485</c:v>
                </c:pt>
                <c:pt idx="7">
                  <c:v>3.177538948596184</c:v>
                </c:pt>
                <c:pt idx="8">
                  <c:v>2.6954089188744446</c:v>
                </c:pt>
                <c:pt idx="9">
                  <c:v>2.899530447810279</c:v>
                </c:pt>
                <c:pt idx="10">
                  <c:v>3.3840523400095255</c:v>
                </c:pt>
                <c:pt idx="11">
                  <c:v>2.8209545040024322</c:v>
                </c:pt>
                <c:pt idx="12">
                  <c:v>2.5720245283314775</c:v>
                </c:pt>
                <c:pt idx="13">
                  <c:v>2.7519684432733942</c:v>
                </c:pt>
                <c:pt idx="14">
                  <c:v>2.9870799418831728</c:v>
                </c:pt>
                <c:pt idx="15">
                  <c:v>3.0133010882708584</c:v>
                </c:pt>
                <c:pt idx="16">
                  <c:v>3.2863762398347505</c:v>
                </c:pt>
                <c:pt idx="17">
                  <c:v>4.6189519245633015</c:v>
                </c:pt>
                <c:pt idx="18">
                  <c:v>3.0735946883509269</c:v>
                </c:pt>
                <c:pt idx="19">
                  <c:v>2.9682488774855678</c:v>
                </c:pt>
                <c:pt idx="20">
                  <c:v>3.7562838146624795</c:v>
                </c:pt>
                <c:pt idx="21">
                  <c:v>3.4839465209329559</c:v>
                </c:pt>
                <c:pt idx="22">
                  <c:v>4.0843290441176467</c:v>
                </c:pt>
                <c:pt idx="23">
                  <c:v>4.3425529764511674</c:v>
                </c:pt>
                <c:pt idx="24">
                  <c:v>6.1749336543459821</c:v>
                </c:pt>
                <c:pt idx="25">
                  <c:v>4.2823092796698283</c:v>
                </c:pt>
                <c:pt idx="26">
                  <c:v>4.5753666637640409</c:v>
                </c:pt>
                <c:pt idx="27">
                  <c:v>6.462274407479887</c:v>
                </c:pt>
                <c:pt idx="28">
                  <c:v>6.901158757483107</c:v>
                </c:pt>
                <c:pt idx="29">
                  <c:v>7.1452645770138181</c:v>
                </c:pt>
                <c:pt idx="30">
                  <c:v>7.940851138149851</c:v>
                </c:pt>
                <c:pt idx="31">
                  <c:v>7.7436335898338617</c:v>
                </c:pt>
                <c:pt idx="32">
                  <c:v>8.3988044406490179</c:v>
                </c:pt>
                <c:pt idx="33">
                  <c:v>8.3697674684078951</c:v>
                </c:pt>
                <c:pt idx="34">
                  <c:v>8.934261533153375</c:v>
                </c:pt>
                <c:pt idx="35">
                  <c:v>10.833098850674228</c:v>
                </c:pt>
                <c:pt idx="36">
                  <c:v>10.573331010587848</c:v>
                </c:pt>
              </c:numCache>
            </c:numRef>
          </c:val>
          <c:smooth val="0"/>
          <c:extLst>
            <c:ext xmlns:c16="http://schemas.microsoft.com/office/drawing/2014/chart" uri="{C3380CC4-5D6E-409C-BE32-E72D297353CC}">
              <c16:uniqueId val="{00000000-5888-4F7F-93A8-11FE1A9DAE37}"/>
            </c:ext>
          </c:extLst>
        </c:ser>
        <c:ser>
          <c:idx val="1"/>
          <c:order val="1"/>
          <c:tx>
            <c:strRef>
              <c:f>Sheet6!$AA$2</c:f>
              <c:strCache>
                <c:ptCount val="1"/>
                <c:pt idx="0">
                  <c:v>%Ricoverati con sintomi su tot infetti</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f>Sheet6!$B$203:$B$242</c:f>
              <c:numCache>
                <c:formatCode>m/d;@</c:formatCode>
                <c:ptCount val="40"/>
                <c:pt idx="0">
                  <c:v>44085.708333333336</c:v>
                </c:pt>
                <c:pt idx="1">
                  <c:v>44086.708333333336</c:v>
                </c:pt>
                <c:pt idx="2">
                  <c:v>44087.708333333336</c:v>
                </c:pt>
                <c:pt idx="3">
                  <c:v>44088.708333333336</c:v>
                </c:pt>
                <c:pt idx="4">
                  <c:v>44089.708333333336</c:v>
                </c:pt>
                <c:pt idx="5">
                  <c:v>44090.708333333336</c:v>
                </c:pt>
                <c:pt idx="6">
                  <c:v>44091.708333333336</c:v>
                </c:pt>
                <c:pt idx="7">
                  <c:v>44092.708333333336</c:v>
                </c:pt>
                <c:pt idx="8">
                  <c:v>44093.708333333336</c:v>
                </c:pt>
                <c:pt idx="9">
                  <c:v>44094.708333333336</c:v>
                </c:pt>
                <c:pt idx="10">
                  <c:v>44095.708333333336</c:v>
                </c:pt>
                <c:pt idx="11">
                  <c:v>44096.708333333336</c:v>
                </c:pt>
                <c:pt idx="12">
                  <c:v>44097.708333333336</c:v>
                </c:pt>
                <c:pt idx="13">
                  <c:v>44098.708333333336</c:v>
                </c:pt>
                <c:pt idx="14">
                  <c:v>44099.708333333336</c:v>
                </c:pt>
                <c:pt idx="15">
                  <c:v>44100.708333333336</c:v>
                </c:pt>
                <c:pt idx="16">
                  <c:v>44101.708333333336</c:v>
                </c:pt>
                <c:pt idx="17">
                  <c:v>44102.708333333336</c:v>
                </c:pt>
                <c:pt idx="18">
                  <c:v>44103.708333333336</c:v>
                </c:pt>
                <c:pt idx="19">
                  <c:v>44104.708333333336</c:v>
                </c:pt>
                <c:pt idx="20">
                  <c:v>44105.708333333336</c:v>
                </c:pt>
                <c:pt idx="21">
                  <c:v>44106.708333333336</c:v>
                </c:pt>
                <c:pt idx="22">
                  <c:v>44107.708333333336</c:v>
                </c:pt>
                <c:pt idx="23">
                  <c:v>44108.708333333336</c:v>
                </c:pt>
                <c:pt idx="24">
                  <c:v>44109.708333333336</c:v>
                </c:pt>
                <c:pt idx="25">
                  <c:v>44110.708333333336</c:v>
                </c:pt>
                <c:pt idx="26">
                  <c:v>44111.708333333336</c:v>
                </c:pt>
                <c:pt idx="27">
                  <c:v>44112.708333333336</c:v>
                </c:pt>
                <c:pt idx="28">
                  <c:v>44113.708333333336</c:v>
                </c:pt>
                <c:pt idx="29">
                  <c:v>44114.708333333336</c:v>
                </c:pt>
                <c:pt idx="30">
                  <c:v>44115.708333333336</c:v>
                </c:pt>
                <c:pt idx="31">
                  <c:v>44116.708333333336</c:v>
                </c:pt>
                <c:pt idx="32">
                  <c:v>44117.708333333336</c:v>
                </c:pt>
                <c:pt idx="33">
                  <c:v>44118.708333333336</c:v>
                </c:pt>
                <c:pt idx="34">
                  <c:v>44119.708333333336</c:v>
                </c:pt>
                <c:pt idx="35">
                  <c:v>44120.708333333336</c:v>
                </c:pt>
                <c:pt idx="36">
                  <c:v>44121.708333333336</c:v>
                </c:pt>
              </c:numCache>
            </c:numRef>
          </c:cat>
          <c:val>
            <c:numRef>
              <c:f>Sheet6!$AA$203:$AA$242</c:f>
              <c:numCache>
                <c:formatCode>0.00</c:formatCode>
                <c:ptCount val="40"/>
                <c:pt idx="0">
                  <c:v>5.0289661925095874</c:v>
                </c:pt>
                <c:pt idx="1">
                  <c:v>5.2022504866277366</c:v>
                </c:pt>
                <c:pt idx="2">
                  <c:v>5.3026565218520343</c:v>
                </c:pt>
                <c:pt idx="3">
                  <c:v>5.4150611172072374</c:v>
                </c:pt>
                <c:pt idx="4">
                  <c:v>5.5952860596293315</c:v>
                </c:pt>
                <c:pt idx="5">
                  <c:v>5.6375209710845748</c:v>
                </c:pt>
                <c:pt idx="6">
                  <c:v>5.6697172385482819</c:v>
                </c:pt>
                <c:pt idx="7">
                  <c:v>5.6221588901712316</c:v>
                </c:pt>
                <c:pt idx="8">
                  <c:v>5.5142373902365556</c:v>
                </c:pt>
                <c:pt idx="9">
                  <c:v>5.3630550138328275</c:v>
                </c:pt>
                <c:pt idx="10">
                  <c:v>5.4903613656026087</c:v>
                </c:pt>
                <c:pt idx="11">
                  <c:v>5.7244608586691292</c:v>
                </c:pt>
                <c:pt idx="12">
                  <c:v>5.7639762328143291</c:v>
                </c:pt>
                <c:pt idx="13">
                  <c:v>5.8379649422830271</c:v>
                </c:pt>
                <c:pt idx="14">
                  <c:v>5.7357810469843669</c:v>
                </c:pt>
                <c:pt idx="15">
                  <c:v>5.6510196941946376</c:v>
                </c:pt>
                <c:pt idx="16">
                  <c:v>5.7358216776169941</c:v>
                </c:pt>
                <c:pt idx="17">
                  <c:v>5.9157840351330409</c:v>
                </c:pt>
                <c:pt idx="18">
                  <c:v>6.020146158404108</c:v>
                </c:pt>
                <c:pt idx="19">
                  <c:v>5.9438581433002362</c:v>
                </c:pt>
                <c:pt idx="20">
                  <c:v>5.8825764051133014</c:v>
                </c:pt>
                <c:pt idx="21">
                  <c:v>5.818841787506714</c:v>
                </c:pt>
                <c:pt idx="22">
                  <c:v>5.7679156318612108</c:v>
                </c:pt>
                <c:pt idx="23">
                  <c:v>5.7235891274443222</c:v>
                </c:pt>
                <c:pt idx="24">
                  <c:v>5.9199022121114373</c:v>
                </c:pt>
                <c:pt idx="25">
                  <c:v>6.0282036784514581</c:v>
                </c:pt>
                <c:pt idx="26">
                  <c:v>6.0438506775760672</c:v>
                </c:pt>
                <c:pt idx="27">
                  <c:v>5.9512979136341588</c:v>
                </c:pt>
                <c:pt idx="28">
                  <c:v>5.8279845956354297</c:v>
                </c:pt>
                <c:pt idx="29">
                  <c:v>5.7945448956955197</c:v>
                </c:pt>
                <c:pt idx="30">
                  <c:v>5.7148276952260515</c:v>
                </c:pt>
                <c:pt idx="31">
                  <c:v>5.8249963752356093</c:v>
                </c:pt>
                <c:pt idx="32">
                  <c:v>5.8215682451572954</c:v>
                </c:pt>
                <c:pt idx="33">
                  <c:v>5.9170317486072799</c:v>
                </c:pt>
                <c:pt idx="34">
                  <c:v>5.8388572119356077</c:v>
                </c:pt>
                <c:pt idx="35">
                  <c:v>5.7570448784851642</c:v>
                </c:pt>
                <c:pt idx="36">
                  <c:v>5.6586992773763205</c:v>
                </c:pt>
              </c:numCache>
            </c:numRef>
          </c:val>
          <c:smooth val="0"/>
          <c:extLst>
            <c:ext xmlns:c16="http://schemas.microsoft.com/office/drawing/2014/chart" uri="{C3380CC4-5D6E-409C-BE32-E72D297353CC}">
              <c16:uniqueId val="{00000001-5888-4F7F-93A8-11FE1A9DAE37}"/>
            </c:ext>
          </c:extLst>
        </c:ser>
        <c:ser>
          <c:idx val="2"/>
          <c:order val="2"/>
          <c:tx>
            <c:strRef>
              <c:f>Sheet6!$AB$2</c:f>
              <c:strCache>
                <c:ptCount val="1"/>
                <c:pt idx="0">
                  <c:v>% terapia intensiva su tot infetti</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numRef>
              <c:f>Sheet6!$B$203:$B$242</c:f>
              <c:numCache>
                <c:formatCode>m/d;@</c:formatCode>
                <c:ptCount val="40"/>
                <c:pt idx="0">
                  <c:v>44085.708333333336</c:v>
                </c:pt>
                <c:pt idx="1">
                  <c:v>44086.708333333336</c:v>
                </c:pt>
                <c:pt idx="2">
                  <c:v>44087.708333333336</c:v>
                </c:pt>
                <c:pt idx="3">
                  <c:v>44088.708333333336</c:v>
                </c:pt>
                <c:pt idx="4">
                  <c:v>44089.708333333336</c:v>
                </c:pt>
                <c:pt idx="5">
                  <c:v>44090.708333333336</c:v>
                </c:pt>
                <c:pt idx="6">
                  <c:v>44091.708333333336</c:v>
                </c:pt>
                <c:pt idx="7">
                  <c:v>44092.708333333336</c:v>
                </c:pt>
                <c:pt idx="8">
                  <c:v>44093.708333333336</c:v>
                </c:pt>
                <c:pt idx="9">
                  <c:v>44094.708333333336</c:v>
                </c:pt>
                <c:pt idx="10">
                  <c:v>44095.708333333336</c:v>
                </c:pt>
                <c:pt idx="11">
                  <c:v>44096.708333333336</c:v>
                </c:pt>
                <c:pt idx="12">
                  <c:v>44097.708333333336</c:v>
                </c:pt>
                <c:pt idx="13">
                  <c:v>44098.708333333336</c:v>
                </c:pt>
                <c:pt idx="14">
                  <c:v>44099.708333333336</c:v>
                </c:pt>
                <c:pt idx="15">
                  <c:v>44100.708333333336</c:v>
                </c:pt>
                <c:pt idx="16">
                  <c:v>44101.708333333336</c:v>
                </c:pt>
                <c:pt idx="17">
                  <c:v>44102.708333333336</c:v>
                </c:pt>
                <c:pt idx="18">
                  <c:v>44103.708333333336</c:v>
                </c:pt>
                <c:pt idx="19">
                  <c:v>44104.708333333336</c:v>
                </c:pt>
                <c:pt idx="20">
                  <c:v>44105.708333333336</c:v>
                </c:pt>
                <c:pt idx="21">
                  <c:v>44106.708333333336</c:v>
                </c:pt>
                <c:pt idx="22">
                  <c:v>44107.708333333336</c:v>
                </c:pt>
                <c:pt idx="23">
                  <c:v>44108.708333333336</c:v>
                </c:pt>
                <c:pt idx="24">
                  <c:v>44109.708333333336</c:v>
                </c:pt>
                <c:pt idx="25">
                  <c:v>44110.708333333336</c:v>
                </c:pt>
                <c:pt idx="26">
                  <c:v>44111.708333333336</c:v>
                </c:pt>
                <c:pt idx="27">
                  <c:v>44112.708333333336</c:v>
                </c:pt>
                <c:pt idx="28">
                  <c:v>44113.708333333336</c:v>
                </c:pt>
                <c:pt idx="29">
                  <c:v>44114.708333333336</c:v>
                </c:pt>
                <c:pt idx="30">
                  <c:v>44115.708333333336</c:v>
                </c:pt>
                <c:pt idx="31">
                  <c:v>44116.708333333336</c:v>
                </c:pt>
                <c:pt idx="32">
                  <c:v>44117.708333333336</c:v>
                </c:pt>
                <c:pt idx="33">
                  <c:v>44118.708333333336</c:v>
                </c:pt>
                <c:pt idx="34">
                  <c:v>44119.708333333336</c:v>
                </c:pt>
                <c:pt idx="35">
                  <c:v>44120.708333333336</c:v>
                </c:pt>
                <c:pt idx="36">
                  <c:v>44121.708333333336</c:v>
                </c:pt>
              </c:numCache>
            </c:numRef>
          </c:cat>
          <c:val>
            <c:numRef>
              <c:f>Sheet6!$AB$203:$AB$242</c:f>
              <c:numCache>
                <c:formatCode>0.00</c:formatCode>
                <c:ptCount val="40"/>
                <c:pt idx="0">
                  <c:v>0.47597029945331409</c:v>
                </c:pt>
                <c:pt idx="1">
                  <c:v>0.48529450977255151</c:v>
                </c:pt>
                <c:pt idx="2">
                  <c:v>0.48560076865148405</c:v>
                </c:pt>
                <c:pt idx="3">
                  <c:v>0.50271773802536557</c:v>
                </c:pt>
                <c:pt idx="4">
                  <c:v>0.50614423851732482</c:v>
                </c:pt>
                <c:pt idx="5">
                  <c:v>0.51070758906542979</c:v>
                </c:pt>
                <c:pt idx="6">
                  <c:v>0.51191654794388242</c:v>
                </c:pt>
                <c:pt idx="7">
                  <c:v>0.48990743575853213</c:v>
                </c:pt>
                <c:pt idx="8">
                  <c:v>0.49813489029447883</c:v>
                </c:pt>
                <c:pt idx="9">
                  <c:v>0.50342419157331397</c:v>
                </c:pt>
                <c:pt idx="10">
                  <c:v>0.51465205528072933</c:v>
                </c:pt>
                <c:pt idx="11">
                  <c:v>0.52540174547692853</c:v>
                </c:pt>
                <c:pt idx="12">
                  <c:v>0.52912347660146597</c:v>
                </c:pt>
                <c:pt idx="13">
                  <c:v>0.52586575459598117</c:v>
                </c:pt>
                <c:pt idx="14">
                  <c:v>0.51133744079802168</c:v>
                </c:pt>
                <c:pt idx="15">
                  <c:v>0.50830366513695391</c:v>
                </c:pt>
                <c:pt idx="16">
                  <c:v>0.51191100004030787</c:v>
                </c:pt>
                <c:pt idx="17">
                  <c:v>0.52461101285694411</c:v>
                </c:pt>
                <c:pt idx="18">
                  <c:v>0.53525577720718942</c:v>
                </c:pt>
                <c:pt idx="19">
                  <c:v>0.54620291438269319</c:v>
                </c:pt>
                <c:pt idx="20">
                  <c:v>0.55273804775200874</c:v>
                </c:pt>
                <c:pt idx="21">
                  <c:v>0.54447469303850216</c:v>
                </c:pt>
                <c:pt idx="22">
                  <c:v>0.53449951409135088</c:v>
                </c:pt>
                <c:pt idx="23">
                  <c:v>0.52760800292535126</c:v>
                </c:pt>
                <c:pt idx="24">
                  <c:v>0.54835916676569951</c:v>
                </c:pt>
                <c:pt idx="25">
                  <c:v>0.53048192370372838</c:v>
                </c:pt>
                <c:pt idx="26">
                  <c:v>0.53854512912298647</c:v>
                </c:pt>
                <c:pt idx="27">
                  <c:v>0.54281901989325576</c:v>
                </c:pt>
                <c:pt idx="28">
                  <c:v>0.5519897304236201</c:v>
                </c:pt>
                <c:pt idx="29">
                  <c:v>0.52118830934530735</c:v>
                </c:pt>
                <c:pt idx="30">
                  <c:v>0.53114132153019278</c:v>
                </c:pt>
                <c:pt idx="31">
                  <c:v>0.54613116814073748</c:v>
                </c:pt>
                <c:pt idx="32">
                  <c:v>0.58949686328030915</c:v>
                </c:pt>
                <c:pt idx="33">
                  <c:v>0.58304938071285628</c:v>
                </c:pt>
                <c:pt idx="34">
                  <c:v>0.59033304454697477</c:v>
                </c:pt>
                <c:pt idx="35">
                  <c:v>0.594528104964962</c:v>
                </c:pt>
                <c:pt idx="36">
                  <c:v>0.60289904647881309</c:v>
                </c:pt>
              </c:numCache>
            </c:numRef>
          </c:val>
          <c:smooth val="0"/>
          <c:extLst>
            <c:ext xmlns:c16="http://schemas.microsoft.com/office/drawing/2014/chart" uri="{C3380CC4-5D6E-409C-BE32-E72D297353CC}">
              <c16:uniqueId val="{00000002-5888-4F7F-93A8-11FE1A9DAE37}"/>
            </c:ext>
          </c:extLst>
        </c:ser>
        <c:ser>
          <c:idx val="3"/>
          <c:order val="3"/>
          <c:tx>
            <c:strRef>
              <c:f>Sheet6!$AC$2</c:f>
              <c:strCache>
                <c:ptCount val="1"/>
                <c:pt idx="0">
                  <c:v>% Asintomatici</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numRef>
              <c:f>Sheet6!$B$203:$B$242</c:f>
              <c:numCache>
                <c:formatCode>m/d;@</c:formatCode>
                <c:ptCount val="40"/>
                <c:pt idx="0">
                  <c:v>44085.708333333336</c:v>
                </c:pt>
                <c:pt idx="1">
                  <c:v>44086.708333333336</c:v>
                </c:pt>
                <c:pt idx="2">
                  <c:v>44087.708333333336</c:v>
                </c:pt>
                <c:pt idx="3">
                  <c:v>44088.708333333336</c:v>
                </c:pt>
                <c:pt idx="4">
                  <c:v>44089.708333333336</c:v>
                </c:pt>
                <c:pt idx="5">
                  <c:v>44090.708333333336</c:v>
                </c:pt>
                <c:pt idx="6">
                  <c:v>44091.708333333336</c:v>
                </c:pt>
                <c:pt idx="7">
                  <c:v>44092.708333333336</c:v>
                </c:pt>
                <c:pt idx="8">
                  <c:v>44093.708333333336</c:v>
                </c:pt>
                <c:pt idx="9">
                  <c:v>44094.708333333336</c:v>
                </c:pt>
                <c:pt idx="10">
                  <c:v>44095.708333333336</c:v>
                </c:pt>
                <c:pt idx="11">
                  <c:v>44096.708333333336</c:v>
                </c:pt>
                <c:pt idx="12">
                  <c:v>44097.708333333336</c:v>
                </c:pt>
                <c:pt idx="13">
                  <c:v>44098.708333333336</c:v>
                </c:pt>
                <c:pt idx="14">
                  <c:v>44099.708333333336</c:v>
                </c:pt>
                <c:pt idx="15">
                  <c:v>44100.708333333336</c:v>
                </c:pt>
                <c:pt idx="16">
                  <c:v>44101.708333333336</c:v>
                </c:pt>
                <c:pt idx="17">
                  <c:v>44102.708333333336</c:v>
                </c:pt>
                <c:pt idx="18">
                  <c:v>44103.708333333336</c:v>
                </c:pt>
                <c:pt idx="19">
                  <c:v>44104.708333333336</c:v>
                </c:pt>
                <c:pt idx="20">
                  <c:v>44105.708333333336</c:v>
                </c:pt>
                <c:pt idx="21">
                  <c:v>44106.708333333336</c:v>
                </c:pt>
                <c:pt idx="22">
                  <c:v>44107.708333333336</c:v>
                </c:pt>
                <c:pt idx="23">
                  <c:v>44108.708333333336</c:v>
                </c:pt>
                <c:pt idx="24">
                  <c:v>44109.708333333336</c:v>
                </c:pt>
                <c:pt idx="25">
                  <c:v>44110.708333333336</c:v>
                </c:pt>
                <c:pt idx="26">
                  <c:v>44111.708333333336</c:v>
                </c:pt>
                <c:pt idx="27">
                  <c:v>44112.708333333336</c:v>
                </c:pt>
                <c:pt idx="28">
                  <c:v>44113.708333333336</c:v>
                </c:pt>
                <c:pt idx="29">
                  <c:v>44114.708333333336</c:v>
                </c:pt>
                <c:pt idx="30">
                  <c:v>44115.708333333336</c:v>
                </c:pt>
                <c:pt idx="31">
                  <c:v>44116.708333333336</c:v>
                </c:pt>
                <c:pt idx="32">
                  <c:v>44117.708333333336</c:v>
                </c:pt>
                <c:pt idx="33">
                  <c:v>44118.708333333336</c:v>
                </c:pt>
                <c:pt idx="34">
                  <c:v>44119.708333333336</c:v>
                </c:pt>
                <c:pt idx="35">
                  <c:v>44120.708333333336</c:v>
                </c:pt>
                <c:pt idx="36">
                  <c:v>44121.708333333336</c:v>
                </c:pt>
              </c:numCache>
            </c:numRef>
          </c:cat>
          <c:val>
            <c:numRef>
              <c:f>Sheet6!$AC$203:$AC$242</c:f>
              <c:numCache>
                <c:formatCode>0.00</c:formatCode>
                <c:ptCount val="40"/>
                <c:pt idx="0">
                  <c:v>94.495063508037106</c:v>
                </c:pt>
                <c:pt idx="1">
                  <c:v>94.312455003599709</c:v>
                </c:pt>
                <c:pt idx="2">
                  <c:v>94.211742709496477</c:v>
                </c:pt>
                <c:pt idx="3">
                  <c:v>94.082221144767402</c:v>
                </c:pt>
                <c:pt idx="4">
                  <c:v>93.898569701853347</c:v>
                </c:pt>
                <c:pt idx="5">
                  <c:v>93.851771439849998</c:v>
                </c:pt>
                <c:pt idx="6">
                  <c:v>93.818366213507829</c:v>
                </c:pt>
                <c:pt idx="7">
                  <c:v>93.88793367407024</c:v>
                </c:pt>
                <c:pt idx="8">
                  <c:v>93.987627719468975</c:v>
                </c:pt>
                <c:pt idx="9">
                  <c:v>94.133520794593863</c:v>
                </c:pt>
                <c:pt idx="10">
                  <c:v>93.994986579116656</c:v>
                </c:pt>
                <c:pt idx="11">
                  <c:v>93.75013739585394</c:v>
                </c:pt>
                <c:pt idx="12">
                  <c:v>93.706900290584201</c:v>
                </c:pt>
                <c:pt idx="13">
                  <c:v>93.636169303120994</c:v>
                </c:pt>
                <c:pt idx="14">
                  <c:v>93.752881512217613</c:v>
                </c:pt>
                <c:pt idx="15">
                  <c:v>93.840676640668406</c:v>
                </c:pt>
                <c:pt idx="16">
                  <c:v>93.752267322342703</c:v>
                </c:pt>
                <c:pt idx="17">
                  <c:v>93.559604952010005</c:v>
                </c:pt>
                <c:pt idx="18">
                  <c:v>93.4445980643887</c:v>
                </c:pt>
                <c:pt idx="19">
                  <c:v>93.509938942317078</c:v>
                </c:pt>
                <c:pt idx="20">
                  <c:v>93.564685547134687</c:v>
                </c:pt>
                <c:pt idx="21">
                  <c:v>93.636683519454792</c:v>
                </c:pt>
                <c:pt idx="22">
                  <c:v>93.697584854047449</c:v>
                </c:pt>
                <c:pt idx="23">
                  <c:v>93.748802869630325</c:v>
                </c:pt>
                <c:pt idx="24">
                  <c:v>93.531738621122855</c:v>
                </c:pt>
                <c:pt idx="25">
                  <c:v>93.441314397844806</c:v>
                </c:pt>
                <c:pt idx="26">
                  <c:v>93.417604193300946</c:v>
                </c:pt>
                <c:pt idx="27">
                  <c:v>93.505883066472578</c:v>
                </c:pt>
                <c:pt idx="28">
                  <c:v>93.620025673940958</c:v>
                </c:pt>
                <c:pt idx="29">
                  <c:v>93.684266794959171</c:v>
                </c:pt>
                <c:pt idx="30">
                  <c:v>93.754030983243752</c:v>
                </c:pt>
                <c:pt idx="31">
                  <c:v>93.628872456623654</c:v>
                </c:pt>
                <c:pt idx="32">
                  <c:v>93.588934891562388</c:v>
                </c:pt>
                <c:pt idx="33">
                  <c:v>93.499918870679863</c:v>
                </c:pt>
                <c:pt idx="34">
                  <c:v>93.570809743517415</c:v>
                </c:pt>
                <c:pt idx="35">
                  <c:v>93.648427016549874</c:v>
                </c:pt>
                <c:pt idx="36">
                  <c:v>93.738401676144861</c:v>
                </c:pt>
              </c:numCache>
            </c:numRef>
          </c:val>
          <c:smooth val="0"/>
          <c:extLst>
            <c:ext xmlns:c16="http://schemas.microsoft.com/office/drawing/2014/chart" uri="{C3380CC4-5D6E-409C-BE32-E72D297353CC}">
              <c16:uniqueId val="{00000003-5888-4F7F-93A8-11FE1A9DAE37}"/>
            </c:ext>
          </c:extLst>
        </c:ser>
        <c:ser>
          <c:idx val="4"/>
          <c:order val="4"/>
          <c:tx>
            <c:strRef>
              <c:f>Sheet6!$AD$2</c:f>
              <c:strCache>
                <c:ptCount val="1"/>
                <c:pt idx="0">
                  <c:v>%deceduti su infetti</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numRef>
              <c:f>Sheet6!$B$203:$B$242</c:f>
              <c:numCache>
                <c:formatCode>m/d;@</c:formatCode>
                <c:ptCount val="40"/>
                <c:pt idx="0">
                  <c:v>44085.708333333336</c:v>
                </c:pt>
                <c:pt idx="1">
                  <c:v>44086.708333333336</c:v>
                </c:pt>
                <c:pt idx="2">
                  <c:v>44087.708333333336</c:v>
                </c:pt>
                <c:pt idx="3">
                  <c:v>44088.708333333336</c:v>
                </c:pt>
                <c:pt idx="4">
                  <c:v>44089.708333333336</c:v>
                </c:pt>
                <c:pt idx="5">
                  <c:v>44090.708333333336</c:v>
                </c:pt>
                <c:pt idx="6">
                  <c:v>44091.708333333336</c:v>
                </c:pt>
                <c:pt idx="7">
                  <c:v>44092.708333333336</c:v>
                </c:pt>
                <c:pt idx="8">
                  <c:v>44093.708333333336</c:v>
                </c:pt>
                <c:pt idx="9">
                  <c:v>44094.708333333336</c:v>
                </c:pt>
                <c:pt idx="10">
                  <c:v>44095.708333333336</c:v>
                </c:pt>
                <c:pt idx="11">
                  <c:v>44096.708333333336</c:v>
                </c:pt>
                <c:pt idx="12">
                  <c:v>44097.708333333336</c:v>
                </c:pt>
                <c:pt idx="13">
                  <c:v>44098.708333333336</c:v>
                </c:pt>
                <c:pt idx="14">
                  <c:v>44099.708333333336</c:v>
                </c:pt>
                <c:pt idx="15">
                  <c:v>44100.708333333336</c:v>
                </c:pt>
                <c:pt idx="16">
                  <c:v>44101.708333333336</c:v>
                </c:pt>
                <c:pt idx="17">
                  <c:v>44102.708333333336</c:v>
                </c:pt>
                <c:pt idx="18">
                  <c:v>44103.708333333336</c:v>
                </c:pt>
                <c:pt idx="19">
                  <c:v>44104.708333333336</c:v>
                </c:pt>
                <c:pt idx="20">
                  <c:v>44105.708333333336</c:v>
                </c:pt>
                <c:pt idx="21">
                  <c:v>44106.708333333336</c:v>
                </c:pt>
                <c:pt idx="22">
                  <c:v>44107.708333333336</c:v>
                </c:pt>
                <c:pt idx="23">
                  <c:v>44108.708333333336</c:v>
                </c:pt>
                <c:pt idx="24">
                  <c:v>44109.708333333336</c:v>
                </c:pt>
                <c:pt idx="25">
                  <c:v>44110.708333333336</c:v>
                </c:pt>
                <c:pt idx="26">
                  <c:v>44111.708333333336</c:v>
                </c:pt>
                <c:pt idx="27">
                  <c:v>44112.708333333336</c:v>
                </c:pt>
                <c:pt idx="28">
                  <c:v>44113.708333333336</c:v>
                </c:pt>
                <c:pt idx="29">
                  <c:v>44114.708333333336</c:v>
                </c:pt>
                <c:pt idx="30">
                  <c:v>44115.708333333336</c:v>
                </c:pt>
                <c:pt idx="31">
                  <c:v>44116.708333333336</c:v>
                </c:pt>
                <c:pt idx="32">
                  <c:v>44117.708333333336</c:v>
                </c:pt>
                <c:pt idx="33">
                  <c:v>44118.708333333336</c:v>
                </c:pt>
                <c:pt idx="34">
                  <c:v>44119.708333333336</c:v>
                </c:pt>
                <c:pt idx="35">
                  <c:v>44120.708333333336</c:v>
                </c:pt>
                <c:pt idx="36">
                  <c:v>44121.708333333336</c:v>
                </c:pt>
              </c:numCache>
            </c:numRef>
          </c:cat>
          <c:val>
            <c:numRef>
              <c:f>Sheet6!$AD$203:$AD$242</c:f>
              <c:numCache>
                <c:formatCode>0.000</c:formatCode>
                <c:ptCount val="40"/>
                <c:pt idx="0">
                  <c:v>2.7198302825903665E-2</c:v>
                </c:pt>
                <c:pt idx="1">
                  <c:v>1.5998720102391808E-2</c:v>
                </c:pt>
                <c:pt idx="2">
                  <c:v>1.8177568880002076E-2</c:v>
                </c:pt>
                <c:pt idx="3">
                  <c:v>3.5726133666777252E-2</c:v>
                </c:pt>
                <c:pt idx="4">
                  <c:v>2.266317485898469E-2</c:v>
                </c:pt>
                <c:pt idx="5">
                  <c:v>2.9606237047271292E-2</c:v>
                </c:pt>
                <c:pt idx="6">
                  <c:v>3.1391109072030521E-2</c:v>
                </c:pt>
                <c:pt idx="7">
                  <c:v>2.3553242103775584E-2</c:v>
                </c:pt>
                <c:pt idx="8">
                  <c:v>5.5605755195662757E-2</c:v>
                </c:pt>
                <c:pt idx="9">
                  <c:v>3.4015148079277975E-2</c:v>
                </c:pt>
                <c:pt idx="10">
                  <c:v>3.7711573016260339E-2</c:v>
                </c:pt>
                <c:pt idx="11">
                  <c:v>3.0776671283167356E-2</c:v>
                </c:pt>
                <c:pt idx="12">
                  <c:v>4.3370776770611963E-2</c:v>
                </c:pt>
                <c:pt idx="13">
                  <c:v>4.9166310389055147E-2</c:v>
                </c:pt>
                <c:pt idx="14">
                  <c:v>4.1912904983444403E-2</c:v>
                </c:pt>
                <c:pt idx="15">
                  <c:v>3.4984462782705332E-2</c:v>
                </c:pt>
                <c:pt idx="16">
                  <c:v>3.4261759845217461E-2</c:v>
                </c:pt>
                <c:pt idx="17">
                  <c:v>3.1794606839814797E-2</c:v>
                </c:pt>
                <c:pt idx="18">
                  <c:v>4.7402725656725257E-2</c:v>
                </c:pt>
                <c:pt idx="19">
                  <c:v>3.7063769190254184E-2</c:v>
                </c:pt>
                <c:pt idx="20">
                  <c:v>4.5586643113567728E-2</c:v>
                </c:pt>
                <c:pt idx="21">
                  <c:v>4.2594958979202548E-2</c:v>
                </c:pt>
                <c:pt idx="22">
                  <c:v>4.8590864917395525E-2</c:v>
                </c:pt>
                <c:pt idx="23">
                  <c:v>3.1343049678733741E-2</c:v>
                </c:pt>
                <c:pt idx="24">
                  <c:v>2.7163302378486662E-2</c:v>
                </c:pt>
                <c:pt idx="25">
                  <c:v>4.6562676688728509E-2</c:v>
                </c:pt>
                <c:pt idx="26">
                  <c:v>4.9539759652262844E-2</c:v>
                </c:pt>
                <c:pt idx="27">
                  <c:v>3.3357593401261529E-2</c:v>
                </c:pt>
                <c:pt idx="28">
                  <c:v>3.993724147767793E-2</c:v>
                </c:pt>
                <c:pt idx="29">
                  <c:v>3.8755028130804905E-2</c:v>
                </c:pt>
                <c:pt idx="30">
                  <c:v>3.2880177047107176E-2</c:v>
                </c:pt>
                <c:pt idx="31">
                  <c:v>4.7121937074090181E-2</c:v>
                </c:pt>
                <c:pt idx="32">
                  <c:v>4.7022123335588861E-2</c:v>
                </c:pt>
                <c:pt idx="33">
                  <c:v>4.6514143544810427E-2</c:v>
                </c:pt>
                <c:pt idx="34">
                  <c:v>8.3613724739588585E-2</c:v>
                </c:pt>
                <c:pt idx="35">
                  <c:v>5.1252422841807067E-2</c:v>
                </c:pt>
                <c:pt idx="36">
                  <c:v>4.0193269765254197E-2</c:v>
                </c:pt>
              </c:numCache>
            </c:numRef>
          </c:val>
          <c:smooth val="0"/>
          <c:extLst>
            <c:ext xmlns:c16="http://schemas.microsoft.com/office/drawing/2014/chart" uri="{C3380CC4-5D6E-409C-BE32-E72D297353CC}">
              <c16:uniqueId val="{00000004-5888-4F7F-93A8-11FE1A9DAE37}"/>
            </c:ext>
          </c:extLst>
        </c:ser>
        <c:dLbls>
          <c:showLegendKey val="0"/>
          <c:showVal val="0"/>
          <c:showCatName val="0"/>
          <c:showSerName val="0"/>
          <c:showPercent val="0"/>
          <c:showBubbleSize val="0"/>
        </c:dLbls>
        <c:smooth val="0"/>
        <c:axId val="694906160"/>
        <c:axId val="694907144"/>
      </c:lineChart>
      <c:dateAx>
        <c:axId val="694906160"/>
        <c:scaling>
          <c:orientation val="minMax"/>
        </c:scaling>
        <c:delete val="0"/>
        <c:axPos val="b"/>
        <c:minorGridlines>
          <c:spPr>
            <a:ln>
              <a:solidFill>
                <a:schemeClr val="lt1">
                  <a:lumMod val="95000"/>
                  <a:alpha val="5000"/>
                </a:schemeClr>
              </a:solidFill>
            </a:ln>
            <a:effectLst/>
          </c:spPr>
        </c:minorGridlines>
        <c:numFmt formatCode="m/d;@"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IT"/>
          </a:p>
        </c:txPr>
        <c:crossAx val="694907144"/>
        <c:crosses val="autoZero"/>
        <c:auto val="1"/>
        <c:lblOffset val="100"/>
        <c:baseTimeUnit val="days"/>
      </c:dateAx>
      <c:valAx>
        <c:axId val="694907144"/>
        <c:scaling>
          <c:logBase val="2"/>
          <c:orientation val="minMax"/>
          <c:max val="11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IT"/>
          </a:p>
        </c:txPr>
        <c:crossAx val="694906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IT"/>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IT"/>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chart" Target="../charts/chart6.xml"/><Relationship Id="rId7" Type="http://schemas.openxmlformats.org/officeDocument/2006/relationships/chart" Target="../charts/chart10.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absolute">
    <xdr:from>
      <xdr:col>12</xdr:col>
      <xdr:colOff>356536</xdr:colOff>
      <xdr:row>0</xdr:row>
      <xdr:rowOff>192579</xdr:rowOff>
    </xdr:from>
    <xdr:to>
      <xdr:col>15</xdr:col>
      <xdr:colOff>356536</xdr:colOff>
      <xdr:row>495</xdr:row>
      <xdr:rowOff>34960</xdr:rowOff>
    </xdr:to>
    <mc:AlternateContent xmlns:mc="http://schemas.openxmlformats.org/markup-compatibility/2006" xmlns:sle15="http://schemas.microsoft.com/office/drawing/2012/slicer">
      <mc:Choice Requires="sle15">
        <xdr:graphicFrame macro="">
          <xdr:nvGraphicFramePr>
            <xdr:cNvPr id="4" name="region_name">
              <a:extLst>
                <a:ext uri="{FF2B5EF4-FFF2-40B4-BE49-F238E27FC236}">
                  <a16:creationId xmlns:a16="http://schemas.microsoft.com/office/drawing/2014/main" id="{892B7DA7-1969-4684-A50C-F945A7424315}"/>
                </a:ext>
              </a:extLst>
            </xdr:cNvPr>
            <xdr:cNvGraphicFramePr/>
          </xdr:nvGraphicFramePr>
          <xdr:xfrm>
            <a:off x="0" y="0"/>
            <a:ext cx="0" cy="0"/>
          </xdr:xfrm>
          <a:graphic>
            <a:graphicData uri="http://schemas.microsoft.com/office/drawing/2010/slicer">
              <sle:slicer xmlns:sle="http://schemas.microsoft.com/office/drawing/2010/slicer" name="region_name"/>
            </a:graphicData>
          </a:graphic>
        </xdr:graphicFrame>
      </mc:Choice>
      <mc:Fallback xmlns="">
        <xdr:sp macro="" textlink="">
          <xdr:nvSpPr>
            <xdr:cNvPr id="0" name=""/>
            <xdr:cNvSpPr>
              <a:spLocks noTextEdit="1"/>
            </xdr:cNvSpPr>
          </xdr:nvSpPr>
          <xdr:spPr>
            <a:xfrm>
              <a:off x="13521913" y="192579"/>
              <a:ext cx="1761472" cy="630111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11</xdr:col>
      <xdr:colOff>400049</xdr:colOff>
      <xdr:row>3</xdr:row>
      <xdr:rowOff>185737</xdr:rowOff>
    </xdr:from>
    <xdr:to>
      <xdr:col>27</xdr:col>
      <xdr:colOff>9525</xdr:colOff>
      <xdr:row>20</xdr:row>
      <xdr:rowOff>104775</xdr:rowOff>
    </xdr:to>
    <xdr:graphicFrame macro="">
      <xdr:nvGraphicFramePr>
        <xdr:cNvPr id="6" name="Chart 5">
          <a:extLst>
            <a:ext uri="{FF2B5EF4-FFF2-40B4-BE49-F238E27FC236}">
              <a16:creationId xmlns:a16="http://schemas.microsoft.com/office/drawing/2014/main" id="{C5DD8724-144D-45AD-A836-4F4A419C54A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314324</xdr:colOff>
      <xdr:row>26</xdr:row>
      <xdr:rowOff>42862</xdr:rowOff>
    </xdr:from>
    <xdr:to>
      <xdr:col>25</xdr:col>
      <xdr:colOff>219074</xdr:colOff>
      <xdr:row>48</xdr:row>
      <xdr:rowOff>171450</xdr:rowOff>
    </xdr:to>
    <xdr:graphicFrame macro="">
      <xdr:nvGraphicFramePr>
        <xdr:cNvPr id="7" name="Chart 6">
          <a:extLst>
            <a:ext uri="{FF2B5EF4-FFF2-40B4-BE49-F238E27FC236}">
              <a16:creationId xmlns:a16="http://schemas.microsoft.com/office/drawing/2014/main" id="{F04EDED7-B5DE-44D6-9D5A-DAD416EA15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20</xdr:col>
      <xdr:colOff>142875</xdr:colOff>
      <xdr:row>3</xdr:row>
      <xdr:rowOff>128587</xdr:rowOff>
    </xdr:from>
    <xdr:to>
      <xdr:col>28</xdr:col>
      <xdr:colOff>33227</xdr:colOff>
      <xdr:row>20</xdr:row>
      <xdr:rowOff>11075</xdr:rowOff>
    </xdr:to>
    <xdr:graphicFrame macro="">
      <xdr:nvGraphicFramePr>
        <xdr:cNvPr id="5" name="Chart 4">
          <a:extLst>
            <a:ext uri="{FF2B5EF4-FFF2-40B4-BE49-F238E27FC236}">
              <a16:creationId xmlns:a16="http://schemas.microsoft.com/office/drawing/2014/main" id="{807EB386-5109-4CC9-A59D-79EB43712B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32</xdr:col>
      <xdr:colOff>596620</xdr:colOff>
      <xdr:row>12</xdr:row>
      <xdr:rowOff>104670</xdr:rowOff>
    </xdr:from>
    <xdr:to>
      <xdr:col>52</xdr:col>
      <xdr:colOff>554752</xdr:colOff>
      <xdr:row>45</xdr:row>
      <xdr:rowOff>94203</xdr:rowOff>
    </xdr:to>
    <xdr:graphicFrame macro="">
      <xdr:nvGraphicFramePr>
        <xdr:cNvPr id="5" name="Chart 4">
          <a:extLst>
            <a:ext uri="{FF2B5EF4-FFF2-40B4-BE49-F238E27FC236}">
              <a16:creationId xmlns:a16="http://schemas.microsoft.com/office/drawing/2014/main" id="{08353F99-3BB9-4E2E-A6A3-C4C838B360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366345</xdr:colOff>
      <xdr:row>51</xdr:row>
      <xdr:rowOff>167473</xdr:rowOff>
    </xdr:from>
    <xdr:to>
      <xdr:col>49</xdr:col>
      <xdr:colOff>293076</xdr:colOff>
      <xdr:row>74</xdr:row>
      <xdr:rowOff>52335</xdr:rowOff>
    </xdr:to>
    <xdr:graphicFrame macro="">
      <xdr:nvGraphicFramePr>
        <xdr:cNvPr id="6" name="Chart 5">
          <a:extLst>
            <a:ext uri="{FF2B5EF4-FFF2-40B4-BE49-F238E27FC236}">
              <a16:creationId xmlns:a16="http://schemas.microsoft.com/office/drawing/2014/main" id="{00F97C8E-9E4F-42BE-964C-73FB3CA544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32</xdr:col>
      <xdr:colOff>472063</xdr:colOff>
      <xdr:row>82</xdr:row>
      <xdr:rowOff>6</xdr:rowOff>
    </xdr:from>
    <xdr:to>
      <xdr:col>49</xdr:col>
      <xdr:colOff>209341</xdr:colOff>
      <xdr:row>98</xdr:row>
      <xdr:rowOff>125604</xdr:rowOff>
    </xdr:to>
    <xdr:graphicFrame macro="">
      <xdr:nvGraphicFramePr>
        <xdr:cNvPr id="7" name="Chart 6">
          <a:extLst>
            <a:ext uri="{FF2B5EF4-FFF2-40B4-BE49-F238E27FC236}">
              <a16:creationId xmlns:a16="http://schemas.microsoft.com/office/drawing/2014/main" id="{067836D9-5D0A-41C6-98D6-EA36414321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32</xdr:col>
      <xdr:colOff>537482</xdr:colOff>
      <xdr:row>101</xdr:row>
      <xdr:rowOff>111578</xdr:rowOff>
    </xdr:from>
    <xdr:to>
      <xdr:col>43</xdr:col>
      <xdr:colOff>27213</xdr:colOff>
      <xdr:row>122</xdr:row>
      <xdr:rowOff>190499</xdr:rowOff>
    </xdr:to>
    <xdr:graphicFrame macro="">
      <xdr:nvGraphicFramePr>
        <xdr:cNvPr id="8" name="Chart 7">
          <a:extLst>
            <a:ext uri="{FF2B5EF4-FFF2-40B4-BE49-F238E27FC236}">
              <a16:creationId xmlns:a16="http://schemas.microsoft.com/office/drawing/2014/main" id="{B932B576-FF6D-4CBE-B53F-5774F40ACD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3167061</xdr:colOff>
      <xdr:row>127</xdr:row>
      <xdr:rowOff>0</xdr:rowOff>
    </xdr:from>
    <xdr:to>
      <xdr:col>42</xdr:col>
      <xdr:colOff>142874</xdr:colOff>
      <xdr:row>149</xdr:row>
      <xdr:rowOff>83344</xdr:rowOff>
    </xdr:to>
    <xdr:graphicFrame macro="">
      <xdr:nvGraphicFramePr>
        <xdr:cNvPr id="9" name="Chart 8">
          <a:extLst>
            <a:ext uri="{FF2B5EF4-FFF2-40B4-BE49-F238E27FC236}">
              <a16:creationId xmlns:a16="http://schemas.microsoft.com/office/drawing/2014/main" id="{88A6E86A-BFDD-4F80-A8B0-8FC50D29E3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0</xdr:colOff>
      <xdr:row>150</xdr:row>
      <xdr:rowOff>0</xdr:rowOff>
    </xdr:from>
    <xdr:to>
      <xdr:col>42</xdr:col>
      <xdr:colOff>85044</xdr:colOff>
      <xdr:row>171</xdr:row>
      <xdr:rowOff>78921</xdr:rowOff>
    </xdr:to>
    <xdr:graphicFrame macro="">
      <xdr:nvGraphicFramePr>
        <xdr:cNvPr id="10" name="Chart 9">
          <a:extLst>
            <a:ext uri="{FF2B5EF4-FFF2-40B4-BE49-F238E27FC236}">
              <a16:creationId xmlns:a16="http://schemas.microsoft.com/office/drawing/2014/main" id="{886DDE8C-10E7-479A-A196-77AA4232D2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31</xdr:col>
      <xdr:colOff>3012281</xdr:colOff>
      <xdr:row>174</xdr:row>
      <xdr:rowOff>170257</xdr:rowOff>
    </xdr:from>
    <xdr:to>
      <xdr:col>39</xdr:col>
      <xdr:colOff>190500</xdr:colOff>
      <xdr:row>193</xdr:row>
      <xdr:rowOff>166686</xdr:rowOff>
    </xdr:to>
    <xdr:graphicFrame macro="">
      <xdr:nvGraphicFramePr>
        <xdr:cNvPr id="13" name="Chart 12">
          <a:extLst>
            <a:ext uri="{FF2B5EF4-FFF2-40B4-BE49-F238E27FC236}">
              <a16:creationId xmlns:a16="http://schemas.microsoft.com/office/drawing/2014/main" id="{75B07B25-7217-46F9-9FCE-D6FBCD6711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31</xdr:col>
      <xdr:colOff>541734</xdr:colOff>
      <xdr:row>202</xdr:row>
      <xdr:rowOff>63101</xdr:rowOff>
    </xdr:from>
    <xdr:to>
      <xdr:col>37</xdr:col>
      <xdr:colOff>488156</xdr:colOff>
      <xdr:row>232</xdr:row>
      <xdr:rowOff>95250</xdr:rowOff>
    </xdr:to>
    <xdr:graphicFrame macro="">
      <xdr:nvGraphicFramePr>
        <xdr:cNvPr id="14" name="Chart 13">
          <a:extLst>
            <a:ext uri="{FF2B5EF4-FFF2-40B4-BE49-F238E27FC236}">
              <a16:creationId xmlns:a16="http://schemas.microsoft.com/office/drawing/2014/main" id="{1B0827A9-B3AD-41F5-AB3D-3A9D1E4567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0.04515</cdr:x>
      <cdr:y>0.15216</cdr:y>
    </cdr:from>
    <cdr:to>
      <cdr:x>0.34344</cdr:x>
      <cdr:y>0.15596</cdr:y>
    </cdr:to>
    <cdr:cxnSp macro="">
      <cdr:nvCxnSpPr>
        <cdr:cNvPr id="3" name="Straight Arrow Connector 2">
          <a:extLst xmlns:a="http://schemas.openxmlformats.org/drawingml/2006/main">
            <a:ext uri="{FF2B5EF4-FFF2-40B4-BE49-F238E27FC236}">
              <a16:creationId xmlns:a16="http://schemas.microsoft.com/office/drawing/2014/main" id="{82EFD7B0-ED05-41DA-88EE-4B934CF79D63}"/>
            </a:ext>
          </a:extLst>
        </cdr:cNvPr>
        <cdr:cNvCxnSpPr/>
      </cdr:nvCxnSpPr>
      <cdr:spPr>
        <a:xfrm xmlns:a="http://schemas.openxmlformats.org/drawingml/2006/main">
          <a:off x="641630" y="954986"/>
          <a:ext cx="4238625" cy="23813"/>
        </a:xfrm>
        <a:prstGeom xmlns:a="http://schemas.openxmlformats.org/drawingml/2006/main" prst="straightConnector1">
          <a:avLst/>
        </a:prstGeom>
        <a:ln xmlns:a="http://schemas.openxmlformats.org/drawingml/2006/main" w="38100">
          <a:solidFill>
            <a:srgbClr val="FF0000"/>
          </a:solidFill>
          <a:headEnd type="diamond"/>
          <a:tailEnd type="diamond"/>
        </a:ln>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0.1214</cdr:x>
      <cdr:y>0.08766</cdr:y>
    </cdr:from>
    <cdr:to>
      <cdr:x>0.18592</cdr:x>
      <cdr:y>0.13888</cdr:y>
    </cdr:to>
    <cdr:sp macro="" textlink="">
      <cdr:nvSpPr>
        <cdr:cNvPr id="5" name="TextBox 4">
          <a:extLst xmlns:a="http://schemas.openxmlformats.org/drawingml/2006/main">
            <a:ext uri="{FF2B5EF4-FFF2-40B4-BE49-F238E27FC236}">
              <a16:creationId xmlns:a16="http://schemas.microsoft.com/office/drawing/2014/main" id="{CD7FC5DA-58A0-4C2B-AF7B-6CBECCBA2A62}"/>
            </a:ext>
          </a:extLst>
        </cdr:cNvPr>
        <cdr:cNvSpPr txBox="1"/>
      </cdr:nvSpPr>
      <cdr:spPr>
        <a:xfrm xmlns:a="http://schemas.openxmlformats.org/drawingml/2006/main">
          <a:off x="1725097" y="550174"/>
          <a:ext cx="916782" cy="32146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800" b="1"/>
            <a:t>1</a:t>
          </a:r>
          <a:r>
            <a:rPr lang="en-US" sz="1800" b="1" baseline="0"/>
            <a:t> - Ondata</a:t>
          </a:r>
          <a:endParaRPr lang="en-US" sz="1800" b="1"/>
        </a:p>
      </cdr:txBody>
    </cdr:sp>
  </cdr:relSizeAnchor>
  <cdr:relSizeAnchor xmlns:cdr="http://schemas.openxmlformats.org/drawingml/2006/chartDrawing">
    <cdr:from>
      <cdr:x>0.84366</cdr:x>
      <cdr:y>0.15596</cdr:y>
    </cdr:from>
    <cdr:to>
      <cdr:x>0.9529</cdr:x>
      <cdr:y>0.15797</cdr:y>
    </cdr:to>
    <cdr:cxnSp macro="">
      <cdr:nvCxnSpPr>
        <cdr:cNvPr id="6" name="Straight Arrow Connector 5">
          <a:extLst xmlns:a="http://schemas.openxmlformats.org/drawingml/2006/main">
            <a:ext uri="{FF2B5EF4-FFF2-40B4-BE49-F238E27FC236}">
              <a16:creationId xmlns:a16="http://schemas.microsoft.com/office/drawing/2014/main" id="{E8431AA1-F631-4676-902F-82C10B0D13B4}"/>
            </a:ext>
          </a:extLst>
        </cdr:cNvPr>
        <cdr:cNvCxnSpPr/>
      </cdr:nvCxnSpPr>
      <cdr:spPr>
        <a:xfrm xmlns:a="http://schemas.openxmlformats.org/drawingml/2006/main">
          <a:off x="11988287" y="978799"/>
          <a:ext cx="1552295" cy="12596"/>
        </a:xfrm>
        <a:prstGeom xmlns:a="http://schemas.openxmlformats.org/drawingml/2006/main" prst="straightConnector1">
          <a:avLst/>
        </a:prstGeom>
        <a:ln xmlns:a="http://schemas.openxmlformats.org/drawingml/2006/main" w="38100">
          <a:solidFill>
            <a:srgbClr val="FF0000"/>
          </a:solidFill>
          <a:headEnd type="diamond"/>
          <a:tailEnd type="diamond"/>
        </a:ln>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0.85905</cdr:x>
      <cdr:y>0.09536</cdr:y>
    </cdr:from>
    <cdr:to>
      <cdr:x>0.92357</cdr:x>
      <cdr:y>0.14658</cdr:y>
    </cdr:to>
    <cdr:sp macro="" textlink="">
      <cdr:nvSpPr>
        <cdr:cNvPr id="7" name="TextBox 2">
          <a:extLst xmlns:a="http://schemas.openxmlformats.org/drawingml/2006/main">
            <a:ext uri="{FF2B5EF4-FFF2-40B4-BE49-F238E27FC236}">
              <a16:creationId xmlns:a16="http://schemas.microsoft.com/office/drawing/2014/main" id="{2CC04DDE-5D29-41E5-BC38-3F356D27C943}"/>
            </a:ext>
          </a:extLst>
        </cdr:cNvPr>
        <cdr:cNvSpPr txBox="1"/>
      </cdr:nvSpPr>
      <cdr:spPr>
        <a:xfrm xmlns:a="http://schemas.openxmlformats.org/drawingml/2006/main">
          <a:off x="12207080" y="598489"/>
          <a:ext cx="916782" cy="3214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800" b="1"/>
            <a:t>2</a:t>
          </a:r>
          <a:r>
            <a:rPr lang="en-US" sz="1800" b="1" baseline="0"/>
            <a:t> - Ondata</a:t>
          </a:r>
          <a:endParaRPr lang="en-US" sz="1800" b="1"/>
        </a:p>
      </cdr:txBody>
    </cdr:sp>
  </cdr:relSizeAnchor>
</c:userShapes>
</file>

<file path=xl/drawings/drawing6.xml><?xml version="1.0" encoding="utf-8"?>
<c:userShapes xmlns:c="http://schemas.openxmlformats.org/drawingml/2006/chart">
  <cdr:relSizeAnchor xmlns:cdr="http://schemas.openxmlformats.org/drawingml/2006/chartDrawing">
    <cdr:from>
      <cdr:x>0.04349</cdr:x>
      <cdr:y>0.18214</cdr:y>
    </cdr:from>
    <cdr:to>
      <cdr:x>0.38552</cdr:x>
      <cdr:y>0.18772</cdr:y>
    </cdr:to>
    <cdr:cxnSp macro="">
      <cdr:nvCxnSpPr>
        <cdr:cNvPr id="2" name="Straight Arrow Connector 1">
          <a:extLst xmlns:a="http://schemas.openxmlformats.org/drawingml/2006/main">
            <a:ext uri="{FF2B5EF4-FFF2-40B4-BE49-F238E27FC236}">
              <a16:creationId xmlns:a16="http://schemas.microsoft.com/office/drawing/2014/main" id="{2144850E-C217-42E3-870C-158BBAB307BE}"/>
            </a:ext>
          </a:extLst>
        </cdr:cNvPr>
        <cdr:cNvCxnSpPr/>
      </cdr:nvCxnSpPr>
      <cdr:spPr>
        <a:xfrm xmlns:a="http://schemas.openxmlformats.org/drawingml/2006/main">
          <a:off x="538956" y="777081"/>
          <a:ext cx="4238625" cy="23813"/>
        </a:xfrm>
        <a:prstGeom xmlns:a="http://schemas.openxmlformats.org/drawingml/2006/main" prst="straightConnector1">
          <a:avLst/>
        </a:prstGeom>
        <a:ln xmlns:a="http://schemas.openxmlformats.org/drawingml/2006/main" w="38100">
          <a:solidFill>
            <a:srgbClr val="FF0000"/>
          </a:solidFill>
          <a:headEnd type="diamond"/>
          <a:tailEnd type="diamond"/>
        </a:ln>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0.13092</cdr:x>
      <cdr:y>0.08726</cdr:y>
    </cdr:from>
    <cdr:to>
      <cdr:x>0.2049</cdr:x>
      <cdr:y>0.16261</cdr:y>
    </cdr:to>
    <cdr:sp macro="" textlink="">
      <cdr:nvSpPr>
        <cdr:cNvPr id="3" name="TextBox 2">
          <a:extLst xmlns:a="http://schemas.openxmlformats.org/drawingml/2006/main">
            <a:ext uri="{FF2B5EF4-FFF2-40B4-BE49-F238E27FC236}">
              <a16:creationId xmlns:a16="http://schemas.microsoft.com/office/drawing/2014/main" id="{D217CE22-D2B2-4CCA-99C5-B3988330664C}"/>
            </a:ext>
          </a:extLst>
        </cdr:cNvPr>
        <cdr:cNvSpPr txBox="1"/>
      </cdr:nvSpPr>
      <cdr:spPr>
        <a:xfrm xmlns:a="http://schemas.openxmlformats.org/drawingml/2006/main">
          <a:off x="1622423" y="372269"/>
          <a:ext cx="916782" cy="3214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800" b="1"/>
            <a:t>1</a:t>
          </a:r>
          <a:r>
            <a:rPr lang="en-US" sz="1800" b="1" baseline="0"/>
            <a:t> - Ondata</a:t>
          </a:r>
          <a:endParaRPr lang="en-US" sz="1800" b="1"/>
        </a:p>
      </cdr:txBody>
    </cdr:sp>
  </cdr:relSizeAnchor>
  <cdr:relSizeAnchor xmlns:cdr="http://schemas.openxmlformats.org/drawingml/2006/chartDrawing">
    <cdr:from>
      <cdr:x>0.85245</cdr:x>
      <cdr:y>0.24059</cdr:y>
    </cdr:from>
    <cdr:to>
      <cdr:x>0.97771</cdr:x>
      <cdr:y>0.24354</cdr:y>
    </cdr:to>
    <cdr:cxnSp macro="">
      <cdr:nvCxnSpPr>
        <cdr:cNvPr id="4" name="Straight Arrow Connector 3">
          <a:extLst xmlns:a="http://schemas.openxmlformats.org/drawingml/2006/main">
            <a:ext uri="{FF2B5EF4-FFF2-40B4-BE49-F238E27FC236}">
              <a16:creationId xmlns:a16="http://schemas.microsoft.com/office/drawing/2014/main" id="{36FF11BB-53FA-40E3-95BD-9084BB734EB6}"/>
            </a:ext>
          </a:extLst>
        </cdr:cNvPr>
        <cdr:cNvCxnSpPr/>
      </cdr:nvCxnSpPr>
      <cdr:spPr>
        <a:xfrm xmlns:a="http://schemas.openxmlformats.org/drawingml/2006/main">
          <a:off x="10564019" y="1026423"/>
          <a:ext cx="1552295" cy="12596"/>
        </a:xfrm>
        <a:prstGeom xmlns:a="http://schemas.openxmlformats.org/drawingml/2006/main" prst="straightConnector1">
          <a:avLst/>
        </a:prstGeom>
        <a:ln xmlns:a="http://schemas.openxmlformats.org/drawingml/2006/main" w="38100">
          <a:solidFill>
            <a:srgbClr val="FF0000"/>
          </a:solidFill>
          <a:headEnd type="diamond"/>
          <a:tailEnd type="diamond"/>
        </a:ln>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0.8701</cdr:x>
      <cdr:y>0.15144</cdr:y>
    </cdr:from>
    <cdr:to>
      <cdr:x>0.94408</cdr:x>
      <cdr:y>0.22679</cdr:y>
    </cdr:to>
    <cdr:sp macro="" textlink="">
      <cdr:nvSpPr>
        <cdr:cNvPr id="5" name="TextBox 2">
          <a:extLst xmlns:a="http://schemas.openxmlformats.org/drawingml/2006/main">
            <a:ext uri="{FF2B5EF4-FFF2-40B4-BE49-F238E27FC236}">
              <a16:creationId xmlns:a16="http://schemas.microsoft.com/office/drawing/2014/main" id="{2DD20D78-097B-4039-9913-216F42119B55}"/>
            </a:ext>
          </a:extLst>
        </cdr:cNvPr>
        <cdr:cNvSpPr txBox="1"/>
      </cdr:nvSpPr>
      <cdr:spPr>
        <a:xfrm xmlns:a="http://schemas.openxmlformats.org/drawingml/2006/main">
          <a:off x="10782812" y="646113"/>
          <a:ext cx="916782" cy="3214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800" b="1"/>
            <a:t>2</a:t>
          </a:r>
          <a:r>
            <a:rPr lang="en-US" sz="1800" b="1" baseline="0"/>
            <a:t> - Ondata</a:t>
          </a:r>
          <a:endParaRPr lang="en-US" sz="1800" b="1"/>
        </a:p>
      </cdr:txBody>
    </cdr:sp>
  </cdr:relSizeAnchor>
</c:userShapes>
</file>

<file path=xl/drawings/drawing7.xml><?xml version="1.0" encoding="utf-8"?>
<c:userShapes xmlns:c="http://schemas.openxmlformats.org/drawingml/2006/chart">
  <cdr:relSizeAnchor xmlns:cdr="http://schemas.openxmlformats.org/drawingml/2006/chartDrawing">
    <cdr:from>
      <cdr:x>0.85105</cdr:x>
      <cdr:y>0.20712</cdr:y>
    </cdr:from>
    <cdr:to>
      <cdr:x>0.97825</cdr:x>
      <cdr:y>0.21109</cdr:y>
    </cdr:to>
    <cdr:cxnSp macro="">
      <cdr:nvCxnSpPr>
        <cdr:cNvPr id="2" name="Straight Arrow Connector 1">
          <a:extLst xmlns:a="http://schemas.openxmlformats.org/drawingml/2006/main">
            <a:ext uri="{FF2B5EF4-FFF2-40B4-BE49-F238E27FC236}">
              <a16:creationId xmlns:a16="http://schemas.microsoft.com/office/drawing/2014/main" id="{1C2F0440-9E5F-43D0-AC09-1C44E66EC01E}"/>
            </a:ext>
          </a:extLst>
        </cdr:cNvPr>
        <cdr:cNvCxnSpPr/>
      </cdr:nvCxnSpPr>
      <cdr:spPr>
        <a:xfrm xmlns:a="http://schemas.openxmlformats.org/drawingml/2006/main">
          <a:off x="10385425" y="657328"/>
          <a:ext cx="1552295" cy="12596"/>
        </a:xfrm>
        <a:prstGeom xmlns:a="http://schemas.openxmlformats.org/drawingml/2006/main" prst="straightConnector1">
          <a:avLst/>
        </a:prstGeom>
        <a:ln xmlns:a="http://schemas.openxmlformats.org/drawingml/2006/main" w="38100">
          <a:solidFill>
            <a:srgbClr val="FF0000"/>
          </a:solidFill>
          <a:headEnd type="diamond"/>
          <a:tailEnd type="diamond"/>
        </a:ln>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0.86898</cdr:x>
      <cdr:y>0.08729</cdr:y>
    </cdr:from>
    <cdr:to>
      <cdr:x>0.9441</cdr:x>
      <cdr:y>0.18858</cdr:y>
    </cdr:to>
    <cdr:sp macro="" textlink="">
      <cdr:nvSpPr>
        <cdr:cNvPr id="3" name="TextBox 2">
          <a:extLst xmlns:a="http://schemas.openxmlformats.org/drawingml/2006/main">
            <a:ext uri="{FF2B5EF4-FFF2-40B4-BE49-F238E27FC236}">
              <a16:creationId xmlns:a16="http://schemas.microsoft.com/office/drawing/2014/main" id="{0C7AB6F1-A3AA-43B7-ACAB-9BE25AD4F201}"/>
            </a:ext>
          </a:extLst>
        </cdr:cNvPr>
        <cdr:cNvSpPr txBox="1"/>
      </cdr:nvSpPr>
      <cdr:spPr>
        <a:xfrm xmlns:a="http://schemas.openxmlformats.org/drawingml/2006/main">
          <a:off x="10604218" y="277018"/>
          <a:ext cx="916782" cy="3214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800" b="1"/>
            <a:t>2</a:t>
          </a:r>
          <a:r>
            <a:rPr lang="en-US" sz="1800" b="1" baseline="0"/>
            <a:t> - Ondata</a:t>
          </a:r>
          <a:endParaRPr lang="en-US" sz="1800" b="1"/>
        </a:p>
      </cdr:txBody>
    </cdr:sp>
  </cdr:relSizeAnchor>
  <cdr:relSizeAnchor xmlns:cdr="http://schemas.openxmlformats.org/drawingml/2006/chartDrawing">
    <cdr:from>
      <cdr:x>0.03831</cdr:x>
      <cdr:y>0.19233</cdr:y>
    </cdr:from>
    <cdr:to>
      <cdr:x>0.38565</cdr:x>
      <cdr:y>0.19984</cdr:y>
    </cdr:to>
    <cdr:cxnSp macro="">
      <cdr:nvCxnSpPr>
        <cdr:cNvPr id="4" name="Straight Arrow Connector 3">
          <a:extLst xmlns:a="http://schemas.openxmlformats.org/drawingml/2006/main">
            <a:ext uri="{FF2B5EF4-FFF2-40B4-BE49-F238E27FC236}">
              <a16:creationId xmlns:a16="http://schemas.microsoft.com/office/drawing/2014/main" id="{323D1DE1-C493-41CA-B8E9-5D51E43B030C}"/>
            </a:ext>
          </a:extLst>
        </cdr:cNvPr>
        <cdr:cNvCxnSpPr/>
      </cdr:nvCxnSpPr>
      <cdr:spPr>
        <a:xfrm xmlns:a="http://schemas.openxmlformats.org/drawingml/2006/main">
          <a:off x="467519" y="610393"/>
          <a:ext cx="4238625" cy="23813"/>
        </a:xfrm>
        <a:prstGeom xmlns:a="http://schemas.openxmlformats.org/drawingml/2006/main" prst="straightConnector1">
          <a:avLst/>
        </a:prstGeom>
        <a:ln xmlns:a="http://schemas.openxmlformats.org/drawingml/2006/main" w="38100">
          <a:solidFill>
            <a:srgbClr val="FF0000"/>
          </a:solidFill>
          <a:headEnd type="diamond"/>
          <a:tailEnd type="diamond"/>
        </a:ln>
      </cdr:spPr>
      <cdr:style>
        <a:lnRef xmlns:a="http://schemas.openxmlformats.org/drawingml/2006/main" idx="1">
          <a:schemeClr val="dk1"/>
        </a:lnRef>
        <a:fillRef xmlns:a="http://schemas.openxmlformats.org/drawingml/2006/main" idx="0">
          <a:schemeClr val="dk1"/>
        </a:fillRef>
        <a:effectRef xmlns:a="http://schemas.openxmlformats.org/drawingml/2006/main" idx="0">
          <a:schemeClr val="dk1"/>
        </a:effectRef>
        <a:fontRef xmlns:a="http://schemas.openxmlformats.org/drawingml/2006/main" idx="minor">
          <a:schemeClr val="tx1"/>
        </a:fontRef>
      </cdr:style>
    </cdr:cxnSp>
  </cdr:relSizeAnchor>
  <cdr:relSizeAnchor xmlns:cdr="http://schemas.openxmlformats.org/drawingml/2006/chartDrawing">
    <cdr:from>
      <cdr:x>0.1271</cdr:x>
      <cdr:y>0.06478</cdr:y>
    </cdr:from>
    <cdr:to>
      <cdr:x>0.20222</cdr:x>
      <cdr:y>0.16607</cdr:y>
    </cdr:to>
    <cdr:sp macro="" textlink="">
      <cdr:nvSpPr>
        <cdr:cNvPr id="5" name="TextBox 2">
          <a:extLst xmlns:a="http://schemas.openxmlformats.org/drawingml/2006/main">
            <a:ext uri="{FF2B5EF4-FFF2-40B4-BE49-F238E27FC236}">
              <a16:creationId xmlns:a16="http://schemas.microsoft.com/office/drawing/2014/main" id="{4E33E3EF-DAD8-4EEE-B658-FB84776074F9}"/>
            </a:ext>
          </a:extLst>
        </cdr:cNvPr>
        <cdr:cNvSpPr txBox="1"/>
      </cdr:nvSpPr>
      <cdr:spPr>
        <a:xfrm xmlns:a="http://schemas.openxmlformats.org/drawingml/2006/main">
          <a:off x="1550986" y="205581"/>
          <a:ext cx="916782" cy="321468"/>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800" b="1"/>
            <a:t>1</a:t>
          </a:r>
          <a:r>
            <a:rPr lang="en-US" sz="1800" b="1" baseline="0"/>
            <a:t> - Ondata</a:t>
          </a:r>
          <a:endParaRPr lang="en-US" sz="1800" b="1"/>
        </a:p>
      </cdr:txBody>
    </cdr:sp>
  </cdr:relSizeAnchor>
</c:userShape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2425E721-F861-4321-9B42-A0F8922C2AB1}" autoFormatId="16" applyNumberFormats="0" applyBorderFormats="0" applyFontFormats="0" applyPatternFormats="0" applyAlignmentFormats="0" applyWidthHeightFormats="0">
  <queryTableRefresh nextId="12" unboundColumnsRight="3">
    <queryTableFields count="9">
      <queryTableField id="1" name="date" tableColumnId="1"/>
      <queryTableField id="2" name="region_name" tableColumnId="2"/>
      <queryTableField id="3" name="ricoverati_con_sintomi" tableColumnId="3"/>
      <queryTableField id="4" name="terapia_intensiva" tableColumnId="4"/>
      <queryTableField id="5" name="deceduti" tableColumnId="5"/>
      <queryTableField id="6" name="totale_casi" tableColumnId="6"/>
      <queryTableField id="9" dataBound="0" tableColumnId="9"/>
      <queryTableField id="10" dataBound="0" tableColumnId="10"/>
      <queryTableField id="11" dataBound="0" tableColumnId="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6" xr16:uid="{55779DD0-8563-4D29-B2D6-E0434D1AA48D}" autoFormatId="16" applyNumberFormats="0" applyBorderFormats="0" applyFontFormats="0" applyPatternFormats="0" applyAlignmentFormats="0" applyWidthHeightFormats="0">
  <queryTableRefresh nextId="12">
    <queryTableFields count="11">
      <queryTableField id="1" name="region_name" tableColumnId="1"/>
      <queryTableField id="2" name="ricoverati_semplici" tableColumnId="2"/>
      <queryTableField id="3" name="terapia_intensiva" tableColumnId="3"/>
      <queryTableField id="4" name="in_ospedale" tableColumnId="4"/>
      <queryTableField id="5" name="a_casa_positivi" tableColumnId="5"/>
      <queryTableField id="6" name="totale_positivi_alla_data" tableColumnId="6"/>
      <queryTableField id="7" name="nuovi_positivi_alla_data" tableColumnId="7"/>
      <queryTableField id="8" name="guariti" tableColumnId="8"/>
      <queryTableField id="9" name="deceduti" tableColumnId="9"/>
      <queryTableField id="10" name="totale" tableColumnId="10"/>
      <queryTableField id="11" name="tests" tableColumnId="1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4" xr16:uid="{08B8EB4D-5A03-4C59-9FE9-0325638F9DFB}" autoFormatId="16" applyNumberFormats="0" applyBorderFormats="0" applyFontFormats="0" applyPatternFormats="0" applyAlignmentFormats="0" applyWidthHeightFormats="0">
  <queryTableRefresh nextId="19" unboundColumnsRight="7">
    <queryTableFields count="18">
      <queryTableField id="1" name="date" tableColumnId="1"/>
      <queryTableField id="2" name="ricoverati_semplici" tableColumnId="2"/>
      <queryTableField id="3" name="terapia_intensiva" tableColumnId="3"/>
      <queryTableField id="4" name="in_ospedale" tableColumnId="4"/>
      <queryTableField id="5" name="a_casa_positivi" tableColumnId="5"/>
      <queryTableField id="6" name="totale_positivi_alla_data" tableColumnId="6"/>
      <queryTableField id="7" name="nuovi_positivi_alla_data" tableColumnId="7"/>
      <queryTableField id="8" name="guariti" tableColumnId="8"/>
      <queryTableField id="9" name="deceduti" tableColumnId="9"/>
      <queryTableField id="10" name="totale" tableColumnId="10"/>
      <queryTableField id="11" name="tests" tableColumnId="11"/>
      <queryTableField id="12" dataBound="0" tableColumnId="12"/>
      <queryTableField id="13" dataBound="0" tableColumnId="13"/>
      <queryTableField id="14" dataBound="0" tableColumnId="14"/>
      <queryTableField id="15" dataBound="0" tableColumnId="15"/>
      <queryTableField id="16" dataBound="0" tableColumnId="16"/>
      <queryTableField id="17" dataBound="0" tableColumnId="17"/>
      <queryTableField id="18" dataBound="0" tableColumnId="18"/>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5" xr16:uid="{9754C565-C1AC-4BF0-8A87-EFA8E7DDD97F}" autoFormatId="16" applyNumberFormats="0" applyBorderFormats="0" applyFontFormats="0" applyPatternFormats="0" applyAlignmentFormats="0" applyWidthHeightFormats="0">
  <queryTableRefresh nextId="32" unboundColumnsRight="7">
    <queryTableFields count="25">
      <queryTableField id="1" name="id" tableColumnId="1"/>
      <queryTableField id="2" name="date" tableColumnId="2"/>
      <queryTableField id="3" name="state" tableColumnId="3"/>
      <queryTableField id="4" name="ricoverati_con_sintomi" tableColumnId="4"/>
      <queryTableField id="5" name="terapia_intensiva" tableColumnId="5"/>
      <queryTableField id="6" name="totale_ospedalizzati" tableColumnId="6"/>
      <queryTableField id="7" name="isolamento_domiciliare" tableColumnId="7"/>
      <queryTableField id="8" name="totale_attualmente_positivi" tableColumnId="8"/>
      <queryTableField id="19" name="variazione_totale_positivi" tableColumnId="19"/>
      <queryTableField id="9" name="nuovi_attualmente_positivi" tableColumnId="9"/>
      <queryTableField id="10" name="dimessi_guariti" tableColumnId="10"/>
      <queryTableField id="11" name="deceduti" tableColumnId="11"/>
      <queryTableField id="23" name="casi_da_sospetto_diagnostico" tableColumnId="18"/>
      <queryTableField id="24" name="casi_da_screening" tableColumnId="21"/>
      <queryTableField id="12" name="totale_casi" tableColumnId="12"/>
      <queryTableField id="13" name="tamponi" tableColumnId="13"/>
      <queryTableField id="21" name="casi_testati" tableColumnId="20"/>
      <queryTableField id="17" name="note_it" tableColumnId="17"/>
      <queryTableField id="29" dataBound="0" tableColumnId="24"/>
      <queryTableField id="31" dataBound="0" tableColumnId="26"/>
      <queryTableField id="14" dataBound="0" tableColumnId="14"/>
      <queryTableField id="15" dataBound="0" tableColumnId="15"/>
      <queryTableField id="16" dataBound="0" tableColumnId="16"/>
      <queryTableField id="27" dataBound="0" tableColumnId="22"/>
      <queryTableField id="28" dataBound="0" tableColumnId="2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A36ADB2E-C031-4C97-A3FC-0E869083069D}" autoFormatId="16" applyNumberFormats="0" applyBorderFormats="0" applyFontFormats="0" applyPatternFormats="0" applyAlignmentFormats="0" applyWidthHeightFormats="0">
  <queryTableRefresh nextId="5">
    <queryTableFields count="4">
      <queryTableField id="1" name="region" tableColumnId="1"/>
      <queryTableField id="2" name="male" tableColumnId="2"/>
      <queryTableField id="3" name="female" tableColumnId="3"/>
      <queryTableField id="4" name="tot" tableColumnId="4"/>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7" xr16:uid="{A289A033-9123-4571-8D3B-029F8D5827AC}" autoFormatId="16" applyNumberFormats="0" applyBorderFormats="0" applyFontFormats="0" applyPatternFormats="0" applyAlignmentFormats="0" applyWidthHeightFormats="0">
  <queryTableRefresh nextId="5">
    <queryTableFields count="4">
      <queryTableField id="1" name="city" tableColumnId="1"/>
      <queryTableField id="2" name="male" tableColumnId="2"/>
      <queryTableField id="3" name="female" tableColumnId="3"/>
      <queryTableField id="4" name="tot" tableColumnId="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8" xr16:uid="{00AF2DE7-F478-4E8C-8AE4-0B749F21D203}" autoFormatId="16" applyNumberFormats="0" applyBorderFormats="0" applyFontFormats="0" applyPatternFormats="0" applyAlignmentFormats="0" applyWidthHeightFormats="0">
  <queryTableRefresh nextId="5">
    <queryTableFields count="4">
      <queryTableField id="1" name="region" tableColumnId="1"/>
      <queryTableField id="2" name="male" tableColumnId="2"/>
      <queryTableField id="3" name="female" tableColumnId="3"/>
      <queryTableField id="4" name="tot" tableColumnId="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_name" xr10:uid="{E8A4F5A3-BEAD-45F7-B6B0-3136BCC7966C}" sourceName="region_name">
  <extLst>
    <x:ext xmlns:x15="http://schemas.microsoft.com/office/spreadsheetml/2010/11/main" uri="{2F2917AC-EB37-4324-AD4E-5DD8C200BD13}">
      <x15:tableSlicerCache tableId="1" column="2"/>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_name" xr10:uid="{1B355423-2B4B-4D3C-A6FD-BCC24C27F0E0}" cache="Slicer_region_name" caption="region_name"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B6CB4C-9C56-4887-A470-7D0FA12C6164}" name="inhospital" displayName="inhospital" ref="A2:I4853" tableType="queryTable" totalsRowShown="0">
  <autoFilter ref="A2:I4853" xr:uid="{1706FCFC-6617-4085-8ED9-381BD3902071}">
    <filterColumn colId="1">
      <filters>
        <filter val="Calabria"/>
      </filters>
    </filterColumn>
  </autoFilter>
  <sortState xmlns:xlrd2="http://schemas.microsoft.com/office/spreadsheetml/2017/richdata2" ref="A3:I4853">
    <sortCondition ref="B3:B4853"/>
    <sortCondition ref="A3:A4853"/>
  </sortState>
  <tableColumns count="9">
    <tableColumn id="1" xr3:uid="{0D154FDC-E7D3-4F3C-ADE3-1843662C0295}" uniqueName="1" name="date" queryTableFieldId="1" dataDxfId="24"/>
    <tableColumn id="2" xr3:uid="{17F39028-6B5E-4440-AAB1-EFAF6F2C827E}" uniqueName="2" name="region_name" queryTableFieldId="2" dataDxfId="23"/>
    <tableColumn id="3" xr3:uid="{9B6963C1-A69E-4A8F-8E24-F048F48E2A89}" uniqueName="3" name="ricoverati_con_sintomi" queryTableFieldId="3"/>
    <tableColumn id="4" xr3:uid="{1780CD2E-70E8-4B49-8DFB-83D141DA4600}" uniqueName="4" name="terapia_intensiva" queryTableFieldId="4"/>
    <tableColumn id="5" xr3:uid="{CDE1AC3E-2237-40FB-9DFC-A7C4F5F811AC}" uniqueName="5" name="deceduti" queryTableFieldId="5"/>
    <tableColumn id="6" xr3:uid="{84D119CB-7B82-4CFF-9F60-2EF80E247478}" uniqueName="6" name="totale_casi" queryTableFieldId="6"/>
    <tableColumn id="9" xr3:uid="{E0C9C460-4927-4ADB-A29C-2C420F2761A8}" uniqueName="9" name="Increment in unit by day" queryTableFieldId="9" dataDxfId="22">
      <calculatedColumnFormula>IF(AND(F3&gt;0,AND(B3=B2,F3&gt;0)),F3-F2,0)</calculatedColumnFormula>
    </tableColumn>
    <tableColumn id="10" xr3:uid="{96B25705-38A6-40EB-A1C1-8AA973F0D942}" uniqueName="10" name="Infection coefficent" queryTableFieldId="10" dataDxfId="21">
      <calculatedColumnFormula>IF(AND(F2&gt;0,AND(B3=B2,F2&gt;0)),1-(F2/F3),0)</calculatedColumnFormula>
    </tableColumn>
    <tableColumn id="7" xr3:uid="{AF5872DF-C554-4EDA-AB39-3628C9140C67}" uniqueName="7" name="deceased per day" queryTableFieldId="11" dataDxfId="20">
      <calculatedColumnFormula>IF(AND(E3&gt;0,AND(B3=B2,E3&gt;0)),E3-E2,0)</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81EE72F-0702-40E7-83EA-96EE1D1DEC9A}" name="picture_by_region" displayName="picture_by_region" ref="A2:K23" tableType="queryTable" totalsRowShown="0">
  <autoFilter ref="A2:K23" xr:uid="{159CC4E3-B55D-462F-B8A0-B78DB7B94C8E}"/>
  <sortState xmlns:xlrd2="http://schemas.microsoft.com/office/spreadsheetml/2017/richdata2" ref="A3:K23">
    <sortCondition ref="A2:A23"/>
  </sortState>
  <tableColumns count="11">
    <tableColumn id="1" xr3:uid="{008ED8A7-117F-4B44-88CA-EB8C4B99E42B}" uniqueName="1" name="region_name" queryTableFieldId="1" dataDxfId="19"/>
    <tableColumn id="2" xr3:uid="{77E92B6A-D233-4876-B372-627704F58FBA}" uniqueName="2" name="ricoverati_semplici" queryTableFieldId="2"/>
    <tableColumn id="3" xr3:uid="{E15D90AD-EC86-4698-AF32-9BE0B3309BF5}" uniqueName="3" name="terapia_intensiva" queryTableFieldId="3"/>
    <tableColumn id="4" xr3:uid="{C730F4A4-8F64-4F3E-ACDD-A659697E12F7}" uniqueName="4" name="in_ospedale" queryTableFieldId="4"/>
    <tableColumn id="5" xr3:uid="{794D7858-2F6E-4867-B316-E61D65AF502F}" uniqueName="5" name="a_casa_positivi" queryTableFieldId="5"/>
    <tableColumn id="6" xr3:uid="{0EBF3BBB-674A-4EB5-9565-38E6C52F4EFA}" uniqueName="6" name="totale_positivi_alla_data" queryTableFieldId="6"/>
    <tableColumn id="7" xr3:uid="{C619F49D-67C1-4ADF-989A-D73CD2FF2606}" uniqueName="7" name="nuovi_positivi_alla_data" queryTableFieldId="7"/>
    <tableColumn id="8" xr3:uid="{42FB8742-634F-489F-BB6D-DD5A6150A27D}" uniqueName="8" name="guariti" queryTableFieldId="8"/>
    <tableColumn id="9" xr3:uid="{A75A4ADE-C7EC-418A-AC49-056EFD39A877}" uniqueName="9" name="deceduti" queryTableFieldId="9"/>
    <tableColumn id="10" xr3:uid="{375861D1-BD01-438C-9795-D205D4FBBFF3}" uniqueName="10" name="totale" queryTableFieldId="10"/>
    <tableColumn id="11" xr3:uid="{CEA99D54-4A25-467F-891B-83B57EE39727}" uniqueName="11" name="tests" queryTableFieldId="1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0206C3C-EB79-48EA-9F26-25AFBBC16B10}" name="inhospital_tot__2" displayName="inhospital_tot__2" ref="A2:R238" tableType="queryTable" totalsRowShown="0">
  <autoFilter ref="A2:R238" xr:uid="{9D502A68-4A36-4CD1-8F61-9B4D19F66065}"/>
  <tableColumns count="18">
    <tableColumn id="1" xr3:uid="{A6758422-288C-4F03-85FF-5E146467C37C}" uniqueName="1" name="date" queryTableFieldId="1" dataDxfId="18"/>
    <tableColumn id="2" xr3:uid="{CEFA928C-1FF1-4825-BB48-0EE2B9E0E667}" uniqueName="2" name="ricoverati_semplici" queryTableFieldId="2"/>
    <tableColumn id="3" xr3:uid="{11915C57-C123-4EF0-B03C-1D415272B5B4}" uniqueName="3" name="terapia_intensiva" queryTableFieldId="3"/>
    <tableColumn id="4" xr3:uid="{82DE83DD-5F61-4E19-BE0B-D16DA508C4BE}" uniqueName="4" name="in_ospedale" queryTableFieldId="4"/>
    <tableColumn id="5" xr3:uid="{3724ED50-D7D4-4192-92AA-5DD2A4B578C2}" uniqueName="5" name="a_casa_positivi" queryTableFieldId="5"/>
    <tableColumn id="6" xr3:uid="{B8714865-AB0E-479C-B5D4-F62CC5A249FC}" uniqueName="6" name="totale_positivi_alla_data" queryTableFieldId="6"/>
    <tableColumn id="7" xr3:uid="{77F21A7C-9649-4092-BC0C-EBA67392C2A3}" uniqueName="7" name="nuovi_positivi_alla_data" queryTableFieldId="7"/>
    <tableColumn id="8" xr3:uid="{32817F3D-7F29-40B1-B9B3-3864C74492FE}" uniqueName="8" name="guariti" queryTableFieldId="8"/>
    <tableColumn id="9" xr3:uid="{DFA48E8C-7912-41D9-9087-86BDE2BECB65}" uniqueName="9" name="deceduti" queryTableFieldId="9"/>
    <tableColumn id="10" xr3:uid="{F38EDCE7-6486-49D0-B45E-D966D7E78FE5}" uniqueName="10" name="totale" queryTableFieldId="10"/>
    <tableColumn id="11" xr3:uid="{52961184-5EED-4CDB-807D-9F00697236C4}" uniqueName="11" name="tests" queryTableFieldId="11"/>
    <tableColumn id="12" xr3:uid="{F92DE9F5-D655-4CC3-83F8-8C9027C0EF66}" uniqueName="12" name="Test per day" queryTableFieldId="12"/>
    <tableColumn id="13" xr3:uid="{BAF06C62-29F2-4019-8762-EA065CCCAC1E}" uniqueName="13" name="infected_per_day" queryTableFieldId="13" dataDxfId="17">
      <calculatedColumnFormula>J3</calculatedColumnFormula>
    </tableColumn>
    <tableColumn id="14" xr3:uid="{0DD2564A-DFD4-49C1-8133-E412926A550A}" uniqueName="14" name="Deceased by day" queryTableFieldId="14" dataDxfId="16"/>
    <tableColumn id="15" xr3:uid="{87A6731A-445E-4E98-8F4A-7602B4456750}" uniqueName="15" name="% deceased over infected" queryTableFieldId="15" dataDxfId="15"/>
    <tableColumn id="16" xr3:uid="{387CAE6F-957A-4AD4-B315-7F47872117A9}" uniqueName="16" name="healed per day" queryTableFieldId="16" dataDxfId="14">
      <calculatedColumnFormula>H3-H2</calculatedColumnFormula>
    </tableColumn>
    <tableColumn id="17" xr3:uid="{04D33357-732C-4976-A259-696562F355FD}" uniqueName="17" name="Infected index over tested" queryTableFieldId="17" dataDxfId="13">
      <calculatedColumnFormula>inhospital_tot__2[[#This Row],[infected_per_day]]/inhospital_tot__2[[#This Row],[Test per day]]</calculatedColumnFormula>
    </tableColumn>
    <tableColumn id="18" xr3:uid="{4C8805EB-2B07-4DA4-BA21-C4BEDD594728}" uniqueName="18" name="New positive_normalized" queryTableFieldId="18" dataDxfId="12" dataCellStyle="Comma">
      <calculatedColumnFormula>inhospital_tot__2[[#This Row],[nuovi_positivi_alla_data]]*(1 + $T$28)</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CBBD67F-BAB2-4305-952B-03C1C3E3F908}" name="nazione" displayName="nazione" ref="A2:Y240" tableType="queryTable" totalsRowCount="1">
  <autoFilter ref="A2:Y239" xr:uid="{D2490120-4687-49EE-892A-FB5E66C579A2}"/>
  <tableColumns count="25">
    <tableColumn id="1" xr3:uid="{A8117B00-DE94-4022-9BBE-BB47D8FC39F4}" uniqueName="1" name="id" queryTableFieldId="1"/>
    <tableColumn id="2" xr3:uid="{1F442CB7-CEB7-4284-A716-0A0176CF6999}" uniqueName="2" name="date" queryTableFieldId="2" dataDxfId="11" totalsRowDxfId="10"/>
    <tableColumn id="3" xr3:uid="{23DF6545-7F2E-4E82-BA6B-7420F737D2FA}" uniqueName="3" name="state" queryTableFieldId="3" dataDxfId="9" totalsRowDxfId="8"/>
    <tableColumn id="4" xr3:uid="{E50CD070-E0C3-4800-9D7E-00ED7EF524B7}" uniqueName="4" name="ricoverati_con_sintomi" queryTableFieldId="4"/>
    <tableColumn id="5" xr3:uid="{B91D99BE-B6E2-4808-90BD-6C296BFD12F6}" uniqueName="5" name="terapia_intensiva" queryTableFieldId="5"/>
    <tableColumn id="6" xr3:uid="{0052E4C0-2C5C-4FD1-B367-E9CF5E9F020D}" uniqueName="6" name="totale_ospedalizzati" queryTableFieldId="6"/>
    <tableColumn id="7" xr3:uid="{4B6168B1-20B5-4A82-ADA6-95B784570B7F}" uniqueName="7" name="isolamento_domiciliare" queryTableFieldId="7"/>
    <tableColumn id="8" xr3:uid="{F327D2DE-320A-43B5-9C75-C5257F6CE991}" uniqueName="8" name="totale_attualmente_positivi" queryTableFieldId="8"/>
    <tableColumn id="19" xr3:uid="{151AA2EE-9409-43C7-8305-808480701860}" uniqueName="19" name="variazione_totale_positivi" queryTableFieldId="19"/>
    <tableColumn id="9" xr3:uid="{DA981DD6-9FE1-4B86-95B6-5AA0A3928159}" uniqueName="9" name="nuovi_attualmente_positivi" queryTableFieldId="9"/>
    <tableColumn id="10" xr3:uid="{211AD45A-6036-4194-A90A-2B6FA81CF618}" uniqueName="10" name="dimessi_guariti" queryTableFieldId="10"/>
    <tableColumn id="11" xr3:uid="{CF228E62-166F-4DDB-9534-E3B086731B5A}" uniqueName="11" name="deceduti" queryTableFieldId="11"/>
    <tableColumn id="18" xr3:uid="{25565FAC-F70F-40C1-905A-E6D43AC93EF1}" uniqueName="18" name="casi_da_sospetto_diagnostico" queryTableFieldId="23"/>
    <tableColumn id="21" xr3:uid="{C2773199-6EB3-46FE-9860-8F9804FC1C21}" uniqueName="21" name="casi_da_screening" queryTableFieldId="24"/>
    <tableColumn id="12" xr3:uid="{52E9BE92-661B-4E39-AD6E-5CE8D6E1070E}" uniqueName="12" name="totale_casi" queryTableFieldId="12"/>
    <tableColumn id="13" xr3:uid="{FDADF5A4-FF96-4494-A210-7885201431BC}" uniqueName="13" name="tamponi" queryTableFieldId="13"/>
    <tableColumn id="20" xr3:uid="{840AE9E0-E54C-4900-A41F-4545F50DBCB5}" uniqueName="20" name="casi_testati" queryTableFieldId="21"/>
    <tableColumn id="17" xr3:uid="{E1C6A0FC-7260-419C-ACA1-C7613526E57B}" uniqueName="17" name="note_it" queryTableFieldId="17" dataDxfId="7"/>
    <tableColumn id="24" xr3:uid="{20989F9F-FF5D-4B35-BD63-4960E530E383}" uniqueName="24" name="ospedlizzati x giorno" queryTableFieldId="29" dataDxfId="6">
      <calculatedColumnFormula>F3</calculatedColumnFormula>
    </tableColumn>
    <tableColumn id="26" xr3:uid="{C7629CC5-C6C1-4ADD-BC08-75A0E5177878}" uniqueName="26" name="Terapia int x day" queryTableFieldId="31" dataDxfId="5"/>
    <tableColumn id="14" xr3:uid="{4212A377-C15E-4B74-95F3-E48A2EB7FE51}" uniqueName="14" name="Deceaded by day" queryTableFieldId="14"/>
    <tableColumn id="15" xr3:uid="{6B88BB0B-4B62-4E61-A816-06EBC8B0C0B0}" uniqueName="15" name="Healed by day" queryTableFieldId="15"/>
    <tableColumn id="16" xr3:uid="{B5D87184-3A48-4786-97AE-86995400B24E}" uniqueName="16" name="infection factor" queryTableFieldId="16" dataDxfId="4">
      <calculatedColumnFormula>(H3/H2)-1</calculatedColumnFormula>
    </tableColumn>
    <tableColumn id="22" xr3:uid="{14755DC6-0D8F-454D-8211-B87677ECEDD1}" uniqueName="22" name="% infettati su testati" queryTableFieldId="27" dataDxfId="3">
      <calculatedColumnFormula>IF(Q3=0,(nazione[[#This Row],[nuovi_attualmente_positivi]]/nazione[[#This Row],[test_per_giorno]])*100,(nazione[[#This Row],[nuovi_attualmente_positivi]]/nazione[[#This Row],[test_per_giorno]])*100)</calculatedColumnFormula>
    </tableColumn>
    <tableColumn id="23" xr3:uid="{3F435A17-1D20-4D8A-9868-5905B095B1AD}" uniqueName="23" name="test_per_giorno" queryTableFieldId="28"/>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849A7C-5EB0-4DE6-A776-4AB7D208100C}" name="deadth_by_region" displayName="deadth_by_region" ref="A1:D24" tableType="queryTable" totalsRowShown="0">
  <autoFilter ref="A1:D24" xr:uid="{51D3621A-4934-410C-B6EB-B04C4F937807}"/>
  <tableColumns count="4">
    <tableColumn id="1" xr3:uid="{97A886BD-4268-4A04-8012-4ED8B51C88C2}" uniqueName="1" name="region" queryTableFieldId="1" dataDxfId="2"/>
    <tableColumn id="2" xr3:uid="{465A54F0-7442-4BEC-B35D-6CFEFE5E9BEB}" uniqueName="2" name="male" queryTableFieldId="2"/>
    <tableColumn id="3" xr3:uid="{9BEF5428-0EFC-479A-BF0E-610366012F29}" uniqueName="3" name="female" queryTableFieldId="3"/>
    <tableColumn id="4" xr3:uid="{16FA926A-F90D-4141-AD99-6CBD364B15E7}" uniqueName="4" name="tot"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0DCE253-B4BE-40C9-80DC-1AC604B351D6}" name="pop_by_city" displayName="pop_by_city" ref="A1:D108" tableType="queryTable" totalsRowShown="0">
  <autoFilter ref="A1:D108" xr:uid="{7D83A626-7884-4B05-AA96-281CD0A17669}"/>
  <tableColumns count="4">
    <tableColumn id="1" xr3:uid="{6E5D2E60-DC60-4292-A0FD-B200B112C2AA}" uniqueName="1" name="city" queryTableFieldId="1" dataDxfId="1"/>
    <tableColumn id="2" xr3:uid="{C2B52678-13A8-4653-93D1-72D710FCE9A6}" uniqueName="2" name="male" queryTableFieldId="2"/>
    <tableColumn id="3" xr3:uid="{4668E315-B24B-44F0-A132-6A7B8EDC9AF2}" uniqueName="3" name="female" queryTableFieldId="3"/>
    <tableColumn id="4" xr3:uid="{386D79E7-3F49-421E-ACCA-6E333E7597B9}" uniqueName="4" name="tot" queryTableFieldId="4"/>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8F35934-B57D-402D-A03B-865F5E2C0525}" name="pop_by_region" displayName="pop_by_region" ref="A1:D24" tableType="queryTable" totalsRowShown="0">
  <autoFilter ref="A1:D24" xr:uid="{0D1C6326-B725-4824-AF50-7B47E98DA34E}"/>
  <tableColumns count="4">
    <tableColumn id="1" xr3:uid="{71F4B7B8-C2B6-4E0E-B654-FD8849A8890F}" uniqueName="1" name="region" queryTableFieldId="1" dataDxfId="0"/>
    <tableColumn id="2" xr3:uid="{32A9DBEF-F53F-4AB7-9AE0-98452251B7BA}" uniqueName="2" name="male" queryTableFieldId="2"/>
    <tableColumn id="3" xr3:uid="{2CEB2D4C-D0F9-4E53-9D8D-577A59FA8769}" uniqueName="3" name="female" queryTableFieldId="3"/>
    <tableColumn id="4" xr3:uid="{929B19A7-F433-4EDD-92DE-539DDE97A564}" uniqueName="4" name="tot" queryTableFieldId="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A1F6B6-5161-47DA-88D1-2F0C4DEECEC4}">
  <sheetPr codeName="Sheet1"/>
  <dimension ref="A1:S4853"/>
  <sheetViews>
    <sheetView topLeftCell="A525" zoomScale="73" zoomScaleNormal="73" workbookViewId="0">
      <selection activeCell="E2508" sqref="E2508"/>
    </sheetView>
  </sheetViews>
  <sheetFormatPr baseColWidth="10" defaultColWidth="8.83203125" defaultRowHeight="15" x14ac:dyDescent="0.2"/>
  <cols>
    <col min="1" max="1" width="8.5" style="6" bestFit="1" customWidth="1"/>
    <col min="2" max="2" width="19.6640625" bestFit="1" customWidth="1"/>
    <col min="3" max="3" width="25.6640625" bestFit="1" customWidth="1"/>
    <col min="4" max="4" width="20.33203125" bestFit="1" customWidth="1"/>
    <col min="5" max="5" width="12.6640625" bestFit="1" customWidth="1"/>
    <col min="6" max="6" width="14.33203125" bestFit="1" customWidth="1"/>
    <col min="7" max="7" width="26.6640625" style="7" bestFit="1" customWidth="1"/>
    <col min="8" max="8" width="22.5" style="4" bestFit="1" customWidth="1"/>
    <col min="9" max="9" width="20.33203125" bestFit="1" customWidth="1"/>
  </cols>
  <sheetData>
    <row r="1" spans="1:19" x14ac:dyDescent="0.2">
      <c r="A1"/>
      <c r="C1" t="s">
        <v>54</v>
      </c>
      <c r="D1" t="s">
        <v>53</v>
      </c>
      <c r="E1" t="s">
        <v>66</v>
      </c>
      <c r="F1" t="s">
        <v>60</v>
      </c>
      <c r="G1" t="s">
        <v>49</v>
      </c>
      <c r="H1" t="s">
        <v>50</v>
      </c>
      <c r="Q1" t="s">
        <v>6</v>
      </c>
      <c r="S1" t="s">
        <v>44</v>
      </c>
    </row>
    <row r="2" spans="1:19" x14ac:dyDescent="0.2">
      <c r="A2" s="6" t="s">
        <v>0</v>
      </c>
      <c r="B2" t="s">
        <v>1</v>
      </c>
      <c r="C2" t="s">
        <v>2</v>
      </c>
      <c r="D2" t="s">
        <v>3</v>
      </c>
      <c r="E2" t="s">
        <v>4</v>
      </c>
      <c r="F2" t="s">
        <v>5</v>
      </c>
      <c r="G2" s="7" t="s">
        <v>49</v>
      </c>
      <c r="H2" s="4" t="s">
        <v>50</v>
      </c>
      <c r="I2" t="s">
        <v>74</v>
      </c>
    </row>
    <row r="3" spans="1:19" hidden="1" x14ac:dyDescent="0.2">
      <c r="A3" s="6">
        <v>43885.75</v>
      </c>
      <c r="B3" s="1" t="s">
        <v>6</v>
      </c>
      <c r="C3">
        <v>0</v>
      </c>
      <c r="D3">
        <v>0</v>
      </c>
      <c r="E3">
        <v>0</v>
      </c>
      <c r="F3">
        <v>0</v>
      </c>
      <c r="G3" s="7">
        <f t="shared" ref="G3:G66" si="0">IF(AND(F3&gt;0,AND(B3=B2,F3&gt;0)),F3-F2,0)</f>
        <v>0</v>
      </c>
      <c r="H3" s="4">
        <f t="shared" ref="H3:H66" si="1">IF(AND(F2&gt;0,AND(B3=B2,F2&gt;0)),1-(F2/F3),0)</f>
        <v>0</v>
      </c>
      <c r="I3" s="1">
        <f t="shared" ref="I3:I66" si="2">IF(AND(E3&gt;0,AND(B3=B2,E3&gt;0)),E3-E2,0)</f>
        <v>0</v>
      </c>
    </row>
    <row r="4" spans="1:19" hidden="1" x14ac:dyDescent="0.2">
      <c r="A4" s="6">
        <v>43886.75</v>
      </c>
      <c r="B4" s="1" t="s">
        <v>6</v>
      </c>
      <c r="C4">
        <v>0</v>
      </c>
      <c r="D4">
        <v>0</v>
      </c>
      <c r="E4">
        <v>0</v>
      </c>
      <c r="F4">
        <v>0</v>
      </c>
      <c r="G4" s="7">
        <f t="shared" si="0"/>
        <v>0</v>
      </c>
      <c r="H4" s="4">
        <f t="shared" si="1"/>
        <v>0</v>
      </c>
      <c r="I4" s="1">
        <f t="shared" si="2"/>
        <v>0</v>
      </c>
      <c r="J4" s="9">
        <f>IF(AND(inhospital[[#This Row],[totale_casi]]&gt;0,AND(inhospital[[#This Row],[region_name]]=E3,I4&gt;0)),inhospital[[#This Row],[totale_casi]]-I3,0)</f>
        <v>0</v>
      </c>
      <c r="K4" s="10">
        <f>IF(AND(inhospital[[#This Row],[totale_casi]]&gt;0,AND(inhospital[[#This Row],[region_name]]=E3,I3&gt;0)),1-(I3/inhospital[[#This Row],[totale_casi]]),0)</f>
        <v>0</v>
      </c>
    </row>
    <row r="5" spans="1:19" hidden="1" x14ac:dyDescent="0.2">
      <c r="A5" s="6">
        <v>43887.75</v>
      </c>
      <c r="B5" s="1" t="s">
        <v>6</v>
      </c>
      <c r="C5">
        <v>0</v>
      </c>
      <c r="D5">
        <v>0</v>
      </c>
      <c r="E5">
        <v>0</v>
      </c>
      <c r="F5">
        <v>0</v>
      </c>
      <c r="G5" s="7">
        <f t="shared" si="0"/>
        <v>0</v>
      </c>
      <c r="H5" s="4">
        <f t="shared" si="1"/>
        <v>0</v>
      </c>
      <c r="I5" s="1">
        <f t="shared" si="2"/>
        <v>0</v>
      </c>
    </row>
    <row r="6" spans="1:19" hidden="1" x14ac:dyDescent="0.2">
      <c r="A6" s="6">
        <v>43888.75</v>
      </c>
      <c r="B6" s="1" t="s">
        <v>6</v>
      </c>
      <c r="C6">
        <v>1</v>
      </c>
      <c r="D6">
        <v>0</v>
      </c>
      <c r="E6">
        <v>0</v>
      </c>
      <c r="F6">
        <v>1</v>
      </c>
      <c r="G6" s="7">
        <f t="shared" si="0"/>
        <v>1</v>
      </c>
      <c r="H6" s="4">
        <f t="shared" si="1"/>
        <v>0</v>
      </c>
      <c r="I6" s="1">
        <f t="shared" si="2"/>
        <v>0</v>
      </c>
    </row>
    <row r="7" spans="1:19" hidden="1" x14ac:dyDescent="0.2">
      <c r="A7" s="6">
        <v>43889.75</v>
      </c>
      <c r="B7" s="1" t="s">
        <v>6</v>
      </c>
      <c r="C7">
        <v>1</v>
      </c>
      <c r="D7">
        <v>0</v>
      </c>
      <c r="E7">
        <v>0</v>
      </c>
      <c r="F7">
        <v>1</v>
      </c>
      <c r="G7" s="7">
        <f t="shared" si="0"/>
        <v>0</v>
      </c>
      <c r="H7" s="4">
        <f t="shared" si="1"/>
        <v>0</v>
      </c>
      <c r="I7" s="1">
        <f t="shared" si="2"/>
        <v>0</v>
      </c>
    </row>
    <row r="8" spans="1:19" hidden="1" x14ac:dyDescent="0.2">
      <c r="A8" s="6">
        <v>43890.708333333336</v>
      </c>
      <c r="B8" s="1" t="s">
        <v>6</v>
      </c>
      <c r="C8">
        <v>2</v>
      </c>
      <c r="D8">
        <v>0</v>
      </c>
      <c r="E8">
        <v>0</v>
      </c>
      <c r="F8">
        <v>2</v>
      </c>
      <c r="G8" s="7">
        <f t="shared" si="0"/>
        <v>1</v>
      </c>
      <c r="H8" s="4">
        <f t="shared" si="1"/>
        <v>0.5</v>
      </c>
      <c r="I8" s="1">
        <f t="shared" si="2"/>
        <v>0</v>
      </c>
    </row>
    <row r="9" spans="1:19" hidden="1" x14ac:dyDescent="0.2">
      <c r="A9" s="6">
        <v>43891.708333333336</v>
      </c>
      <c r="B9" s="1" t="s">
        <v>6</v>
      </c>
      <c r="C9">
        <v>3</v>
      </c>
      <c r="D9">
        <v>0</v>
      </c>
      <c r="E9">
        <v>0</v>
      </c>
      <c r="F9">
        <v>5</v>
      </c>
      <c r="G9" s="7">
        <f t="shared" si="0"/>
        <v>3</v>
      </c>
      <c r="H9" s="4">
        <f t="shared" si="1"/>
        <v>0.6</v>
      </c>
      <c r="I9" s="1">
        <f t="shared" si="2"/>
        <v>0</v>
      </c>
    </row>
    <row r="10" spans="1:19" hidden="1" x14ac:dyDescent="0.2">
      <c r="A10" s="6">
        <v>43892.75</v>
      </c>
      <c r="B10" s="1" t="s">
        <v>6</v>
      </c>
      <c r="C10">
        <v>3</v>
      </c>
      <c r="D10">
        <v>0</v>
      </c>
      <c r="E10">
        <v>0</v>
      </c>
      <c r="F10">
        <v>5</v>
      </c>
      <c r="G10" s="7">
        <f t="shared" si="0"/>
        <v>0</v>
      </c>
      <c r="H10" s="4">
        <f t="shared" si="1"/>
        <v>0</v>
      </c>
      <c r="I10" s="1">
        <f t="shared" si="2"/>
        <v>0</v>
      </c>
    </row>
    <row r="11" spans="1:19" hidden="1" x14ac:dyDescent="0.2">
      <c r="A11" s="6">
        <v>43893.75</v>
      </c>
      <c r="B11" s="1" t="s">
        <v>6</v>
      </c>
      <c r="C11">
        <v>5</v>
      </c>
      <c r="D11">
        <v>0</v>
      </c>
      <c r="E11">
        <v>0</v>
      </c>
      <c r="F11">
        <v>6</v>
      </c>
      <c r="G11" s="7">
        <f t="shared" si="0"/>
        <v>1</v>
      </c>
      <c r="H11" s="4">
        <f t="shared" si="1"/>
        <v>0.16666666666666663</v>
      </c>
      <c r="I11" s="1">
        <f t="shared" si="2"/>
        <v>0</v>
      </c>
    </row>
    <row r="12" spans="1:19" hidden="1" x14ac:dyDescent="0.2">
      <c r="A12" s="6">
        <v>43894.708333333336</v>
      </c>
      <c r="B12" s="1" t="s">
        <v>6</v>
      </c>
      <c r="C12">
        <v>7</v>
      </c>
      <c r="D12">
        <v>0</v>
      </c>
      <c r="E12">
        <v>0</v>
      </c>
      <c r="F12">
        <v>7</v>
      </c>
      <c r="G12" s="7">
        <f t="shared" si="0"/>
        <v>1</v>
      </c>
      <c r="H12" s="4">
        <f t="shared" si="1"/>
        <v>0.1428571428571429</v>
      </c>
      <c r="I12" s="1">
        <f t="shared" si="2"/>
        <v>0</v>
      </c>
    </row>
    <row r="13" spans="1:19" hidden="1" x14ac:dyDescent="0.2">
      <c r="A13" s="6">
        <v>43895.708333333336</v>
      </c>
      <c r="B13" s="1" t="s">
        <v>6</v>
      </c>
      <c r="C13">
        <v>8</v>
      </c>
      <c r="D13">
        <v>0</v>
      </c>
      <c r="E13">
        <v>0</v>
      </c>
      <c r="F13">
        <v>8</v>
      </c>
      <c r="G13" s="7">
        <f t="shared" si="0"/>
        <v>1</v>
      </c>
      <c r="H13" s="4">
        <f t="shared" si="1"/>
        <v>0.125</v>
      </c>
      <c r="I13" s="1">
        <f t="shared" si="2"/>
        <v>0</v>
      </c>
    </row>
    <row r="14" spans="1:19" hidden="1" x14ac:dyDescent="0.2">
      <c r="A14" s="6">
        <v>43896.708333333336</v>
      </c>
      <c r="B14" s="1" t="s">
        <v>6</v>
      </c>
      <c r="C14">
        <v>9</v>
      </c>
      <c r="D14">
        <v>0</v>
      </c>
      <c r="E14">
        <v>0</v>
      </c>
      <c r="F14">
        <v>9</v>
      </c>
      <c r="G14" s="7">
        <f t="shared" si="0"/>
        <v>1</v>
      </c>
      <c r="H14" s="4">
        <f t="shared" si="1"/>
        <v>0.11111111111111116</v>
      </c>
      <c r="I14" s="1">
        <f t="shared" si="2"/>
        <v>0</v>
      </c>
    </row>
    <row r="15" spans="1:19" hidden="1" x14ac:dyDescent="0.2">
      <c r="A15" s="6">
        <v>43897.75</v>
      </c>
      <c r="B15" s="1" t="s">
        <v>6</v>
      </c>
      <c r="C15">
        <v>11</v>
      </c>
      <c r="D15">
        <v>0</v>
      </c>
      <c r="E15">
        <v>0</v>
      </c>
      <c r="F15">
        <v>11</v>
      </c>
      <c r="G15" s="7">
        <f t="shared" si="0"/>
        <v>2</v>
      </c>
      <c r="H15" s="4">
        <f t="shared" si="1"/>
        <v>0.18181818181818177</v>
      </c>
      <c r="I15" s="1">
        <f t="shared" si="2"/>
        <v>0</v>
      </c>
    </row>
    <row r="16" spans="1:19" hidden="1" x14ac:dyDescent="0.2">
      <c r="A16" s="6">
        <v>43898.75</v>
      </c>
      <c r="B16" s="1" t="s">
        <v>6</v>
      </c>
      <c r="C16">
        <v>14</v>
      </c>
      <c r="D16">
        <v>0</v>
      </c>
      <c r="E16">
        <v>0</v>
      </c>
      <c r="F16">
        <v>17</v>
      </c>
      <c r="G16" s="7">
        <f t="shared" si="0"/>
        <v>6</v>
      </c>
      <c r="H16" s="4">
        <f t="shared" si="1"/>
        <v>0.3529411764705882</v>
      </c>
      <c r="I16" s="1">
        <f t="shared" si="2"/>
        <v>0</v>
      </c>
    </row>
    <row r="17" spans="1:9" hidden="1" x14ac:dyDescent="0.2">
      <c r="A17" s="6">
        <v>43899.75</v>
      </c>
      <c r="B17" s="1" t="s">
        <v>6</v>
      </c>
      <c r="C17">
        <v>25</v>
      </c>
      <c r="D17">
        <v>0</v>
      </c>
      <c r="E17">
        <v>0</v>
      </c>
      <c r="F17">
        <v>30</v>
      </c>
      <c r="G17" s="7">
        <f t="shared" si="0"/>
        <v>13</v>
      </c>
      <c r="H17" s="4">
        <f t="shared" si="1"/>
        <v>0.43333333333333335</v>
      </c>
      <c r="I17" s="1">
        <f t="shared" si="2"/>
        <v>0</v>
      </c>
    </row>
    <row r="18" spans="1:9" hidden="1" x14ac:dyDescent="0.2">
      <c r="A18" s="6">
        <v>43900.75</v>
      </c>
      <c r="B18" s="1" t="s">
        <v>6</v>
      </c>
      <c r="C18">
        <v>17</v>
      </c>
      <c r="D18">
        <v>9</v>
      </c>
      <c r="E18">
        <v>1</v>
      </c>
      <c r="F18">
        <v>38</v>
      </c>
      <c r="G18" s="7">
        <f t="shared" si="0"/>
        <v>8</v>
      </c>
      <c r="H18" s="4">
        <f t="shared" si="1"/>
        <v>0.21052631578947367</v>
      </c>
      <c r="I18" s="1">
        <f t="shared" si="2"/>
        <v>1</v>
      </c>
    </row>
    <row r="19" spans="1:9" hidden="1" x14ac:dyDescent="0.2">
      <c r="A19" s="6">
        <v>43901.708333333336</v>
      </c>
      <c r="B19" s="1" t="s">
        <v>6</v>
      </c>
      <c r="C19">
        <v>17</v>
      </c>
      <c r="D19">
        <v>9</v>
      </c>
      <c r="E19">
        <v>1</v>
      </c>
      <c r="F19">
        <v>38</v>
      </c>
      <c r="G19" s="7">
        <f t="shared" si="0"/>
        <v>0</v>
      </c>
      <c r="H19" s="4">
        <f t="shared" si="1"/>
        <v>0</v>
      </c>
      <c r="I19" s="1">
        <f t="shared" si="2"/>
        <v>0</v>
      </c>
    </row>
    <row r="20" spans="1:9" hidden="1" x14ac:dyDescent="0.2">
      <c r="A20" s="6">
        <v>43902.708333333336</v>
      </c>
      <c r="B20" s="1" t="s">
        <v>6</v>
      </c>
      <c r="C20">
        <v>47</v>
      </c>
      <c r="D20">
        <v>12</v>
      </c>
      <c r="E20">
        <v>2</v>
      </c>
      <c r="F20">
        <v>84</v>
      </c>
      <c r="G20" s="7">
        <f t="shared" si="0"/>
        <v>46</v>
      </c>
      <c r="H20" s="4">
        <f t="shared" si="1"/>
        <v>0.54761904761904767</v>
      </c>
      <c r="I20" s="1">
        <f t="shared" si="2"/>
        <v>1</v>
      </c>
    </row>
    <row r="21" spans="1:9" hidden="1" x14ac:dyDescent="0.2">
      <c r="A21" s="6">
        <v>43903.708333333336</v>
      </c>
      <c r="B21" s="1" t="s">
        <v>6</v>
      </c>
      <c r="C21">
        <v>42</v>
      </c>
      <c r="D21">
        <v>14</v>
      </c>
      <c r="E21">
        <v>2</v>
      </c>
      <c r="F21">
        <v>89</v>
      </c>
      <c r="G21" s="7">
        <f t="shared" si="0"/>
        <v>5</v>
      </c>
      <c r="H21" s="4">
        <f t="shared" si="1"/>
        <v>5.6179775280898903E-2</v>
      </c>
      <c r="I21" s="1">
        <f t="shared" si="2"/>
        <v>0</v>
      </c>
    </row>
    <row r="22" spans="1:9" hidden="1" x14ac:dyDescent="0.2">
      <c r="A22" s="6">
        <v>43904.708333333336</v>
      </c>
      <c r="B22" s="1" t="s">
        <v>6</v>
      </c>
      <c r="C22">
        <v>51</v>
      </c>
      <c r="D22">
        <v>14</v>
      </c>
      <c r="E22">
        <v>2</v>
      </c>
      <c r="F22">
        <v>112</v>
      </c>
      <c r="G22" s="7">
        <f t="shared" si="0"/>
        <v>23</v>
      </c>
      <c r="H22" s="4">
        <f t="shared" si="1"/>
        <v>0.2053571428571429</v>
      </c>
      <c r="I22" s="1">
        <f t="shared" si="2"/>
        <v>0</v>
      </c>
    </row>
    <row r="23" spans="1:9" hidden="1" x14ac:dyDescent="0.2">
      <c r="A23" s="6">
        <v>43905.708333333336</v>
      </c>
      <c r="B23" s="1" t="s">
        <v>6</v>
      </c>
      <c r="C23">
        <v>72</v>
      </c>
      <c r="D23">
        <v>28</v>
      </c>
      <c r="E23">
        <v>3</v>
      </c>
      <c r="F23">
        <v>137</v>
      </c>
      <c r="G23" s="7">
        <f t="shared" si="0"/>
        <v>25</v>
      </c>
      <c r="H23" s="4">
        <f t="shared" si="1"/>
        <v>0.18248175182481752</v>
      </c>
      <c r="I23" s="1">
        <f t="shared" si="2"/>
        <v>1</v>
      </c>
    </row>
    <row r="24" spans="1:9" hidden="1" x14ac:dyDescent="0.2">
      <c r="A24" s="6">
        <v>43906.708333333336</v>
      </c>
      <c r="B24" s="1" t="s">
        <v>6</v>
      </c>
      <c r="C24">
        <v>71</v>
      </c>
      <c r="D24">
        <v>37</v>
      </c>
      <c r="E24">
        <v>4</v>
      </c>
      <c r="F24">
        <v>176</v>
      </c>
      <c r="G24" s="7">
        <f t="shared" si="0"/>
        <v>39</v>
      </c>
      <c r="H24" s="4">
        <f t="shared" si="1"/>
        <v>0.22159090909090906</v>
      </c>
      <c r="I24" s="1">
        <f t="shared" si="2"/>
        <v>1</v>
      </c>
    </row>
    <row r="25" spans="1:9" hidden="1" x14ac:dyDescent="0.2">
      <c r="A25" s="6">
        <v>43907.708333333336</v>
      </c>
      <c r="B25" s="1" t="s">
        <v>6</v>
      </c>
      <c r="C25">
        <v>94</v>
      </c>
      <c r="D25">
        <v>32</v>
      </c>
      <c r="E25">
        <v>6</v>
      </c>
      <c r="F25">
        <v>229</v>
      </c>
      <c r="G25" s="7">
        <f t="shared" si="0"/>
        <v>53</v>
      </c>
      <c r="H25" s="4">
        <f t="shared" si="1"/>
        <v>0.23144104803493448</v>
      </c>
      <c r="I25" s="1">
        <f t="shared" si="2"/>
        <v>2</v>
      </c>
    </row>
    <row r="26" spans="1:9" hidden="1" x14ac:dyDescent="0.2">
      <c r="A26" s="6">
        <v>43908.708333333336</v>
      </c>
      <c r="B26" s="1" t="s">
        <v>6</v>
      </c>
      <c r="C26">
        <v>99</v>
      </c>
      <c r="D26">
        <v>41</v>
      </c>
      <c r="E26">
        <v>7</v>
      </c>
      <c r="F26">
        <v>263</v>
      </c>
      <c r="G26" s="7">
        <f t="shared" si="0"/>
        <v>34</v>
      </c>
      <c r="H26" s="4">
        <f t="shared" si="1"/>
        <v>0.12927756653992395</v>
      </c>
      <c r="I26" s="1">
        <f t="shared" si="2"/>
        <v>1</v>
      </c>
    </row>
    <row r="27" spans="1:9" hidden="1" x14ac:dyDescent="0.2">
      <c r="A27" s="6">
        <v>43909.708333333336</v>
      </c>
      <c r="B27" s="1" t="s">
        <v>6</v>
      </c>
      <c r="C27">
        <v>181</v>
      </c>
      <c r="D27">
        <v>47</v>
      </c>
      <c r="E27">
        <v>11</v>
      </c>
      <c r="F27">
        <v>385</v>
      </c>
      <c r="G27" s="7">
        <f t="shared" si="0"/>
        <v>122</v>
      </c>
      <c r="H27" s="4">
        <f t="shared" si="1"/>
        <v>0.31688311688311688</v>
      </c>
      <c r="I27" s="1">
        <f t="shared" si="2"/>
        <v>4</v>
      </c>
    </row>
    <row r="28" spans="1:9" hidden="1" x14ac:dyDescent="0.2">
      <c r="A28" s="6">
        <v>43910.708333333336</v>
      </c>
      <c r="B28" s="1" t="s">
        <v>6</v>
      </c>
      <c r="C28">
        <v>190</v>
      </c>
      <c r="D28">
        <v>48</v>
      </c>
      <c r="E28">
        <v>17</v>
      </c>
      <c r="F28">
        <v>449</v>
      </c>
      <c r="G28" s="7">
        <f t="shared" si="0"/>
        <v>64</v>
      </c>
      <c r="H28" s="4">
        <f t="shared" si="1"/>
        <v>0.14253897550111361</v>
      </c>
      <c r="I28" s="1">
        <f t="shared" si="2"/>
        <v>6</v>
      </c>
    </row>
    <row r="29" spans="1:9" hidden="1" x14ac:dyDescent="0.2">
      <c r="A29" s="6">
        <v>43911.708333333336</v>
      </c>
      <c r="B29" s="1" t="s">
        <v>6</v>
      </c>
      <c r="C29">
        <v>185</v>
      </c>
      <c r="D29">
        <v>44</v>
      </c>
      <c r="E29">
        <v>22</v>
      </c>
      <c r="F29">
        <v>529</v>
      </c>
      <c r="G29" s="7">
        <f t="shared" si="0"/>
        <v>80</v>
      </c>
      <c r="H29" s="4">
        <f t="shared" si="1"/>
        <v>0.15122873345935728</v>
      </c>
      <c r="I29" s="1">
        <f t="shared" si="2"/>
        <v>5</v>
      </c>
    </row>
    <row r="30" spans="1:9" hidden="1" x14ac:dyDescent="0.2">
      <c r="A30" s="6">
        <v>43912.708333333336</v>
      </c>
      <c r="B30" s="1" t="s">
        <v>6</v>
      </c>
      <c r="C30">
        <v>218</v>
      </c>
      <c r="D30">
        <v>49</v>
      </c>
      <c r="E30">
        <v>33</v>
      </c>
      <c r="F30">
        <v>587</v>
      </c>
      <c r="G30" s="7">
        <f t="shared" si="0"/>
        <v>58</v>
      </c>
      <c r="H30" s="4">
        <f t="shared" si="1"/>
        <v>9.8807495741056184E-2</v>
      </c>
      <c r="I30" s="1">
        <f t="shared" si="2"/>
        <v>11</v>
      </c>
    </row>
    <row r="31" spans="1:9" hidden="1" x14ac:dyDescent="0.2">
      <c r="A31" s="6">
        <v>43913.708333333336</v>
      </c>
      <c r="B31" s="1" t="s">
        <v>6</v>
      </c>
      <c r="C31">
        <v>228</v>
      </c>
      <c r="D31">
        <v>52</v>
      </c>
      <c r="E31">
        <v>38</v>
      </c>
      <c r="F31">
        <v>663</v>
      </c>
      <c r="G31" s="7">
        <f t="shared" si="0"/>
        <v>76</v>
      </c>
      <c r="H31" s="4">
        <f t="shared" si="1"/>
        <v>0.11463046757164408</v>
      </c>
      <c r="I31" s="1">
        <f t="shared" si="2"/>
        <v>5</v>
      </c>
    </row>
    <row r="32" spans="1:9" hidden="1" x14ac:dyDescent="0.2">
      <c r="A32" s="6">
        <v>43914.708333333336</v>
      </c>
      <c r="B32" s="1" t="s">
        <v>6</v>
      </c>
      <c r="C32">
        <v>234</v>
      </c>
      <c r="D32">
        <v>57</v>
      </c>
      <c r="E32">
        <v>46</v>
      </c>
      <c r="F32">
        <v>689</v>
      </c>
      <c r="G32" s="7">
        <f t="shared" si="0"/>
        <v>26</v>
      </c>
      <c r="H32" s="4">
        <f t="shared" si="1"/>
        <v>3.7735849056603765E-2</v>
      </c>
      <c r="I32" s="1">
        <f t="shared" si="2"/>
        <v>8</v>
      </c>
    </row>
    <row r="33" spans="1:9" hidden="1" x14ac:dyDescent="0.2">
      <c r="A33" s="6">
        <v>43915.708333333336</v>
      </c>
      <c r="B33" s="1" t="s">
        <v>6</v>
      </c>
      <c r="C33">
        <v>248</v>
      </c>
      <c r="D33">
        <v>59</v>
      </c>
      <c r="E33">
        <v>52</v>
      </c>
      <c r="F33">
        <v>813</v>
      </c>
      <c r="G33" s="7">
        <f t="shared" si="0"/>
        <v>124</v>
      </c>
      <c r="H33" s="4">
        <f t="shared" si="1"/>
        <v>0.1525215252152522</v>
      </c>
      <c r="I33" s="1">
        <f t="shared" si="2"/>
        <v>6</v>
      </c>
    </row>
    <row r="34" spans="1:9" hidden="1" x14ac:dyDescent="0.2">
      <c r="A34" s="6">
        <v>43916.708333333336</v>
      </c>
      <c r="B34" s="1" t="s">
        <v>6</v>
      </c>
      <c r="C34">
        <v>280</v>
      </c>
      <c r="D34">
        <v>64</v>
      </c>
      <c r="E34">
        <v>63</v>
      </c>
      <c r="F34">
        <v>946</v>
      </c>
      <c r="G34" s="7">
        <f t="shared" si="0"/>
        <v>133</v>
      </c>
      <c r="H34" s="4">
        <f t="shared" si="1"/>
        <v>0.14059196617336156</v>
      </c>
      <c r="I34" s="1">
        <f t="shared" si="2"/>
        <v>11</v>
      </c>
    </row>
    <row r="35" spans="1:9" hidden="1" x14ac:dyDescent="0.2">
      <c r="A35" s="6">
        <v>43917.708333333336</v>
      </c>
      <c r="B35" s="1" t="s">
        <v>6</v>
      </c>
      <c r="C35">
        <v>289</v>
      </c>
      <c r="D35">
        <v>71</v>
      </c>
      <c r="E35">
        <v>68</v>
      </c>
      <c r="F35">
        <v>1017</v>
      </c>
      <c r="G35" s="7">
        <f t="shared" si="0"/>
        <v>71</v>
      </c>
      <c r="H35" s="4">
        <f t="shared" si="1"/>
        <v>6.9813176007866296E-2</v>
      </c>
      <c r="I35" s="1">
        <f t="shared" si="2"/>
        <v>5</v>
      </c>
    </row>
    <row r="36" spans="1:9" hidden="1" x14ac:dyDescent="0.2">
      <c r="A36" s="6">
        <v>43918.708333333336</v>
      </c>
      <c r="B36" s="1" t="s">
        <v>6</v>
      </c>
      <c r="C36">
        <v>311</v>
      </c>
      <c r="D36">
        <v>70</v>
      </c>
      <c r="E36">
        <v>76</v>
      </c>
      <c r="F36">
        <v>1133</v>
      </c>
      <c r="G36" s="7">
        <f t="shared" si="0"/>
        <v>116</v>
      </c>
      <c r="H36" s="4">
        <f t="shared" si="1"/>
        <v>0.10238305383936452</v>
      </c>
      <c r="I36" s="1">
        <f t="shared" si="2"/>
        <v>8</v>
      </c>
    </row>
    <row r="37" spans="1:9" hidden="1" x14ac:dyDescent="0.2">
      <c r="A37" s="6">
        <v>43919.708333333336</v>
      </c>
      <c r="B37" s="1" t="s">
        <v>6</v>
      </c>
      <c r="C37">
        <v>329</v>
      </c>
      <c r="D37">
        <v>68</v>
      </c>
      <c r="E37">
        <v>88</v>
      </c>
      <c r="F37">
        <v>1293</v>
      </c>
      <c r="G37" s="7">
        <f t="shared" si="0"/>
        <v>160</v>
      </c>
      <c r="H37" s="4">
        <f t="shared" si="1"/>
        <v>0.12374323279195665</v>
      </c>
      <c r="I37" s="1">
        <f t="shared" si="2"/>
        <v>12</v>
      </c>
    </row>
    <row r="38" spans="1:9" hidden="1" x14ac:dyDescent="0.2">
      <c r="A38" s="6">
        <v>43920.708333333336</v>
      </c>
      <c r="B38" s="1" t="s">
        <v>6</v>
      </c>
      <c r="C38">
        <v>322</v>
      </c>
      <c r="D38">
        <v>69</v>
      </c>
      <c r="E38">
        <v>102</v>
      </c>
      <c r="F38">
        <v>1345</v>
      </c>
      <c r="G38" s="7">
        <f t="shared" si="0"/>
        <v>52</v>
      </c>
      <c r="H38" s="4">
        <f t="shared" si="1"/>
        <v>3.8661710037174668E-2</v>
      </c>
      <c r="I38" s="1">
        <f t="shared" si="2"/>
        <v>14</v>
      </c>
    </row>
    <row r="39" spans="1:9" hidden="1" x14ac:dyDescent="0.2">
      <c r="A39" s="6">
        <v>43921.708333333336</v>
      </c>
      <c r="B39" s="1" t="s">
        <v>6</v>
      </c>
      <c r="C39">
        <v>335</v>
      </c>
      <c r="D39">
        <v>73</v>
      </c>
      <c r="E39">
        <v>115</v>
      </c>
      <c r="F39">
        <v>1401</v>
      </c>
      <c r="G39" s="7">
        <f t="shared" si="0"/>
        <v>56</v>
      </c>
      <c r="H39" s="4">
        <f t="shared" si="1"/>
        <v>3.9971448965025025E-2</v>
      </c>
      <c r="I39" s="1">
        <f t="shared" si="2"/>
        <v>13</v>
      </c>
    </row>
    <row r="40" spans="1:9" hidden="1" x14ac:dyDescent="0.2">
      <c r="A40" s="6">
        <v>43922.708333333336</v>
      </c>
      <c r="B40" s="1" t="s">
        <v>6</v>
      </c>
      <c r="C40">
        <v>342</v>
      </c>
      <c r="D40">
        <v>71</v>
      </c>
      <c r="E40">
        <v>123</v>
      </c>
      <c r="F40">
        <v>1436</v>
      </c>
      <c r="G40" s="7">
        <f t="shared" si="0"/>
        <v>35</v>
      </c>
      <c r="H40" s="4">
        <f t="shared" si="1"/>
        <v>2.4373259052924756E-2</v>
      </c>
      <c r="I40" s="1">
        <f t="shared" si="2"/>
        <v>8</v>
      </c>
    </row>
    <row r="41" spans="1:9" hidden="1" x14ac:dyDescent="0.2">
      <c r="A41" s="6">
        <v>43923.708333333336</v>
      </c>
      <c r="B41" s="1" t="s">
        <v>6</v>
      </c>
      <c r="C41">
        <v>341</v>
      </c>
      <c r="D41">
        <v>75</v>
      </c>
      <c r="E41">
        <v>133</v>
      </c>
      <c r="F41">
        <v>1497</v>
      </c>
      <c r="G41" s="7">
        <f t="shared" si="0"/>
        <v>61</v>
      </c>
      <c r="H41" s="4">
        <f t="shared" si="1"/>
        <v>4.0748162992651937E-2</v>
      </c>
      <c r="I41" s="1">
        <f t="shared" si="2"/>
        <v>10</v>
      </c>
    </row>
    <row r="42" spans="1:9" hidden="1" x14ac:dyDescent="0.2">
      <c r="A42" s="6">
        <v>43924.708333333336</v>
      </c>
      <c r="B42" s="1" t="s">
        <v>6</v>
      </c>
      <c r="C42">
        <v>361</v>
      </c>
      <c r="D42">
        <v>76</v>
      </c>
      <c r="E42">
        <v>146</v>
      </c>
      <c r="F42">
        <v>1563</v>
      </c>
      <c r="G42" s="7">
        <f t="shared" si="0"/>
        <v>66</v>
      </c>
      <c r="H42" s="4">
        <f t="shared" si="1"/>
        <v>4.2226487523992273E-2</v>
      </c>
      <c r="I42" s="1">
        <f t="shared" si="2"/>
        <v>13</v>
      </c>
    </row>
    <row r="43" spans="1:9" hidden="1" x14ac:dyDescent="0.2">
      <c r="A43" s="6">
        <v>43925.708333333336</v>
      </c>
      <c r="B43" s="1" t="s">
        <v>6</v>
      </c>
      <c r="C43">
        <v>354</v>
      </c>
      <c r="D43">
        <v>71</v>
      </c>
      <c r="E43">
        <v>153</v>
      </c>
      <c r="F43">
        <v>1628</v>
      </c>
      <c r="G43" s="7">
        <f t="shared" si="0"/>
        <v>65</v>
      </c>
      <c r="H43" s="4">
        <f t="shared" si="1"/>
        <v>3.9926289926289882E-2</v>
      </c>
      <c r="I43" s="1">
        <f t="shared" si="2"/>
        <v>7</v>
      </c>
    </row>
    <row r="44" spans="1:9" hidden="1" x14ac:dyDescent="0.2">
      <c r="A44" s="6">
        <v>43926.708333333336</v>
      </c>
      <c r="B44" s="1" t="s">
        <v>6</v>
      </c>
      <c r="C44">
        <v>347</v>
      </c>
      <c r="D44">
        <v>67</v>
      </c>
      <c r="E44">
        <v>158</v>
      </c>
      <c r="F44">
        <v>1703</v>
      </c>
      <c r="G44" s="7">
        <f t="shared" si="0"/>
        <v>75</v>
      </c>
      <c r="H44" s="4">
        <f t="shared" si="1"/>
        <v>4.4039929536112687E-2</v>
      </c>
      <c r="I44" s="1">
        <f t="shared" si="2"/>
        <v>5</v>
      </c>
    </row>
    <row r="45" spans="1:9" hidden="1" x14ac:dyDescent="0.2">
      <c r="A45" s="6">
        <v>43927.708333333336</v>
      </c>
      <c r="B45" s="1" t="s">
        <v>6</v>
      </c>
      <c r="C45">
        <v>340</v>
      </c>
      <c r="D45">
        <v>66</v>
      </c>
      <c r="E45">
        <v>169</v>
      </c>
      <c r="F45">
        <v>1721</v>
      </c>
      <c r="G45" s="7">
        <f t="shared" si="0"/>
        <v>18</v>
      </c>
      <c r="H45" s="4">
        <f t="shared" si="1"/>
        <v>1.0459035444508991E-2</v>
      </c>
      <c r="I45" s="1">
        <f t="shared" si="2"/>
        <v>11</v>
      </c>
    </row>
    <row r="46" spans="1:9" hidden="1" x14ac:dyDescent="0.2">
      <c r="A46" s="6">
        <v>43928.708333333336</v>
      </c>
      <c r="B46" s="1" t="s">
        <v>6</v>
      </c>
      <c r="C46">
        <v>337</v>
      </c>
      <c r="D46">
        <v>67</v>
      </c>
      <c r="E46">
        <v>172</v>
      </c>
      <c r="F46">
        <v>1799</v>
      </c>
      <c r="G46" s="7">
        <f t="shared" si="0"/>
        <v>78</v>
      </c>
      <c r="H46" s="4">
        <f t="shared" si="1"/>
        <v>4.3357420789327361E-2</v>
      </c>
      <c r="I46" s="1">
        <f t="shared" si="2"/>
        <v>3</v>
      </c>
    </row>
    <row r="47" spans="1:9" hidden="1" x14ac:dyDescent="0.2">
      <c r="A47" s="6">
        <v>43929.708333333336</v>
      </c>
      <c r="B47" s="1" t="s">
        <v>6</v>
      </c>
      <c r="C47">
        <v>331</v>
      </c>
      <c r="D47">
        <v>62</v>
      </c>
      <c r="E47">
        <v>179</v>
      </c>
      <c r="F47">
        <v>1859</v>
      </c>
      <c r="G47" s="7">
        <f t="shared" si="0"/>
        <v>60</v>
      </c>
      <c r="H47" s="4">
        <f t="shared" si="1"/>
        <v>3.2275416890801489E-2</v>
      </c>
      <c r="I47" s="1">
        <f t="shared" si="2"/>
        <v>7</v>
      </c>
    </row>
    <row r="48" spans="1:9" hidden="1" x14ac:dyDescent="0.2">
      <c r="A48" s="6">
        <v>43930.708333333336</v>
      </c>
      <c r="B48" s="1" t="s">
        <v>6</v>
      </c>
      <c r="C48">
        <v>306</v>
      </c>
      <c r="D48">
        <v>57</v>
      </c>
      <c r="E48">
        <v>194</v>
      </c>
      <c r="F48">
        <v>1931</v>
      </c>
      <c r="G48" s="7">
        <f t="shared" si="0"/>
        <v>72</v>
      </c>
      <c r="H48" s="4">
        <f t="shared" si="1"/>
        <v>3.7286380113930595E-2</v>
      </c>
      <c r="I48" s="1">
        <f t="shared" si="2"/>
        <v>15</v>
      </c>
    </row>
    <row r="49" spans="1:9" hidden="1" x14ac:dyDescent="0.2">
      <c r="A49" s="6">
        <v>43931.708333333336</v>
      </c>
      <c r="B49" s="1" t="s">
        <v>6</v>
      </c>
      <c r="C49">
        <v>305</v>
      </c>
      <c r="D49">
        <v>53</v>
      </c>
      <c r="E49">
        <v>198</v>
      </c>
      <c r="F49">
        <v>2014</v>
      </c>
      <c r="G49" s="7">
        <f t="shared" si="0"/>
        <v>83</v>
      </c>
      <c r="H49" s="4">
        <f t="shared" si="1"/>
        <v>4.121151936444889E-2</v>
      </c>
      <c r="I49" s="1">
        <f t="shared" si="2"/>
        <v>4</v>
      </c>
    </row>
    <row r="50" spans="1:9" hidden="1" x14ac:dyDescent="0.2">
      <c r="A50" s="6">
        <v>43932.708333333336</v>
      </c>
      <c r="B50" s="1" t="s">
        <v>6</v>
      </c>
      <c r="C50">
        <v>315</v>
      </c>
      <c r="D50">
        <v>54</v>
      </c>
      <c r="E50">
        <v>206</v>
      </c>
      <c r="F50">
        <v>2120</v>
      </c>
      <c r="G50" s="7">
        <f t="shared" si="0"/>
        <v>106</v>
      </c>
      <c r="H50" s="4">
        <f t="shared" si="1"/>
        <v>5.0000000000000044E-2</v>
      </c>
      <c r="I50" s="1">
        <f t="shared" si="2"/>
        <v>8</v>
      </c>
    </row>
    <row r="51" spans="1:9" hidden="1" x14ac:dyDescent="0.2">
      <c r="A51" s="6">
        <v>43933.708333333336</v>
      </c>
      <c r="B51" s="1" t="s">
        <v>6</v>
      </c>
      <c r="C51">
        <v>346</v>
      </c>
      <c r="D51">
        <v>54</v>
      </c>
      <c r="E51">
        <v>212</v>
      </c>
      <c r="F51">
        <v>2160</v>
      </c>
      <c r="G51" s="7">
        <f t="shared" si="0"/>
        <v>40</v>
      </c>
      <c r="H51" s="4">
        <f t="shared" si="1"/>
        <v>1.851851851851849E-2</v>
      </c>
      <c r="I51" s="1">
        <f t="shared" si="2"/>
        <v>6</v>
      </c>
    </row>
    <row r="52" spans="1:9" hidden="1" x14ac:dyDescent="0.2">
      <c r="A52" s="6">
        <v>43934.708333333336</v>
      </c>
      <c r="B52" s="1" t="s">
        <v>6</v>
      </c>
      <c r="C52">
        <v>351</v>
      </c>
      <c r="D52">
        <v>54</v>
      </c>
      <c r="E52">
        <v>224</v>
      </c>
      <c r="F52">
        <v>2213</v>
      </c>
      <c r="G52" s="7">
        <f t="shared" si="0"/>
        <v>53</v>
      </c>
      <c r="H52" s="4">
        <f t="shared" si="1"/>
        <v>2.3949389968368706E-2</v>
      </c>
      <c r="I52" s="1">
        <f t="shared" si="2"/>
        <v>12</v>
      </c>
    </row>
    <row r="53" spans="1:9" hidden="1" x14ac:dyDescent="0.2">
      <c r="A53" s="6">
        <v>43935.708333333336</v>
      </c>
      <c r="B53" s="1" t="s">
        <v>6</v>
      </c>
      <c r="C53">
        <v>345</v>
      </c>
      <c r="D53">
        <v>52</v>
      </c>
      <c r="E53">
        <v>232</v>
      </c>
      <c r="F53">
        <v>2245</v>
      </c>
      <c r="G53" s="7">
        <f t="shared" si="0"/>
        <v>32</v>
      </c>
      <c r="H53" s="4">
        <f t="shared" si="1"/>
        <v>1.4253897550111305E-2</v>
      </c>
      <c r="I53" s="1">
        <f t="shared" si="2"/>
        <v>8</v>
      </c>
    </row>
    <row r="54" spans="1:9" hidden="1" x14ac:dyDescent="0.2">
      <c r="A54" s="6">
        <v>43936.708333333336</v>
      </c>
      <c r="B54" s="1" t="s">
        <v>6</v>
      </c>
      <c r="C54">
        <v>341</v>
      </c>
      <c r="D54">
        <v>44</v>
      </c>
      <c r="E54">
        <v>240</v>
      </c>
      <c r="F54">
        <v>2274</v>
      </c>
      <c r="G54" s="7">
        <f t="shared" si="0"/>
        <v>29</v>
      </c>
      <c r="H54" s="4">
        <f t="shared" si="1"/>
        <v>1.2752858399296407E-2</v>
      </c>
      <c r="I54" s="1">
        <f t="shared" si="2"/>
        <v>8</v>
      </c>
    </row>
    <row r="55" spans="1:9" hidden="1" x14ac:dyDescent="0.2">
      <c r="A55" s="6">
        <v>43937.708333333336</v>
      </c>
      <c r="B55" s="1" t="s">
        <v>6</v>
      </c>
      <c r="C55">
        <v>324</v>
      </c>
      <c r="D55">
        <v>42</v>
      </c>
      <c r="E55">
        <v>243</v>
      </c>
      <c r="F55">
        <v>2346</v>
      </c>
      <c r="G55" s="7">
        <f t="shared" si="0"/>
        <v>72</v>
      </c>
      <c r="H55" s="4">
        <f t="shared" si="1"/>
        <v>3.069053708439895E-2</v>
      </c>
      <c r="I55" s="1">
        <f t="shared" si="2"/>
        <v>3</v>
      </c>
    </row>
    <row r="56" spans="1:9" hidden="1" x14ac:dyDescent="0.2">
      <c r="A56" s="6">
        <v>43938.708333333336</v>
      </c>
      <c r="B56" s="1" t="s">
        <v>6</v>
      </c>
      <c r="C56">
        <v>319</v>
      </c>
      <c r="D56">
        <v>43</v>
      </c>
      <c r="E56">
        <v>246</v>
      </c>
      <c r="F56">
        <v>2443</v>
      </c>
      <c r="G56" s="7">
        <f t="shared" si="0"/>
        <v>97</v>
      </c>
      <c r="H56" s="4">
        <f t="shared" si="1"/>
        <v>3.9705280392959508E-2</v>
      </c>
      <c r="I56" s="1">
        <f t="shared" si="2"/>
        <v>3</v>
      </c>
    </row>
    <row r="57" spans="1:9" hidden="1" x14ac:dyDescent="0.2">
      <c r="A57" s="6">
        <v>43939.708333333336</v>
      </c>
      <c r="B57" s="1" t="s">
        <v>6</v>
      </c>
      <c r="C57">
        <v>321</v>
      </c>
      <c r="D57">
        <v>41</v>
      </c>
      <c r="E57">
        <v>253</v>
      </c>
      <c r="F57">
        <v>2487</v>
      </c>
      <c r="G57" s="7">
        <f t="shared" si="0"/>
        <v>44</v>
      </c>
      <c r="H57" s="4">
        <f t="shared" si="1"/>
        <v>1.7691998391636488E-2</v>
      </c>
      <c r="I57" s="1">
        <f t="shared" si="2"/>
        <v>7</v>
      </c>
    </row>
    <row r="58" spans="1:9" hidden="1" x14ac:dyDescent="0.2">
      <c r="A58" s="6">
        <v>43940.708333333336</v>
      </c>
      <c r="B58" s="1" t="s">
        <v>6</v>
      </c>
      <c r="C58">
        <v>317</v>
      </c>
      <c r="D58">
        <v>40</v>
      </c>
      <c r="E58">
        <v>258</v>
      </c>
      <c r="F58">
        <v>2521</v>
      </c>
      <c r="G58" s="7">
        <f t="shared" si="0"/>
        <v>34</v>
      </c>
      <c r="H58" s="4">
        <f t="shared" si="1"/>
        <v>1.3486711622372027E-2</v>
      </c>
      <c r="I58" s="1">
        <f t="shared" si="2"/>
        <v>5</v>
      </c>
    </row>
    <row r="59" spans="1:9" hidden="1" x14ac:dyDescent="0.2">
      <c r="A59" s="6">
        <v>43941.708333333336</v>
      </c>
      <c r="B59" s="1" t="s">
        <v>6</v>
      </c>
      <c r="C59">
        <v>320</v>
      </c>
      <c r="D59">
        <v>38</v>
      </c>
      <c r="E59">
        <v>263</v>
      </c>
      <c r="F59">
        <v>2612</v>
      </c>
      <c r="G59" s="7">
        <f t="shared" si="0"/>
        <v>91</v>
      </c>
      <c r="H59" s="4">
        <f t="shared" si="1"/>
        <v>3.4839203675344543E-2</v>
      </c>
      <c r="I59" s="1">
        <f t="shared" si="2"/>
        <v>5</v>
      </c>
    </row>
    <row r="60" spans="1:9" hidden="1" x14ac:dyDescent="0.2">
      <c r="A60" s="6">
        <v>43942.708333333336</v>
      </c>
      <c r="B60" s="1" t="s">
        <v>6</v>
      </c>
      <c r="C60">
        <v>318</v>
      </c>
      <c r="D60">
        <v>35</v>
      </c>
      <c r="E60">
        <v>271</v>
      </c>
      <c r="F60">
        <v>2667</v>
      </c>
      <c r="G60" s="7">
        <f t="shared" si="0"/>
        <v>55</v>
      </c>
      <c r="H60" s="4">
        <f t="shared" si="1"/>
        <v>2.0622422197225321E-2</v>
      </c>
      <c r="I60" s="1">
        <f t="shared" si="2"/>
        <v>8</v>
      </c>
    </row>
    <row r="61" spans="1:9" hidden="1" x14ac:dyDescent="0.2">
      <c r="A61" s="6">
        <v>43943.708333333336</v>
      </c>
      <c r="B61" s="1" t="s">
        <v>6</v>
      </c>
      <c r="C61">
        <v>309</v>
      </c>
      <c r="D61">
        <v>35</v>
      </c>
      <c r="E61">
        <v>276</v>
      </c>
      <c r="F61">
        <v>2733</v>
      </c>
      <c r="G61" s="7">
        <f t="shared" si="0"/>
        <v>66</v>
      </c>
      <c r="H61" s="4">
        <f t="shared" si="1"/>
        <v>2.4149286498353462E-2</v>
      </c>
      <c r="I61" s="1">
        <f t="shared" si="2"/>
        <v>5</v>
      </c>
    </row>
    <row r="62" spans="1:9" hidden="1" x14ac:dyDescent="0.2">
      <c r="A62" s="6">
        <v>43944.708333333336</v>
      </c>
      <c r="B62" s="1" t="s">
        <v>6</v>
      </c>
      <c r="C62">
        <v>322</v>
      </c>
      <c r="D62">
        <v>31</v>
      </c>
      <c r="E62">
        <v>280</v>
      </c>
      <c r="F62">
        <v>2785</v>
      </c>
      <c r="G62" s="7">
        <f t="shared" si="0"/>
        <v>52</v>
      </c>
      <c r="H62" s="4">
        <f t="shared" si="1"/>
        <v>1.8671454219030492E-2</v>
      </c>
      <c r="I62" s="1">
        <f t="shared" si="2"/>
        <v>4</v>
      </c>
    </row>
    <row r="63" spans="1:9" hidden="1" x14ac:dyDescent="0.2">
      <c r="A63" s="6">
        <v>43945.708333333336</v>
      </c>
      <c r="B63" s="1" t="s">
        <v>6</v>
      </c>
      <c r="C63">
        <v>327</v>
      </c>
      <c r="D63">
        <v>28</v>
      </c>
      <c r="E63">
        <v>286</v>
      </c>
      <c r="F63">
        <v>2803</v>
      </c>
      <c r="G63" s="7">
        <f t="shared" si="0"/>
        <v>18</v>
      </c>
      <c r="H63" s="4">
        <f t="shared" si="1"/>
        <v>6.4216910453086529E-3</v>
      </c>
      <c r="I63" s="1">
        <f t="shared" si="2"/>
        <v>6</v>
      </c>
    </row>
    <row r="64" spans="1:9" hidden="1" x14ac:dyDescent="0.2">
      <c r="A64" s="6">
        <v>43946.708333333336</v>
      </c>
      <c r="B64" s="1" t="s">
        <v>6</v>
      </c>
      <c r="C64">
        <v>323</v>
      </c>
      <c r="D64">
        <v>26</v>
      </c>
      <c r="E64">
        <v>293</v>
      </c>
      <c r="F64">
        <v>2832</v>
      </c>
      <c r="G64" s="7">
        <f t="shared" si="0"/>
        <v>29</v>
      </c>
      <c r="H64" s="4">
        <f t="shared" si="1"/>
        <v>1.0240112994350237E-2</v>
      </c>
      <c r="I64" s="1">
        <f t="shared" si="2"/>
        <v>7</v>
      </c>
    </row>
    <row r="65" spans="1:9" hidden="1" x14ac:dyDescent="0.2">
      <c r="A65" s="6">
        <v>43947.708333333336</v>
      </c>
      <c r="B65" s="1" t="s">
        <v>6</v>
      </c>
      <c r="C65">
        <v>324</v>
      </c>
      <c r="D65">
        <v>24</v>
      </c>
      <c r="E65">
        <v>295</v>
      </c>
      <c r="F65">
        <v>2859</v>
      </c>
      <c r="G65" s="7">
        <f t="shared" si="0"/>
        <v>27</v>
      </c>
      <c r="H65" s="4">
        <f t="shared" si="1"/>
        <v>9.4438614900315132E-3</v>
      </c>
      <c r="I65" s="1">
        <f t="shared" si="2"/>
        <v>2</v>
      </c>
    </row>
    <row r="66" spans="1:9" hidden="1" x14ac:dyDescent="0.2">
      <c r="A66" s="6">
        <v>43948.708333333336</v>
      </c>
      <c r="B66" s="1" t="s">
        <v>6</v>
      </c>
      <c r="C66">
        <v>328</v>
      </c>
      <c r="D66">
        <v>23</v>
      </c>
      <c r="E66">
        <v>299</v>
      </c>
      <c r="F66">
        <v>2874</v>
      </c>
      <c r="G66" s="7">
        <f t="shared" si="0"/>
        <v>15</v>
      </c>
      <c r="H66" s="4">
        <f t="shared" si="1"/>
        <v>5.2192066805845094E-3</v>
      </c>
      <c r="I66" s="1">
        <f t="shared" si="2"/>
        <v>4</v>
      </c>
    </row>
    <row r="67" spans="1:9" hidden="1" x14ac:dyDescent="0.2">
      <c r="A67" s="6">
        <v>43949.708333333336</v>
      </c>
      <c r="B67" s="1" t="s">
        <v>6</v>
      </c>
      <c r="C67">
        <v>312</v>
      </c>
      <c r="D67">
        <v>21</v>
      </c>
      <c r="E67">
        <v>310</v>
      </c>
      <c r="F67">
        <v>2899</v>
      </c>
      <c r="G67" s="7">
        <f t="shared" ref="G67:G130" si="3">IF(AND(F67&gt;0,AND(B67=B66,F67&gt;0)),F67-F66,0)</f>
        <v>25</v>
      </c>
      <c r="H67" s="4">
        <f t="shared" ref="H67:H130" si="4">IF(AND(F66&gt;0,AND(B67=B66,F66&gt;0)),1-(F66/F67),0)</f>
        <v>8.6236633321835621E-3</v>
      </c>
      <c r="I67" s="1">
        <f t="shared" ref="I67:I130" si="5">IF(AND(E67&gt;0,AND(B67=B66,E67&gt;0)),E67-E66,0)</f>
        <v>11</v>
      </c>
    </row>
    <row r="68" spans="1:9" hidden="1" x14ac:dyDescent="0.2">
      <c r="A68" s="6">
        <v>43950.708333333336</v>
      </c>
      <c r="B68" s="1" t="s">
        <v>6</v>
      </c>
      <c r="C68">
        <v>309</v>
      </c>
      <c r="D68">
        <v>19</v>
      </c>
      <c r="E68">
        <v>315</v>
      </c>
      <c r="F68">
        <v>2923</v>
      </c>
      <c r="G68" s="7">
        <f t="shared" si="3"/>
        <v>24</v>
      </c>
      <c r="H68" s="4">
        <f t="shared" si="4"/>
        <v>8.2107423879576036E-3</v>
      </c>
      <c r="I68" s="1">
        <f t="shared" si="5"/>
        <v>5</v>
      </c>
    </row>
    <row r="69" spans="1:9" hidden="1" x14ac:dyDescent="0.2">
      <c r="A69" s="6">
        <v>43951.708333333336</v>
      </c>
      <c r="B69" s="1" t="s">
        <v>6</v>
      </c>
      <c r="C69">
        <v>306</v>
      </c>
      <c r="D69">
        <v>16</v>
      </c>
      <c r="E69">
        <v>320</v>
      </c>
      <c r="F69">
        <v>2930</v>
      </c>
      <c r="G69" s="7">
        <f t="shared" si="3"/>
        <v>7</v>
      </c>
      <c r="H69" s="4">
        <f t="shared" si="4"/>
        <v>2.3890784982935065E-3</v>
      </c>
      <c r="I69" s="1">
        <f t="shared" si="5"/>
        <v>5</v>
      </c>
    </row>
    <row r="70" spans="1:9" hidden="1" x14ac:dyDescent="0.2">
      <c r="A70" s="6">
        <v>43952.708333333336</v>
      </c>
      <c r="B70" s="1" t="s">
        <v>6</v>
      </c>
      <c r="C70">
        <v>297</v>
      </c>
      <c r="D70">
        <v>16</v>
      </c>
      <c r="E70">
        <v>324</v>
      </c>
      <c r="F70">
        <v>2948</v>
      </c>
      <c r="G70" s="7">
        <f t="shared" si="3"/>
        <v>18</v>
      </c>
      <c r="H70" s="4">
        <f t="shared" si="4"/>
        <v>6.105834464043447E-3</v>
      </c>
      <c r="I70" s="1">
        <f t="shared" si="5"/>
        <v>4</v>
      </c>
    </row>
    <row r="71" spans="1:9" hidden="1" x14ac:dyDescent="0.2">
      <c r="A71" s="6">
        <v>43953.708333333336</v>
      </c>
      <c r="B71" s="1" t="s">
        <v>6</v>
      </c>
      <c r="C71">
        <v>303</v>
      </c>
      <c r="D71">
        <v>16</v>
      </c>
      <c r="E71">
        <v>327</v>
      </c>
      <c r="F71">
        <v>2964</v>
      </c>
      <c r="G71" s="7">
        <f t="shared" si="3"/>
        <v>16</v>
      </c>
      <c r="H71" s="4">
        <f t="shared" si="4"/>
        <v>5.3981106612686069E-3</v>
      </c>
      <c r="I71" s="1">
        <f t="shared" si="5"/>
        <v>3</v>
      </c>
    </row>
    <row r="72" spans="1:9" hidden="1" x14ac:dyDescent="0.2">
      <c r="A72" s="6">
        <v>43954.708333333336</v>
      </c>
      <c r="B72" s="1" t="s">
        <v>6</v>
      </c>
      <c r="C72">
        <v>300</v>
      </c>
      <c r="D72">
        <v>16</v>
      </c>
      <c r="E72">
        <v>330</v>
      </c>
      <c r="F72">
        <v>2996</v>
      </c>
      <c r="G72" s="7">
        <f t="shared" si="3"/>
        <v>32</v>
      </c>
      <c r="H72" s="4">
        <f t="shared" si="4"/>
        <v>1.0680907877169576E-2</v>
      </c>
      <c r="I72" s="1">
        <f t="shared" si="5"/>
        <v>3</v>
      </c>
    </row>
    <row r="73" spans="1:9" hidden="1" x14ac:dyDescent="0.2">
      <c r="A73" s="6">
        <v>43955.708333333336</v>
      </c>
      <c r="B73" s="1" t="s">
        <v>6</v>
      </c>
      <c r="C73">
        <v>301</v>
      </c>
      <c r="D73">
        <v>15</v>
      </c>
      <c r="E73">
        <v>332</v>
      </c>
      <c r="F73">
        <v>3000</v>
      </c>
      <c r="G73" s="7">
        <f t="shared" si="3"/>
        <v>4</v>
      </c>
      <c r="H73" s="4">
        <f t="shared" si="4"/>
        <v>1.3333333333332975E-3</v>
      </c>
      <c r="I73" s="1">
        <f t="shared" si="5"/>
        <v>2</v>
      </c>
    </row>
    <row r="74" spans="1:9" hidden="1" x14ac:dyDescent="0.2">
      <c r="A74" s="6">
        <v>43956.708333333336</v>
      </c>
      <c r="B74" s="1" t="s">
        <v>6</v>
      </c>
      <c r="C74">
        <v>289</v>
      </c>
      <c r="D74">
        <v>11</v>
      </c>
      <c r="E74">
        <v>335</v>
      </c>
      <c r="F74">
        <v>3025</v>
      </c>
      <c r="G74" s="7">
        <f t="shared" si="3"/>
        <v>25</v>
      </c>
      <c r="H74" s="4">
        <f t="shared" si="4"/>
        <v>8.2644628099173278E-3</v>
      </c>
      <c r="I74" s="1">
        <f t="shared" si="5"/>
        <v>3</v>
      </c>
    </row>
    <row r="75" spans="1:9" hidden="1" x14ac:dyDescent="0.2">
      <c r="A75" s="6">
        <v>43957.708333333336</v>
      </c>
      <c r="B75" s="1" t="s">
        <v>6</v>
      </c>
      <c r="C75">
        <v>285</v>
      </c>
      <c r="D75">
        <v>11</v>
      </c>
      <c r="E75">
        <v>341</v>
      </c>
      <c r="F75">
        <v>3047</v>
      </c>
      <c r="G75" s="7">
        <f t="shared" si="3"/>
        <v>22</v>
      </c>
      <c r="H75" s="4">
        <f t="shared" si="4"/>
        <v>7.2202166064981865E-3</v>
      </c>
      <c r="I75" s="1">
        <f t="shared" si="5"/>
        <v>6</v>
      </c>
    </row>
    <row r="76" spans="1:9" hidden="1" x14ac:dyDescent="0.2">
      <c r="A76" s="6">
        <v>43958.708333333336</v>
      </c>
      <c r="B76" s="1" t="s">
        <v>6</v>
      </c>
      <c r="C76">
        <v>263</v>
      </c>
      <c r="D76">
        <v>12</v>
      </c>
      <c r="E76">
        <v>348</v>
      </c>
      <c r="F76">
        <v>3072</v>
      </c>
      <c r="G76" s="7">
        <f t="shared" si="3"/>
        <v>25</v>
      </c>
      <c r="H76" s="4">
        <f t="shared" si="4"/>
        <v>8.1380208333333703E-3</v>
      </c>
      <c r="I76" s="1">
        <f t="shared" si="5"/>
        <v>7</v>
      </c>
    </row>
    <row r="77" spans="1:9" hidden="1" x14ac:dyDescent="0.2">
      <c r="A77" s="6">
        <v>43959.708333333336</v>
      </c>
      <c r="B77" s="1" t="s">
        <v>6</v>
      </c>
      <c r="C77">
        <v>250</v>
      </c>
      <c r="D77">
        <v>10</v>
      </c>
      <c r="E77">
        <v>351</v>
      </c>
      <c r="F77">
        <v>3078</v>
      </c>
      <c r="G77" s="7">
        <f t="shared" si="3"/>
        <v>6</v>
      </c>
      <c r="H77" s="4">
        <f t="shared" si="4"/>
        <v>1.9493177387914784E-3</v>
      </c>
      <c r="I77" s="1">
        <f t="shared" si="5"/>
        <v>3</v>
      </c>
    </row>
    <row r="78" spans="1:9" hidden="1" x14ac:dyDescent="0.2">
      <c r="A78" s="6">
        <v>43960.708333333336</v>
      </c>
      <c r="B78" s="1" t="s">
        <v>6</v>
      </c>
      <c r="C78">
        <v>246</v>
      </c>
      <c r="D78">
        <v>10</v>
      </c>
      <c r="E78">
        <v>355</v>
      </c>
      <c r="F78">
        <v>3086</v>
      </c>
      <c r="G78" s="7">
        <f t="shared" si="3"/>
        <v>8</v>
      </c>
      <c r="H78" s="4">
        <f t="shared" si="4"/>
        <v>2.5923525599481634E-3</v>
      </c>
      <c r="I78" s="1">
        <f t="shared" si="5"/>
        <v>4</v>
      </c>
    </row>
    <row r="79" spans="1:9" hidden="1" x14ac:dyDescent="0.2">
      <c r="A79" s="6">
        <v>43961.708333333336</v>
      </c>
      <c r="B79" s="1" t="s">
        <v>6</v>
      </c>
      <c r="C79">
        <v>233</v>
      </c>
      <c r="D79">
        <v>10</v>
      </c>
      <c r="E79">
        <v>359</v>
      </c>
      <c r="F79">
        <v>3103</v>
      </c>
      <c r="G79" s="7">
        <f t="shared" si="3"/>
        <v>17</v>
      </c>
      <c r="H79" s="4">
        <f t="shared" si="4"/>
        <v>5.4785691266516778E-3</v>
      </c>
      <c r="I79" s="1">
        <f t="shared" si="5"/>
        <v>4</v>
      </c>
    </row>
    <row r="80" spans="1:9" hidden="1" x14ac:dyDescent="0.2">
      <c r="A80" s="6">
        <v>43962.708333333336</v>
      </c>
      <c r="B80" s="1" t="s">
        <v>6</v>
      </c>
      <c r="C80">
        <v>231</v>
      </c>
      <c r="D80">
        <v>9</v>
      </c>
      <c r="E80">
        <v>366</v>
      </c>
      <c r="F80">
        <v>3107</v>
      </c>
      <c r="G80" s="7">
        <f t="shared" si="3"/>
        <v>4</v>
      </c>
      <c r="H80" s="4">
        <f t="shared" si="4"/>
        <v>1.287415513356982E-3</v>
      </c>
      <c r="I80" s="1">
        <f t="shared" si="5"/>
        <v>7</v>
      </c>
    </row>
    <row r="81" spans="1:9" hidden="1" x14ac:dyDescent="0.2">
      <c r="A81" s="6">
        <v>43963.708333333336</v>
      </c>
      <c r="B81" s="1" t="s">
        <v>6</v>
      </c>
      <c r="C81">
        <v>222</v>
      </c>
      <c r="D81">
        <v>8</v>
      </c>
      <c r="E81">
        <v>370</v>
      </c>
      <c r="F81">
        <v>3115</v>
      </c>
      <c r="G81" s="7">
        <f t="shared" si="3"/>
        <v>8</v>
      </c>
      <c r="H81" s="4">
        <f t="shared" si="4"/>
        <v>2.5682182985553581E-3</v>
      </c>
      <c r="I81" s="1">
        <f t="shared" si="5"/>
        <v>4</v>
      </c>
    </row>
    <row r="82" spans="1:9" hidden="1" x14ac:dyDescent="0.2">
      <c r="A82" s="6">
        <v>43964.708333333336</v>
      </c>
      <c r="B82" s="1" t="s">
        <v>6</v>
      </c>
      <c r="C82">
        <v>214</v>
      </c>
      <c r="D82">
        <v>7</v>
      </c>
      <c r="E82">
        <v>375</v>
      </c>
      <c r="F82">
        <v>3127</v>
      </c>
      <c r="G82" s="7">
        <f t="shared" si="3"/>
        <v>12</v>
      </c>
      <c r="H82" s="4">
        <f t="shared" si="4"/>
        <v>3.8375439718579818E-3</v>
      </c>
      <c r="I82" s="1">
        <f t="shared" si="5"/>
        <v>5</v>
      </c>
    </row>
    <row r="83" spans="1:9" hidden="1" x14ac:dyDescent="0.2">
      <c r="A83" s="6">
        <v>43965.708333333336</v>
      </c>
      <c r="B83" s="1" t="s">
        <v>6</v>
      </c>
      <c r="C83">
        <v>215</v>
      </c>
      <c r="D83">
        <v>6</v>
      </c>
      <c r="E83">
        <v>379</v>
      </c>
      <c r="F83">
        <v>3136</v>
      </c>
      <c r="G83" s="7">
        <f t="shared" si="3"/>
        <v>9</v>
      </c>
      <c r="H83" s="4">
        <f t="shared" si="4"/>
        <v>2.8698979591836871E-3</v>
      </c>
      <c r="I83" s="1">
        <f t="shared" si="5"/>
        <v>4</v>
      </c>
    </row>
    <row r="84" spans="1:9" hidden="1" x14ac:dyDescent="0.2">
      <c r="A84" s="6">
        <v>43966.708333333336</v>
      </c>
      <c r="B84" s="1" t="s">
        <v>6</v>
      </c>
      <c r="C84">
        <v>205</v>
      </c>
      <c r="D84">
        <v>6</v>
      </c>
      <c r="E84">
        <v>381</v>
      </c>
      <c r="F84">
        <v>3148</v>
      </c>
      <c r="G84" s="7">
        <f t="shared" si="3"/>
        <v>12</v>
      </c>
      <c r="H84" s="4">
        <f t="shared" si="4"/>
        <v>3.8119440914866631E-3</v>
      </c>
      <c r="I84" s="1">
        <f t="shared" si="5"/>
        <v>2</v>
      </c>
    </row>
    <row r="85" spans="1:9" hidden="1" x14ac:dyDescent="0.2">
      <c r="A85" s="6">
        <v>43967.708333333336</v>
      </c>
      <c r="B85" s="1" t="s">
        <v>6</v>
      </c>
      <c r="C85">
        <v>195</v>
      </c>
      <c r="D85">
        <v>7</v>
      </c>
      <c r="E85">
        <v>383</v>
      </c>
      <c r="F85">
        <v>3178</v>
      </c>
      <c r="G85" s="7">
        <f t="shared" si="3"/>
        <v>30</v>
      </c>
      <c r="H85" s="4">
        <f t="shared" si="4"/>
        <v>9.4398993077406956E-3</v>
      </c>
      <c r="I85" s="1">
        <f t="shared" si="5"/>
        <v>2</v>
      </c>
    </row>
    <row r="86" spans="1:9" hidden="1" x14ac:dyDescent="0.2">
      <c r="A86" s="6">
        <v>43968.708333333336</v>
      </c>
      <c r="B86" s="1" t="s">
        <v>6</v>
      </c>
      <c r="C86">
        <v>193</v>
      </c>
      <c r="D86">
        <v>6</v>
      </c>
      <c r="E86">
        <v>385</v>
      </c>
      <c r="F86">
        <v>3186</v>
      </c>
      <c r="G86" s="7">
        <f t="shared" si="3"/>
        <v>8</v>
      </c>
      <c r="H86" s="4">
        <f t="shared" si="4"/>
        <v>2.5109855618330457E-3</v>
      </c>
      <c r="I86" s="1">
        <f t="shared" si="5"/>
        <v>2</v>
      </c>
    </row>
    <row r="87" spans="1:9" hidden="1" x14ac:dyDescent="0.2">
      <c r="A87" s="6">
        <v>43969.708333333336</v>
      </c>
      <c r="B87" s="1" t="s">
        <v>6</v>
      </c>
      <c r="C87">
        <v>191</v>
      </c>
      <c r="D87">
        <v>6</v>
      </c>
      <c r="E87">
        <v>388</v>
      </c>
      <c r="F87">
        <v>3193</v>
      </c>
      <c r="G87" s="7">
        <f t="shared" si="3"/>
        <v>7</v>
      </c>
      <c r="H87" s="4">
        <f t="shared" si="4"/>
        <v>2.1922956467271826E-3</v>
      </c>
      <c r="I87" s="1">
        <f t="shared" si="5"/>
        <v>3</v>
      </c>
    </row>
    <row r="88" spans="1:9" hidden="1" x14ac:dyDescent="0.2">
      <c r="A88" s="6">
        <v>43970.708333333336</v>
      </c>
      <c r="B88" s="1" t="s">
        <v>6</v>
      </c>
      <c r="C88">
        <v>188</v>
      </c>
      <c r="D88">
        <v>6</v>
      </c>
      <c r="E88">
        <v>389</v>
      </c>
      <c r="F88">
        <v>3197</v>
      </c>
      <c r="G88" s="7">
        <f t="shared" si="3"/>
        <v>4</v>
      </c>
      <c r="H88" s="4">
        <f t="shared" si="4"/>
        <v>1.2511729746637057E-3</v>
      </c>
      <c r="I88" s="1">
        <f t="shared" si="5"/>
        <v>1</v>
      </c>
    </row>
    <row r="89" spans="1:9" hidden="1" x14ac:dyDescent="0.2">
      <c r="A89" s="6">
        <v>43971.708333333336</v>
      </c>
      <c r="B89" s="1" t="s">
        <v>6</v>
      </c>
      <c r="C89">
        <v>185</v>
      </c>
      <c r="D89">
        <v>6</v>
      </c>
      <c r="E89">
        <v>389</v>
      </c>
      <c r="F89">
        <v>3205</v>
      </c>
      <c r="G89" s="7">
        <f t="shared" si="3"/>
        <v>8</v>
      </c>
      <c r="H89" s="4">
        <f t="shared" si="4"/>
        <v>2.4960998439937931E-3</v>
      </c>
      <c r="I89" s="1">
        <f t="shared" si="5"/>
        <v>0</v>
      </c>
    </row>
    <row r="90" spans="1:9" hidden="1" x14ac:dyDescent="0.2">
      <c r="A90" s="6">
        <v>43972.708333333336</v>
      </c>
      <c r="B90" s="1" t="s">
        <v>6</v>
      </c>
      <c r="C90">
        <v>175</v>
      </c>
      <c r="D90">
        <v>5</v>
      </c>
      <c r="E90">
        <v>391</v>
      </c>
      <c r="F90">
        <v>3212</v>
      </c>
      <c r="G90" s="7">
        <f t="shared" si="3"/>
        <v>7</v>
      </c>
      <c r="H90" s="4">
        <f t="shared" si="4"/>
        <v>2.1793275217932839E-3</v>
      </c>
      <c r="I90" s="1">
        <f t="shared" si="5"/>
        <v>2</v>
      </c>
    </row>
    <row r="91" spans="1:9" hidden="1" x14ac:dyDescent="0.2">
      <c r="A91" s="6">
        <v>43973.708333333336</v>
      </c>
      <c r="B91" s="1" t="s">
        <v>6</v>
      </c>
      <c r="C91">
        <v>157</v>
      </c>
      <c r="D91">
        <v>4</v>
      </c>
      <c r="E91">
        <v>394</v>
      </c>
      <c r="F91">
        <v>3220</v>
      </c>
      <c r="G91" s="7">
        <f t="shared" si="3"/>
        <v>8</v>
      </c>
      <c r="H91" s="4">
        <f t="shared" si="4"/>
        <v>2.4844720496894901E-3</v>
      </c>
      <c r="I91" s="1">
        <f t="shared" si="5"/>
        <v>3</v>
      </c>
    </row>
    <row r="92" spans="1:9" hidden="1" x14ac:dyDescent="0.2">
      <c r="A92" s="6">
        <v>43974.708333333336</v>
      </c>
      <c r="B92" s="1" t="s">
        <v>6</v>
      </c>
      <c r="C92">
        <v>156</v>
      </c>
      <c r="D92">
        <v>4</v>
      </c>
      <c r="E92">
        <v>394</v>
      </c>
      <c r="F92">
        <v>3221</v>
      </c>
      <c r="G92" s="7">
        <f t="shared" si="3"/>
        <v>1</v>
      </c>
      <c r="H92" s="4">
        <f t="shared" si="4"/>
        <v>3.104625892580426E-4</v>
      </c>
      <c r="I92" s="1">
        <f t="shared" si="5"/>
        <v>0</v>
      </c>
    </row>
    <row r="93" spans="1:9" hidden="1" x14ac:dyDescent="0.2">
      <c r="A93" s="6">
        <v>43975.708333333336</v>
      </c>
      <c r="B93" s="1" t="s">
        <v>6</v>
      </c>
      <c r="C93">
        <v>149</v>
      </c>
      <c r="D93">
        <v>3</v>
      </c>
      <c r="E93">
        <v>398</v>
      </c>
      <c r="F93">
        <v>3226</v>
      </c>
      <c r="G93" s="7">
        <f t="shared" si="3"/>
        <v>5</v>
      </c>
      <c r="H93" s="4">
        <f t="shared" si="4"/>
        <v>1.5499070055796649E-3</v>
      </c>
      <c r="I93" s="1">
        <f t="shared" si="5"/>
        <v>4</v>
      </c>
    </row>
    <row r="94" spans="1:9" hidden="1" x14ac:dyDescent="0.2">
      <c r="A94" s="6">
        <v>43976.708333333336</v>
      </c>
      <c r="B94" s="1" t="s">
        <v>6</v>
      </c>
      <c r="C94">
        <v>149</v>
      </c>
      <c r="D94">
        <v>3</v>
      </c>
      <c r="E94">
        <v>400</v>
      </c>
      <c r="F94">
        <v>3227</v>
      </c>
      <c r="G94" s="7">
        <f t="shared" si="3"/>
        <v>1</v>
      </c>
      <c r="H94" s="4">
        <f t="shared" si="4"/>
        <v>3.0988534242326615E-4</v>
      </c>
      <c r="I94" s="1">
        <f t="shared" si="5"/>
        <v>2</v>
      </c>
    </row>
    <row r="95" spans="1:9" hidden="1" x14ac:dyDescent="0.2">
      <c r="A95" s="6">
        <v>43977.708333333336</v>
      </c>
      <c r="B95" s="1" t="s">
        <v>6</v>
      </c>
      <c r="C95">
        <v>142</v>
      </c>
      <c r="D95">
        <v>3</v>
      </c>
      <c r="E95">
        <v>400</v>
      </c>
      <c r="F95">
        <v>3230</v>
      </c>
      <c r="G95" s="7">
        <f t="shared" si="3"/>
        <v>3</v>
      </c>
      <c r="H95" s="4">
        <f t="shared" si="4"/>
        <v>9.2879256965949786E-4</v>
      </c>
      <c r="I95" s="1">
        <f t="shared" si="5"/>
        <v>0</v>
      </c>
    </row>
    <row r="96" spans="1:9" hidden="1" x14ac:dyDescent="0.2">
      <c r="A96" s="6">
        <v>43978.708333333336</v>
      </c>
      <c r="B96" s="1" t="s">
        <v>6</v>
      </c>
      <c r="C96">
        <v>138</v>
      </c>
      <c r="D96">
        <v>3</v>
      </c>
      <c r="E96">
        <v>400</v>
      </c>
      <c r="F96">
        <v>3235</v>
      </c>
      <c r="G96" s="7">
        <f t="shared" si="3"/>
        <v>5</v>
      </c>
      <c r="H96" s="4">
        <f t="shared" si="4"/>
        <v>1.5455950540957941E-3</v>
      </c>
      <c r="I96" s="1">
        <f t="shared" si="5"/>
        <v>0</v>
      </c>
    </row>
    <row r="97" spans="1:9" hidden="1" x14ac:dyDescent="0.2">
      <c r="A97" s="6">
        <v>43979.708333333336</v>
      </c>
      <c r="B97" s="1" t="s">
        <v>6</v>
      </c>
      <c r="C97">
        <v>128</v>
      </c>
      <c r="D97">
        <v>3</v>
      </c>
      <c r="E97">
        <v>402</v>
      </c>
      <c r="F97">
        <v>3237</v>
      </c>
      <c r="G97" s="7">
        <f t="shared" si="3"/>
        <v>2</v>
      </c>
      <c r="H97" s="4">
        <f t="shared" si="4"/>
        <v>6.1785603954278567E-4</v>
      </c>
      <c r="I97" s="1">
        <f t="shared" si="5"/>
        <v>2</v>
      </c>
    </row>
    <row r="98" spans="1:9" hidden="1" x14ac:dyDescent="0.2">
      <c r="A98" s="6">
        <v>43980.708333333336</v>
      </c>
      <c r="B98" s="1" t="s">
        <v>6</v>
      </c>
      <c r="C98">
        <v>122</v>
      </c>
      <c r="D98">
        <v>3</v>
      </c>
      <c r="E98">
        <v>404</v>
      </c>
      <c r="F98">
        <v>3237</v>
      </c>
      <c r="G98" s="7">
        <f t="shared" si="3"/>
        <v>0</v>
      </c>
      <c r="H98" s="4">
        <f t="shared" si="4"/>
        <v>0</v>
      </c>
      <c r="I98" s="1">
        <f t="shared" si="5"/>
        <v>2</v>
      </c>
    </row>
    <row r="99" spans="1:9" hidden="1" x14ac:dyDescent="0.2">
      <c r="A99" s="6">
        <v>43981.708333333336</v>
      </c>
      <c r="B99" s="1" t="s">
        <v>6</v>
      </c>
      <c r="C99">
        <v>122</v>
      </c>
      <c r="D99">
        <v>3</v>
      </c>
      <c r="E99">
        <v>404</v>
      </c>
      <c r="F99">
        <v>3237</v>
      </c>
      <c r="G99" s="7">
        <f t="shared" si="3"/>
        <v>0</v>
      </c>
      <c r="H99" s="4">
        <f t="shared" si="4"/>
        <v>0</v>
      </c>
      <c r="I99" s="1">
        <f t="shared" si="5"/>
        <v>0</v>
      </c>
    </row>
    <row r="100" spans="1:9" hidden="1" x14ac:dyDescent="0.2">
      <c r="A100" s="6">
        <v>43982.708333333336</v>
      </c>
      <c r="B100" s="1" t="s">
        <v>6</v>
      </c>
      <c r="C100">
        <v>104</v>
      </c>
      <c r="D100">
        <v>4</v>
      </c>
      <c r="E100">
        <v>405</v>
      </c>
      <c r="F100">
        <v>3244</v>
      </c>
      <c r="G100" s="7">
        <f t="shared" si="3"/>
        <v>7</v>
      </c>
      <c r="H100" s="4">
        <f t="shared" si="4"/>
        <v>2.1578298397040285E-3</v>
      </c>
      <c r="I100" s="1">
        <f t="shared" si="5"/>
        <v>1</v>
      </c>
    </row>
    <row r="101" spans="1:9" hidden="1" x14ac:dyDescent="0.2">
      <c r="A101" s="6">
        <v>43983.708333333336</v>
      </c>
      <c r="B101" s="1" t="s">
        <v>6</v>
      </c>
      <c r="C101">
        <v>113</v>
      </c>
      <c r="D101">
        <v>6</v>
      </c>
      <c r="E101">
        <v>408</v>
      </c>
      <c r="F101">
        <v>3245</v>
      </c>
      <c r="G101" s="7">
        <f t="shared" si="3"/>
        <v>1</v>
      </c>
      <c r="H101" s="4">
        <f t="shared" si="4"/>
        <v>3.0816640986131016E-4</v>
      </c>
      <c r="I101" s="1">
        <f t="shared" si="5"/>
        <v>3</v>
      </c>
    </row>
    <row r="102" spans="1:9" hidden="1" x14ac:dyDescent="0.2">
      <c r="A102" s="6">
        <v>43984.708333333336</v>
      </c>
      <c r="B102" s="1" t="s">
        <v>6</v>
      </c>
      <c r="C102">
        <v>113</v>
      </c>
      <c r="D102">
        <v>6</v>
      </c>
      <c r="E102">
        <v>413</v>
      </c>
      <c r="F102">
        <v>3249</v>
      </c>
      <c r="G102" s="7">
        <f t="shared" si="3"/>
        <v>4</v>
      </c>
      <c r="H102" s="4">
        <f t="shared" si="4"/>
        <v>1.2311480455524659E-3</v>
      </c>
      <c r="I102" s="1">
        <f t="shared" si="5"/>
        <v>5</v>
      </c>
    </row>
    <row r="103" spans="1:9" hidden="1" x14ac:dyDescent="0.2">
      <c r="A103" s="6">
        <v>43985.708333333336</v>
      </c>
      <c r="B103" s="1" t="s">
        <v>6</v>
      </c>
      <c r="C103">
        <v>112</v>
      </c>
      <c r="D103">
        <v>3</v>
      </c>
      <c r="E103">
        <v>414</v>
      </c>
      <c r="F103">
        <v>3252</v>
      </c>
      <c r="G103" s="7">
        <f t="shared" si="3"/>
        <v>3</v>
      </c>
      <c r="H103" s="4">
        <f t="shared" si="4"/>
        <v>9.2250922509229394E-4</v>
      </c>
      <c r="I103" s="1">
        <f t="shared" si="5"/>
        <v>1</v>
      </c>
    </row>
    <row r="104" spans="1:9" hidden="1" x14ac:dyDescent="0.2">
      <c r="A104" s="6">
        <v>43986.708333333336</v>
      </c>
      <c r="B104" s="1" t="s">
        <v>6</v>
      </c>
      <c r="C104">
        <v>109</v>
      </c>
      <c r="D104">
        <v>3</v>
      </c>
      <c r="E104">
        <v>415</v>
      </c>
      <c r="F104">
        <v>3255</v>
      </c>
      <c r="G104" s="7">
        <f t="shared" si="3"/>
        <v>3</v>
      </c>
      <c r="H104" s="4">
        <f t="shared" si="4"/>
        <v>9.2165898617513342E-4</v>
      </c>
      <c r="I104" s="1">
        <f t="shared" si="5"/>
        <v>1</v>
      </c>
    </row>
    <row r="105" spans="1:9" hidden="1" x14ac:dyDescent="0.2">
      <c r="A105" s="6">
        <v>43987.708333333336</v>
      </c>
      <c r="B105" s="1" t="s">
        <v>6</v>
      </c>
      <c r="C105">
        <v>103</v>
      </c>
      <c r="D105">
        <v>4</v>
      </c>
      <c r="E105">
        <v>415</v>
      </c>
      <c r="F105">
        <v>3257</v>
      </c>
      <c r="G105" s="7">
        <f t="shared" si="3"/>
        <v>2</v>
      </c>
      <c r="H105" s="4">
        <f t="shared" si="4"/>
        <v>6.14062020264039E-4</v>
      </c>
      <c r="I105" s="1">
        <f t="shared" si="5"/>
        <v>0</v>
      </c>
    </row>
    <row r="106" spans="1:9" hidden="1" x14ac:dyDescent="0.2">
      <c r="A106" s="6">
        <v>43988.708333333336</v>
      </c>
      <c r="B106" s="1" t="s">
        <v>6</v>
      </c>
      <c r="C106">
        <v>96</v>
      </c>
      <c r="D106">
        <v>3</v>
      </c>
      <c r="E106">
        <v>418</v>
      </c>
      <c r="F106">
        <v>3258</v>
      </c>
      <c r="G106" s="7">
        <f t="shared" si="3"/>
        <v>1</v>
      </c>
      <c r="H106" s="4">
        <f t="shared" si="4"/>
        <v>3.0693677102522354E-4</v>
      </c>
      <c r="I106" s="1">
        <f t="shared" si="5"/>
        <v>3</v>
      </c>
    </row>
    <row r="107" spans="1:9" hidden="1" x14ac:dyDescent="0.2">
      <c r="A107" s="6">
        <v>43989.708333333336</v>
      </c>
      <c r="B107" s="1" t="s">
        <v>6</v>
      </c>
      <c r="C107">
        <v>88</v>
      </c>
      <c r="D107">
        <v>4</v>
      </c>
      <c r="E107">
        <v>418</v>
      </c>
      <c r="F107">
        <v>3265</v>
      </c>
      <c r="G107" s="7">
        <f t="shared" si="3"/>
        <v>7</v>
      </c>
      <c r="H107" s="4">
        <f t="shared" si="4"/>
        <v>2.1439509954058744E-3</v>
      </c>
      <c r="I107" s="1">
        <f t="shared" si="5"/>
        <v>0</v>
      </c>
    </row>
    <row r="108" spans="1:9" hidden="1" x14ac:dyDescent="0.2">
      <c r="A108" s="6">
        <v>43990.708333333336</v>
      </c>
      <c r="B108" s="1" t="s">
        <v>6</v>
      </c>
      <c r="C108">
        <v>89</v>
      </c>
      <c r="D108">
        <v>4</v>
      </c>
      <c r="E108">
        <v>418</v>
      </c>
      <c r="F108">
        <v>3265</v>
      </c>
      <c r="G108" s="7">
        <f t="shared" si="3"/>
        <v>0</v>
      </c>
      <c r="H108" s="4">
        <f t="shared" si="4"/>
        <v>0</v>
      </c>
      <c r="I108" s="1">
        <f t="shared" si="5"/>
        <v>0</v>
      </c>
    </row>
    <row r="109" spans="1:9" hidden="1" x14ac:dyDescent="0.2">
      <c r="A109" s="6">
        <v>43991.708333333336</v>
      </c>
      <c r="B109" s="1" t="s">
        <v>6</v>
      </c>
      <c r="C109">
        <v>91</v>
      </c>
      <c r="D109">
        <v>4</v>
      </c>
      <c r="E109">
        <v>451</v>
      </c>
      <c r="F109">
        <v>3266</v>
      </c>
      <c r="G109" s="7">
        <f t="shared" si="3"/>
        <v>1</v>
      </c>
      <c r="H109" s="4">
        <f t="shared" si="4"/>
        <v>3.0618493570111482E-4</v>
      </c>
      <c r="I109" s="1">
        <f t="shared" si="5"/>
        <v>33</v>
      </c>
    </row>
    <row r="110" spans="1:9" hidden="1" x14ac:dyDescent="0.2">
      <c r="A110" s="6">
        <v>43992.708333333336</v>
      </c>
      <c r="B110" s="1" t="s">
        <v>6</v>
      </c>
      <c r="C110">
        <v>83</v>
      </c>
      <c r="D110">
        <v>5</v>
      </c>
      <c r="E110">
        <v>453</v>
      </c>
      <c r="F110">
        <v>3266</v>
      </c>
      <c r="G110" s="7">
        <f t="shared" si="3"/>
        <v>0</v>
      </c>
      <c r="H110" s="4">
        <f t="shared" si="4"/>
        <v>0</v>
      </c>
      <c r="I110" s="1">
        <f t="shared" si="5"/>
        <v>2</v>
      </c>
    </row>
    <row r="111" spans="1:9" hidden="1" x14ac:dyDescent="0.2">
      <c r="A111" s="6">
        <v>43993.708333333336</v>
      </c>
      <c r="B111" s="1" t="s">
        <v>6</v>
      </c>
      <c r="C111">
        <v>81</v>
      </c>
      <c r="D111">
        <v>5</v>
      </c>
      <c r="E111">
        <v>453</v>
      </c>
      <c r="F111">
        <v>3267</v>
      </c>
      <c r="G111" s="7">
        <f t="shared" si="3"/>
        <v>1</v>
      </c>
      <c r="H111" s="4">
        <f t="shared" si="4"/>
        <v>3.0609121518210269E-4</v>
      </c>
      <c r="I111" s="1">
        <f t="shared" si="5"/>
        <v>0</v>
      </c>
    </row>
    <row r="112" spans="1:9" hidden="1" x14ac:dyDescent="0.2">
      <c r="A112" s="6">
        <v>43994.708333333336</v>
      </c>
      <c r="B112" s="1" t="s">
        <v>6</v>
      </c>
      <c r="C112">
        <v>76</v>
      </c>
      <c r="D112">
        <v>4</v>
      </c>
      <c r="E112">
        <v>453</v>
      </c>
      <c r="F112">
        <v>3271</v>
      </c>
      <c r="G112" s="7">
        <f t="shared" si="3"/>
        <v>4</v>
      </c>
      <c r="H112" s="4">
        <f t="shared" si="4"/>
        <v>1.2228676245796821E-3</v>
      </c>
      <c r="I112" s="1">
        <f t="shared" si="5"/>
        <v>0</v>
      </c>
    </row>
    <row r="113" spans="1:9" hidden="1" x14ac:dyDescent="0.2">
      <c r="A113" s="6">
        <v>43995.708333333336</v>
      </c>
      <c r="B113" s="1" t="s">
        <v>6</v>
      </c>
      <c r="C113">
        <v>72</v>
      </c>
      <c r="D113">
        <v>4</v>
      </c>
      <c r="E113">
        <v>454</v>
      </c>
      <c r="F113">
        <v>3275</v>
      </c>
      <c r="G113" s="7">
        <f t="shared" si="3"/>
        <v>4</v>
      </c>
      <c r="H113" s="4">
        <f t="shared" si="4"/>
        <v>1.221374045801582E-3</v>
      </c>
      <c r="I113" s="1">
        <f t="shared" si="5"/>
        <v>1</v>
      </c>
    </row>
    <row r="114" spans="1:9" hidden="1" x14ac:dyDescent="0.2">
      <c r="A114" s="6">
        <v>43996.708333333336</v>
      </c>
      <c r="B114" s="1" t="s">
        <v>6</v>
      </c>
      <c r="C114">
        <v>71</v>
      </c>
      <c r="D114">
        <v>4</v>
      </c>
      <c r="E114">
        <v>456</v>
      </c>
      <c r="F114">
        <v>3279</v>
      </c>
      <c r="G114" s="7">
        <f t="shared" si="3"/>
        <v>4</v>
      </c>
      <c r="H114" s="4">
        <f t="shared" si="4"/>
        <v>1.2198841110094838E-3</v>
      </c>
      <c r="I114" s="1">
        <f t="shared" si="5"/>
        <v>2</v>
      </c>
    </row>
    <row r="115" spans="1:9" hidden="1" x14ac:dyDescent="0.2">
      <c r="A115" s="6">
        <v>43997.708333333336</v>
      </c>
      <c r="B115" s="1" t="s">
        <v>6</v>
      </c>
      <c r="C115">
        <v>71</v>
      </c>
      <c r="D115">
        <v>3</v>
      </c>
      <c r="E115">
        <v>456</v>
      </c>
      <c r="F115">
        <v>3279</v>
      </c>
      <c r="G115" s="7">
        <f t="shared" si="3"/>
        <v>0</v>
      </c>
      <c r="H115" s="4">
        <f t="shared" si="4"/>
        <v>0</v>
      </c>
      <c r="I115" s="1">
        <f t="shared" si="5"/>
        <v>0</v>
      </c>
    </row>
    <row r="116" spans="1:9" hidden="1" x14ac:dyDescent="0.2">
      <c r="A116" s="6">
        <v>43998.708333333336</v>
      </c>
      <c r="B116" s="1" t="s">
        <v>6</v>
      </c>
      <c r="C116">
        <v>67</v>
      </c>
      <c r="D116">
        <v>3</v>
      </c>
      <c r="E116">
        <v>457</v>
      </c>
      <c r="F116">
        <v>3280</v>
      </c>
      <c r="G116" s="7">
        <f t="shared" si="3"/>
        <v>1</v>
      </c>
      <c r="H116" s="4">
        <f t="shared" si="4"/>
        <v>3.0487804878043256E-4</v>
      </c>
      <c r="I116" s="1">
        <f t="shared" si="5"/>
        <v>1</v>
      </c>
    </row>
    <row r="117" spans="1:9" hidden="1" x14ac:dyDescent="0.2">
      <c r="A117" s="6">
        <v>43999.708333333336</v>
      </c>
      <c r="B117" s="1" t="s">
        <v>6</v>
      </c>
      <c r="C117">
        <v>61</v>
      </c>
      <c r="D117">
        <v>2</v>
      </c>
      <c r="E117">
        <v>457</v>
      </c>
      <c r="F117">
        <v>3281</v>
      </c>
      <c r="G117" s="7">
        <f t="shared" si="3"/>
        <v>1</v>
      </c>
      <c r="H117" s="4">
        <f t="shared" si="4"/>
        <v>3.0478512648579592E-4</v>
      </c>
      <c r="I117" s="1">
        <f t="shared" si="5"/>
        <v>0</v>
      </c>
    </row>
    <row r="118" spans="1:9" hidden="1" x14ac:dyDescent="0.2">
      <c r="A118" s="6">
        <v>44000.708333333336</v>
      </c>
      <c r="B118" s="1" t="s">
        <v>6</v>
      </c>
      <c r="C118">
        <v>58</v>
      </c>
      <c r="D118">
        <v>2</v>
      </c>
      <c r="E118">
        <v>458</v>
      </c>
      <c r="F118">
        <v>3281</v>
      </c>
      <c r="G118" s="7">
        <f t="shared" si="3"/>
        <v>0</v>
      </c>
      <c r="H118" s="4">
        <f t="shared" si="4"/>
        <v>0</v>
      </c>
      <c r="I118" s="1">
        <f t="shared" si="5"/>
        <v>1</v>
      </c>
    </row>
    <row r="119" spans="1:9" hidden="1" x14ac:dyDescent="0.2">
      <c r="A119" s="6">
        <v>44001.708333333336</v>
      </c>
      <c r="B119" s="1" t="s">
        <v>6</v>
      </c>
      <c r="C119">
        <v>53</v>
      </c>
      <c r="D119">
        <v>1</v>
      </c>
      <c r="E119">
        <v>459</v>
      </c>
      <c r="F119">
        <v>3280</v>
      </c>
      <c r="G119" s="7">
        <f t="shared" si="3"/>
        <v>-1</v>
      </c>
      <c r="H119" s="4">
        <f t="shared" si="4"/>
        <v>-3.0487804878043256E-4</v>
      </c>
      <c r="I119" s="1">
        <f t="shared" si="5"/>
        <v>1</v>
      </c>
    </row>
    <row r="120" spans="1:9" hidden="1" x14ac:dyDescent="0.2">
      <c r="A120" s="6">
        <v>44002.708333333336</v>
      </c>
      <c r="B120" s="1" t="s">
        <v>6</v>
      </c>
      <c r="C120">
        <v>49</v>
      </c>
      <c r="D120">
        <v>3</v>
      </c>
      <c r="E120">
        <v>459</v>
      </c>
      <c r="F120">
        <v>3281</v>
      </c>
      <c r="G120" s="7">
        <f t="shared" si="3"/>
        <v>1</v>
      </c>
      <c r="H120" s="4">
        <f t="shared" si="4"/>
        <v>3.0478512648579592E-4</v>
      </c>
      <c r="I120" s="1">
        <f t="shared" si="5"/>
        <v>0</v>
      </c>
    </row>
    <row r="121" spans="1:9" hidden="1" x14ac:dyDescent="0.2">
      <c r="A121" s="6">
        <v>44003.708333333336</v>
      </c>
      <c r="B121" s="1" t="s">
        <v>6</v>
      </c>
      <c r="C121">
        <v>50</v>
      </c>
      <c r="D121">
        <v>3</v>
      </c>
      <c r="E121">
        <v>459</v>
      </c>
      <c r="F121">
        <v>3281</v>
      </c>
      <c r="G121" s="7">
        <f t="shared" si="3"/>
        <v>0</v>
      </c>
      <c r="H121" s="4">
        <f t="shared" si="4"/>
        <v>0</v>
      </c>
      <c r="I121" s="1">
        <f t="shared" si="5"/>
        <v>0</v>
      </c>
    </row>
    <row r="122" spans="1:9" hidden="1" x14ac:dyDescent="0.2">
      <c r="A122" s="6">
        <v>44004.708333333336</v>
      </c>
      <c r="B122" s="1" t="s">
        <v>6</v>
      </c>
      <c r="C122">
        <v>49</v>
      </c>
      <c r="D122">
        <v>3</v>
      </c>
      <c r="E122">
        <v>460</v>
      </c>
      <c r="F122">
        <v>3282</v>
      </c>
      <c r="G122" s="7">
        <f t="shared" si="3"/>
        <v>1</v>
      </c>
      <c r="H122" s="4">
        <f t="shared" si="4"/>
        <v>3.0469226081653034E-4</v>
      </c>
      <c r="I122" s="1">
        <f t="shared" si="5"/>
        <v>1</v>
      </c>
    </row>
    <row r="123" spans="1:9" hidden="1" x14ac:dyDescent="0.2">
      <c r="A123" s="6">
        <v>44005.708333333336</v>
      </c>
      <c r="B123" s="1" t="s">
        <v>6</v>
      </c>
      <c r="C123">
        <v>46</v>
      </c>
      <c r="D123">
        <v>3</v>
      </c>
      <c r="E123">
        <v>460</v>
      </c>
      <c r="F123">
        <v>3282</v>
      </c>
      <c r="G123" s="7">
        <f t="shared" si="3"/>
        <v>0</v>
      </c>
      <c r="H123" s="4">
        <f t="shared" si="4"/>
        <v>0</v>
      </c>
      <c r="I123" s="1">
        <f t="shared" si="5"/>
        <v>0</v>
      </c>
    </row>
    <row r="124" spans="1:9" hidden="1" x14ac:dyDescent="0.2">
      <c r="A124" s="6">
        <v>44006.708333333336</v>
      </c>
      <c r="B124" s="1" t="s">
        <v>6</v>
      </c>
      <c r="C124">
        <v>41</v>
      </c>
      <c r="D124">
        <v>2</v>
      </c>
      <c r="E124">
        <v>461</v>
      </c>
      <c r="F124">
        <v>3283</v>
      </c>
      <c r="G124" s="7">
        <f t="shared" si="3"/>
        <v>1</v>
      </c>
      <c r="H124" s="4">
        <f t="shared" si="4"/>
        <v>3.0459945172101044E-4</v>
      </c>
      <c r="I124" s="1">
        <f t="shared" si="5"/>
        <v>1</v>
      </c>
    </row>
    <row r="125" spans="1:9" hidden="1" x14ac:dyDescent="0.2">
      <c r="A125" s="6">
        <v>44007.708333333336</v>
      </c>
      <c r="B125" s="1" t="s">
        <v>6</v>
      </c>
      <c r="C125">
        <v>32</v>
      </c>
      <c r="D125">
        <v>2</v>
      </c>
      <c r="E125">
        <v>461</v>
      </c>
      <c r="F125">
        <v>3284</v>
      </c>
      <c r="G125" s="7">
        <f t="shared" si="3"/>
        <v>1</v>
      </c>
      <c r="H125" s="4">
        <f t="shared" si="4"/>
        <v>3.0450669914738882E-4</v>
      </c>
      <c r="I125" s="1">
        <f t="shared" si="5"/>
        <v>0</v>
      </c>
    </row>
    <row r="126" spans="1:9" hidden="1" x14ac:dyDescent="0.2">
      <c r="A126" s="6">
        <v>44008.708333333336</v>
      </c>
      <c r="B126" s="1" t="s">
        <v>6</v>
      </c>
      <c r="C126">
        <v>30</v>
      </c>
      <c r="D126">
        <v>2</v>
      </c>
      <c r="E126">
        <v>461</v>
      </c>
      <c r="F126">
        <v>3285</v>
      </c>
      <c r="G126" s="7">
        <f t="shared" si="3"/>
        <v>1</v>
      </c>
      <c r="H126" s="4">
        <f t="shared" si="4"/>
        <v>3.0441400304415112E-4</v>
      </c>
      <c r="I126" s="1">
        <f t="shared" si="5"/>
        <v>0</v>
      </c>
    </row>
    <row r="127" spans="1:9" hidden="1" x14ac:dyDescent="0.2">
      <c r="A127" s="6">
        <v>44009.708333333336</v>
      </c>
      <c r="B127" s="1" t="s">
        <v>6</v>
      </c>
      <c r="C127">
        <v>31</v>
      </c>
      <c r="D127">
        <v>2</v>
      </c>
      <c r="E127">
        <v>461</v>
      </c>
      <c r="F127">
        <v>3285</v>
      </c>
      <c r="G127" s="7">
        <f t="shared" si="3"/>
        <v>0</v>
      </c>
      <c r="H127" s="4">
        <f t="shared" si="4"/>
        <v>0</v>
      </c>
      <c r="I127" s="1">
        <f t="shared" si="5"/>
        <v>0</v>
      </c>
    </row>
    <row r="128" spans="1:9" hidden="1" x14ac:dyDescent="0.2">
      <c r="A128" s="6">
        <v>44010.708333333336</v>
      </c>
      <c r="B128" s="1" t="s">
        <v>6</v>
      </c>
      <c r="C128">
        <v>28</v>
      </c>
      <c r="D128">
        <v>2</v>
      </c>
      <c r="E128">
        <v>462</v>
      </c>
      <c r="F128">
        <v>3286</v>
      </c>
      <c r="G128" s="7">
        <f t="shared" si="3"/>
        <v>1</v>
      </c>
      <c r="H128" s="4">
        <f t="shared" si="4"/>
        <v>3.0432136335967197E-4</v>
      </c>
      <c r="I128" s="1">
        <f t="shared" si="5"/>
        <v>1</v>
      </c>
    </row>
    <row r="129" spans="1:9" hidden="1" x14ac:dyDescent="0.2">
      <c r="A129" s="6">
        <v>44011.708333333336</v>
      </c>
      <c r="B129" s="1" t="s">
        <v>6</v>
      </c>
      <c r="C129">
        <v>28</v>
      </c>
      <c r="D129">
        <v>2</v>
      </c>
      <c r="E129">
        <v>462</v>
      </c>
      <c r="F129">
        <v>3287</v>
      </c>
      <c r="G129" s="7">
        <f t="shared" si="3"/>
        <v>1</v>
      </c>
      <c r="H129" s="4">
        <f t="shared" si="4"/>
        <v>3.0422878004254805E-4</v>
      </c>
      <c r="I129" s="1">
        <f t="shared" si="5"/>
        <v>0</v>
      </c>
    </row>
    <row r="130" spans="1:9" hidden="1" x14ac:dyDescent="0.2">
      <c r="A130" s="6">
        <v>44012.708333333336</v>
      </c>
      <c r="B130" s="1" t="s">
        <v>6</v>
      </c>
      <c r="C130">
        <v>33</v>
      </c>
      <c r="D130">
        <v>0</v>
      </c>
      <c r="E130">
        <v>464</v>
      </c>
      <c r="F130">
        <v>3287</v>
      </c>
      <c r="G130" s="7">
        <f t="shared" si="3"/>
        <v>0</v>
      </c>
      <c r="H130" s="4">
        <f t="shared" si="4"/>
        <v>0</v>
      </c>
      <c r="I130" s="1">
        <f t="shared" si="5"/>
        <v>2</v>
      </c>
    </row>
    <row r="131" spans="1:9" hidden="1" x14ac:dyDescent="0.2">
      <c r="A131" s="6">
        <v>44013.708333333336</v>
      </c>
      <c r="B131" s="1" t="s">
        <v>6</v>
      </c>
      <c r="C131">
        <v>32</v>
      </c>
      <c r="D131">
        <v>0</v>
      </c>
      <c r="E131">
        <v>464</v>
      </c>
      <c r="F131">
        <v>3289</v>
      </c>
      <c r="G131" s="7">
        <f t="shared" ref="G131:G194" si="6">IF(AND(F131&gt;0,AND(B131=B130,F131&gt;0)),F131-F130,0)</f>
        <v>2</v>
      </c>
      <c r="H131" s="4">
        <f t="shared" ref="H131:H194" si="7">IF(AND(F130&gt;0,AND(B131=B130,F130&gt;0)),1-(F130/F131),0)</f>
        <v>6.0808756460928315E-4</v>
      </c>
      <c r="I131" s="1">
        <f t="shared" ref="I131:I194" si="8">IF(AND(E131&gt;0,AND(B131=B130,E131&gt;0)),E131-E130,0)</f>
        <v>0</v>
      </c>
    </row>
    <row r="132" spans="1:9" hidden="1" x14ac:dyDescent="0.2">
      <c r="A132" s="6">
        <v>44014.708333333336</v>
      </c>
      <c r="B132" s="1" t="s">
        <v>6</v>
      </c>
      <c r="C132">
        <v>28</v>
      </c>
      <c r="D132">
        <v>0</v>
      </c>
      <c r="E132">
        <v>464</v>
      </c>
      <c r="F132">
        <v>3292</v>
      </c>
      <c r="G132" s="7">
        <f t="shared" si="6"/>
        <v>3</v>
      </c>
      <c r="H132" s="4">
        <f t="shared" si="7"/>
        <v>9.1130012150664186E-4</v>
      </c>
      <c r="I132" s="1">
        <f t="shared" si="8"/>
        <v>0</v>
      </c>
    </row>
    <row r="133" spans="1:9" hidden="1" x14ac:dyDescent="0.2">
      <c r="A133" s="6">
        <v>44015.708333333336</v>
      </c>
      <c r="B133" s="1" t="s">
        <v>6</v>
      </c>
      <c r="C133">
        <v>27</v>
      </c>
      <c r="D133">
        <v>0</v>
      </c>
      <c r="E133">
        <v>464</v>
      </c>
      <c r="F133">
        <v>3298</v>
      </c>
      <c r="G133" s="7">
        <f t="shared" si="6"/>
        <v>6</v>
      </c>
      <c r="H133" s="4">
        <f t="shared" si="7"/>
        <v>1.8192844147968401E-3</v>
      </c>
      <c r="I133" s="1">
        <f t="shared" si="8"/>
        <v>0</v>
      </c>
    </row>
    <row r="134" spans="1:9" hidden="1" x14ac:dyDescent="0.2">
      <c r="A134" s="6">
        <v>44016.708333333336</v>
      </c>
      <c r="B134" s="1" t="s">
        <v>6</v>
      </c>
      <c r="C134">
        <v>28</v>
      </c>
      <c r="D134">
        <v>0</v>
      </c>
      <c r="E134">
        <v>464</v>
      </c>
      <c r="F134">
        <v>3305</v>
      </c>
      <c r="G134" s="7">
        <f t="shared" si="6"/>
        <v>7</v>
      </c>
      <c r="H134" s="4">
        <f t="shared" si="7"/>
        <v>2.1180030257186289E-3</v>
      </c>
      <c r="I134" s="1">
        <f t="shared" si="8"/>
        <v>0</v>
      </c>
    </row>
    <row r="135" spans="1:9" hidden="1" x14ac:dyDescent="0.2">
      <c r="A135" s="6">
        <v>44017.708333333336</v>
      </c>
      <c r="B135" s="1" t="s">
        <v>6</v>
      </c>
      <c r="C135">
        <v>30</v>
      </c>
      <c r="D135">
        <v>0</v>
      </c>
      <c r="E135">
        <v>464</v>
      </c>
      <c r="F135">
        <v>3309</v>
      </c>
      <c r="G135" s="7">
        <f t="shared" si="6"/>
        <v>4</v>
      </c>
      <c r="H135" s="4">
        <f t="shared" si="7"/>
        <v>1.2088244182532071E-3</v>
      </c>
      <c r="I135" s="1">
        <f t="shared" si="8"/>
        <v>0</v>
      </c>
    </row>
    <row r="136" spans="1:9" hidden="1" x14ac:dyDescent="0.2">
      <c r="A136" s="6">
        <v>44018.708333333336</v>
      </c>
      <c r="B136" s="1" t="s">
        <v>6</v>
      </c>
      <c r="C136">
        <v>30</v>
      </c>
      <c r="D136">
        <v>0</v>
      </c>
      <c r="E136">
        <v>464</v>
      </c>
      <c r="F136">
        <v>3309</v>
      </c>
      <c r="G136" s="7">
        <f t="shared" si="6"/>
        <v>0</v>
      </c>
      <c r="H136" s="4">
        <f t="shared" si="7"/>
        <v>0</v>
      </c>
      <c r="I136" s="1">
        <f t="shared" si="8"/>
        <v>0</v>
      </c>
    </row>
    <row r="137" spans="1:9" hidden="1" x14ac:dyDescent="0.2">
      <c r="A137" s="6">
        <v>44019.708333333336</v>
      </c>
      <c r="B137" s="1" t="s">
        <v>6</v>
      </c>
      <c r="C137">
        <v>28</v>
      </c>
      <c r="D137">
        <v>0</v>
      </c>
      <c r="E137">
        <v>464</v>
      </c>
      <c r="F137">
        <v>3309</v>
      </c>
      <c r="G137" s="7">
        <f t="shared" si="6"/>
        <v>0</v>
      </c>
      <c r="H137" s="4">
        <f t="shared" si="7"/>
        <v>0</v>
      </c>
      <c r="I137" s="1">
        <f t="shared" si="8"/>
        <v>0</v>
      </c>
    </row>
    <row r="138" spans="1:9" hidden="1" x14ac:dyDescent="0.2">
      <c r="A138" s="6">
        <v>44020.708333333336</v>
      </c>
      <c r="B138" s="1" t="s">
        <v>6</v>
      </c>
      <c r="C138">
        <v>27</v>
      </c>
      <c r="D138">
        <v>0</v>
      </c>
      <c r="E138">
        <v>464</v>
      </c>
      <c r="F138">
        <v>3310</v>
      </c>
      <c r="G138" s="7">
        <f t="shared" si="6"/>
        <v>1</v>
      </c>
      <c r="H138" s="4">
        <f t="shared" si="7"/>
        <v>3.0211480362540843E-4</v>
      </c>
      <c r="I138" s="1">
        <f t="shared" si="8"/>
        <v>0</v>
      </c>
    </row>
    <row r="139" spans="1:9" hidden="1" x14ac:dyDescent="0.2">
      <c r="A139" s="6">
        <v>44021.708333333336</v>
      </c>
      <c r="B139" s="1" t="s">
        <v>6</v>
      </c>
      <c r="C139">
        <v>26</v>
      </c>
      <c r="D139">
        <v>0</v>
      </c>
      <c r="E139">
        <v>464</v>
      </c>
      <c r="F139">
        <v>3318</v>
      </c>
      <c r="G139" s="7">
        <f t="shared" si="6"/>
        <v>8</v>
      </c>
      <c r="H139" s="4">
        <f t="shared" si="7"/>
        <v>2.4110910186859735E-3</v>
      </c>
      <c r="I139" s="1">
        <f t="shared" si="8"/>
        <v>0</v>
      </c>
    </row>
    <row r="140" spans="1:9" hidden="1" x14ac:dyDescent="0.2">
      <c r="A140" s="6">
        <v>44022.708333333336</v>
      </c>
      <c r="B140" s="1" t="s">
        <v>6</v>
      </c>
      <c r="C140">
        <v>26</v>
      </c>
      <c r="D140">
        <v>0</v>
      </c>
      <c r="E140">
        <v>464</v>
      </c>
      <c r="F140">
        <v>3321</v>
      </c>
      <c r="G140" s="7">
        <f t="shared" si="6"/>
        <v>3</v>
      </c>
      <c r="H140" s="4">
        <f t="shared" si="7"/>
        <v>9.0334236675704283E-4</v>
      </c>
      <c r="I140" s="1">
        <f t="shared" si="8"/>
        <v>0</v>
      </c>
    </row>
    <row r="141" spans="1:9" hidden="1" x14ac:dyDescent="0.2">
      <c r="A141" s="6">
        <v>44023.708333333336</v>
      </c>
      <c r="B141" s="1" t="s">
        <v>6</v>
      </c>
      <c r="C141">
        <v>25</v>
      </c>
      <c r="D141">
        <v>0</v>
      </c>
      <c r="E141">
        <v>464</v>
      </c>
      <c r="F141">
        <v>3323</v>
      </c>
      <c r="G141" s="7">
        <f t="shared" si="6"/>
        <v>2</v>
      </c>
      <c r="H141" s="4">
        <f t="shared" si="7"/>
        <v>6.0186578393017776E-4</v>
      </c>
      <c r="I141" s="1">
        <f t="shared" si="8"/>
        <v>0</v>
      </c>
    </row>
    <row r="142" spans="1:9" hidden="1" x14ac:dyDescent="0.2">
      <c r="A142" s="6">
        <v>44024.708333333336</v>
      </c>
      <c r="B142" s="1" t="s">
        <v>6</v>
      </c>
      <c r="C142">
        <v>22</v>
      </c>
      <c r="D142">
        <v>0</v>
      </c>
      <c r="E142">
        <v>465</v>
      </c>
      <c r="F142">
        <v>3328</v>
      </c>
      <c r="G142" s="7">
        <f t="shared" si="6"/>
        <v>5</v>
      </c>
      <c r="H142" s="4">
        <f t="shared" si="7"/>
        <v>1.5024038461538547E-3</v>
      </c>
      <c r="I142" s="1">
        <f t="shared" si="8"/>
        <v>1</v>
      </c>
    </row>
    <row r="143" spans="1:9" hidden="1" x14ac:dyDescent="0.2">
      <c r="A143" s="6">
        <v>44025.708333333336</v>
      </c>
      <c r="B143" s="1" t="s">
        <v>6</v>
      </c>
      <c r="C143">
        <v>19</v>
      </c>
      <c r="D143">
        <v>0</v>
      </c>
      <c r="E143">
        <v>466</v>
      </c>
      <c r="F143">
        <v>3328</v>
      </c>
      <c r="G143" s="7">
        <f t="shared" si="6"/>
        <v>0</v>
      </c>
      <c r="H143" s="4">
        <f t="shared" si="7"/>
        <v>0</v>
      </c>
      <c r="I143" s="1">
        <f t="shared" si="8"/>
        <v>1</v>
      </c>
    </row>
    <row r="144" spans="1:9" hidden="1" x14ac:dyDescent="0.2">
      <c r="A144" s="6">
        <v>44026.708333333336</v>
      </c>
      <c r="B144" s="1" t="s">
        <v>6</v>
      </c>
      <c r="C144">
        <v>19</v>
      </c>
      <c r="D144">
        <v>0</v>
      </c>
      <c r="E144">
        <v>467</v>
      </c>
      <c r="F144">
        <v>3328</v>
      </c>
      <c r="G144" s="7">
        <f t="shared" si="6"/>
        <v>0</v>
      </c>
      <c r="H144" s="4">
        <f t="shared" si="7"/>
        <v>0</v>
      </c>
      <c r="I144" s="1">
        <f t="shared" si="8"/>
        <v>1</v>
      </c>
    </row>
    <row r="145" spans="1:9" hidden="1" x14ac:dyDescent="0.2">
      <c r="A145" s="6">
        <v>44027.708333333336</v>
      </c>
      <c r="B145" s="1" t="s">
        <v>6</v>
      </c>
      <c r="C145">
        <v>17</v>
      </c>
      <c r="D145">
        <v>0</v>
      </c>
      <c r="E145">
        <v>467</v>
      </c>
      <c r="F145">
        <v>3331</v>
      </c>
      <c r="G145" s="7">
        <f t="shared" si="6"/>
        <v>3</v>
      </c>
      <c r="H145" s="4">
        <f t="shared" si="7"/>
        <v>9.006304413089472E-4</v>
      </c>
      <c r="I145" s="1">
        <f t="shared" si="8"/>
        <v>0</v>
      </c>
    </row>
    <row r="146" spans="1:9" hidden="1" x14ac:dyDescent="0.2">
      <c r="A146" s="6">
        <v>44028.708333333336</v>
      </c>
      <c r="B146" s="1" t="s">
        <v>6</v>
      </c>
      <c r="C146">
        <v>17</v>
      </c>
      <c r="D146">
        <v>0</v>
      </c>
      <c r="E146">
        <v>468</v>
      </c>
      <c r="F146">
        <v>3333</v>
      </c>
      <c r="G146" s="7">
        <f t="shared" si="6"/>
        <v>2</v>
      </c>
      <c r="H146" s="4">
        <f t="shared" si="7"/>
        <v>6.0006000600054676E-4</v>
      </c>
      <c r="I146" s="1">
        <f t="shared" si="8"/>
        <v>1</v>
      </c>
    </row>
    <row r="147" spans="1:9" hidden="1" x14ac:dyDescent="0.2">
      <c r="A147" s="6">
        <v>44029.708333333336</v>
      </c>
      <c r="B147" s="1" t="s">
        <v>6</v>
      </c>
      <c r="C147">
        <v>17</v>
      </c>
      <c r="D147">
        <v>0</v>
      </c>
      <c r="E147">
        <v>468</v>
      </c>
      <c r="F147">
        <v>3334</v>
      </c>
      <c r="G147" s="7">
        <f t="shared" si="6"/>
        <v>1</v>
      </c>
      <c r="H147" s="4">
        <f t="shared" si="7"/>
        <v>2.9994001199762366E-4</v>
      </c>
      <c r="I147" s="1">
        <f t="shared" si="8"/>
        <v>0</v>
      </c>
    </row>
    <row r="148" spans="1:9" hidden="1" x14ac:dyDescent="0.2">
      <c r="A148" s="6">
        <v>44030.708333333336</v>
      </c>
      <c r="B148" s="1" t="s">
        <v>6</v>
      </c>
      <c r="C148">
        <v>15</v>
      </c>
      <c r="D148">
        <v>0</v>
      </c>
      <c r="E148">
        <v>468</v>
      </c>
      <c r="F148">
        <v>3335</v>
      </c>
      <c r="G148" s="7">
        <f t="shared" si="6"/>
        <v>1</v>
      </c>
      <c r="H148" s="4">
        <f t="shared" si="7"/>
        <v>2.9985007496247107E-4</v>
      </c>
      <c r="I148" s="1">
        <f t="shared" si="8"/>
        <v>0</v>
      </c>
    </row>
    <row r="149" spans="1:9" hidden="1" x14ac:dyDescent="0.2">
      <c r="A149" s="6">
        <v>44031.708333333336</v>
      </c>
      <c r="B149" s="1" t="s">
        <v>6</v>
      </c>
      <c r="C149">
        <v>14</v>
      </c>
      <c r="D149">
        <v>0</v>
      </c>
      <c r="E149">
        <v>468</v>
      </c>
      <c r="F149">
        <v>3336</v>
      </c>
      <c r="G149" s="7">
        <f t="shared" si="6"/>
        <v>1</v>
      </c>
      <c r="H149" s="4">
        <f t="shared" si="7"/>
        <v>2.9976019184652092E-4</v>
      </c>
      <c r="I149" s="1">
        <f t="shared" si="8"/>
        <v>0</v>
      </c>
    </row>
    <row r="150" spans="1:9" hidden="1" x14ac:dyDescent="0.2">
      <c r="A150" s="6">
        <v>44032.708333333336</v>
      </c>
      <c r="B150" s="1" t="s">
        <v>6</v>
      </c>
      <c r="C150">
        <v>13</v>
      </c>
      <c r="D150">
        <v>0</v>
      </c>
      <c r="E150">
        <v>468</v>
      </c>
      <c r="F150">
        <v>3342</v>
      </c>
      <c r="G150" s="7">
        <f t="shared" si="6"/>
        <v>6</v>
      </c>
      <c r="H150" s="4">
        <f t="shared" si="7"/>
        <v>1.7953321364452268E-3</v>
      </c>
      <c r="I150" s="1">
        <f t="shared" si="8"/>
        <v>0</v>
      </c>
    </row>
    <row r="151" spans="1:9" hidden="1" x14ac:dyDescent="0.2">
      <c r="A151" s="6">
        <v>44033.708333333336</v>
      </c>
      <c r="B151" s="1" t="s">
        <v>6</v>
      </c>
      <c r="C151">
        <v>12</v>
      </c>
      <c r="D151">
        <v>0</v>
      </c>
      <c r="E151">
        <v>470</v>
      </c>
      <c r="F151">
        <v>3344</v>
      </c>
      <c r="G151" s="7">
        <f t="shared" si="6"/>
        <v>2</v>
      </c>
      <c r="H151" s="4">
        <f t="shared" si="7"/>
        <v>5.9808612440193087E-4</v>
      </c>
      <c r="I151" s="1">
        <f t="shared" si="8"/>
        <v>2</v>
      </c>
    </row>
    <row r="152" spans="1:9" hidden="1" x14ac:dyDescent="0.2">
      <c r="A152" s="6">
        <v>44034.708333333336</v>
      </c>
      <c r="B152" s="1" t="s">
        <v>6</v>
      </c>
      <c r="C152">
        <v>8</v>
      </c>
      <c r="D152">
        <v>1</v>
      </c>
      <c r="E152">
        <v>470</v>
      </c>
      <c r="F152">
        <v>3342</v>
      </c>
      <c r="G152" s="7">
        <f t="shared" si="6"/>
        <v>-2</v>
      </c>
      <c r="H152" s="4">
        <f t="shared" si="7"/>
        <v>-5.9844404548181629E-4</v>
      </c>
      <c r="I152" s="1">
        <f t="shared" si="8"/>
        <v>0</v>
      </c>
    </row>
    <row r="153" spans="1:9" hidden="1" x14ac:dyDescent="0.2">
      <c r="A153" s="6">
        <v>44035.708333333336</v>
      </c>
      <c r="B153" s="1" t="s">
        <v>6</v>
      </c>
      <c r="C153">
        <v>8</v>
      </c>
      <c r="D153">
        <v>2</v>
      </c>
      <c r="E153">
        <v>470</v>
      </c>
      <c r="F153">
        <v>3352</v>
      </c>
      <c r="G153" s="7">
        <f t="shared" si="6"/>
        <v>10</v>
      </c>
      <c r="H153" s="4">
        <f t="shared" si="7"/>
        <v>2.983293556085953E-3</v>
      </c>
      <c r="I153" s="1">
        <f t="shared" si="8"/>
        <v>0</v>
      </c>
    </row>
    <row r="154" spans="1:9" hidden="1" x14ac:dyDescent="0.2">
      <c r="A154" s="6">
        <v>44036.708333333336</v>
      </c>
      <c r="B154" s="1" t="s">
        <v>6</v>
      </c>
      <c r="C154">
        <v>11</v>
      </c>
      <c r="D154">
        <v>2</v>
      </c>
      <c r="E154">
        <v>470</v>
      </c>
      <c r="F154">
        <v>3356</v>
      </c>
      <c r="G154" s="7">
        <f t="shared" si="6"/>
        <v>4</v>
      </c>
      <c r="H154" s="4">
        <f t="shared" si="7"/>
        <v>1.1918951132300348E-3</v>
      </c>
      <c r="I154" s="1">
        <f t="shared" si="8"/>
        <v>0</v>
      </c>
    </row>
    <row r="155" spans="1:9" hidden="1" x14ac:dyDescent="0.2">
      <c r="A155" s="6">
        <v>44037.708333333336</v>
      </c>
      <c r="B155" s="1" t="s">
        <v>6</v>
      </c>
      <c r="C155">
        <v>11</v>
      </c>
      <c r="D155">
        <v>2</v>
      </c>
      <c r="E155">
        <v>470</v>
      </c>
      <c r="F155">
        <v>3359</v>
      </c>
      <c r="G155" s="7">
        <f t="shared" si="6"/>
        <v>3</v>
      </c>
      <c r="H155" s="4">
        <f t="shared" si="7"/>
        <v>8.931229532599394E-4</v>
      </c>
      <c r="I155" s="1">
        <f t="shared" si="8"/>
        <v>0</v>
      </c>
    </row>
    <row r="156" spans="1:9" hidden="1" x14ac:dyDescent="0.2">
      <c r="A156" s="6">
        <v>44038.708333333336</v>
      </c>
      <c r="B156" s="1" t="s">
        <v>6</v>
      </c>
      <c r="C156">
        <v>13</v>
      </c>
      <c r="D156">
        <v>2</v>
      </c>
      <c r="E156">
        <v>470</v>
      </c>
      <c r="F156">
        <v>3359</v>
      </c>
      <c r="G156" s="7">
        <f t="shared" si="6"/>
        <v>0</v>
      </c>
      <c r="H156" s="4">
        <f t="shared" si="7"/>
        <v>0</v>
      </c>
      <c r="I156" s="1">
        <f t="shared" si="8"/>
        <v>0</v>
      </c>
    </row>
    <row r="157" spans="1:9" hidden="1" x14ac:dyDescent="0.2">
      <c r="A157" s="6">
        <v>44039.708333333336</v>
      </c>
      <c r="B157" s="1" t="s">
        <v>6</v>
      </c>
      <c r="C157">
        <v>13</v>
      </c>
      <c r="D157">
        <v>1</v>
      </c>
      <c r="E157">
        <v>471</v>
      </c>
      <c r="F157">
        <v>3368</v>
      </c>
      <c r="G157" s="7">
        <f t="shared" si="6"/>
        <v>9</v>
      </c>
      <c r="H157" s="4">
        <f t="shared" si="7"/>
        <v>2.6722090261283027E-3</v>
      </c>
      <c r="I157" s="1">
        <f t="shared" si="8"/>
        <v>1</v>
      </c>
    </row>
    <row r="158" spans="1:9" hidden="1" x14ac:dyDescent="0.2">
      <c r="A158" s="6">
        <v>44040.708333333336</v>
      </c>
      <c r="B158" s="1" t="s">
        <v>6</v>
      </c>
      <c r="C158">
        <v>14</v>
      </c>
      <c r="D158">
        <v>1</v>
      </c>
      <c r="E158">
        <v>472</v>
      </c>
      <c r="F158">
        <v>3369</v>
      </c>
      <c r="G158" s="7">
        <f t="shared" si="6"/>
        <v>1</v>
      </c>
      <c r="H158" s="4">
        <f t="shared" si="7"/>
        <v>2.9682398337782523E-4</v>
      </c>
      <c r="I158" s="1">
        <f t="shared" si="8"/>
        <v>1</v>
      </c>
    </row>
    <row r="159" spans="1:9" hidden="1" x14ac:dyDescent="0.2">
      <c r="A159" s="6">
        <v>44041.708333333336</v>
      </c>
      <c r="B159" s="1" t="s">
        <v>6</v>
      </c>
      <c r="C159">
        <v>14</v>
      </c>
      <c r="D159">
        <v>1</v>
      </c>
      <c r="E159">
        <v>472</v>
      </c>
      <c r="F159">
        <v>3373</v>
      </c>
      <c r="G159" s="7">
        <f t="shared" si="6"/>
        <v>4</v>
      </c>
      <c r="H159" s="4">
        <f t="shared" si="7"/>
        <v>1.1858879335903127E-3</v>
      </c>
      <c r="I159" s="1">
        <f t="shared" si="8"/>
        <v>0</v>
      </c>
    </row>
    <row r="160" spans="1:9" hidden="1" x14ac:dyDescent="0.2">
      <c r="A160" s="6">
        <v>44042.708333333336</v>
      </c>
      <c r="B160" s="1" t="s">
        <v>6</v>
      </c>
      <c r="C160">
        <v>14</v>
      </c>
      <c r="D160">
        <v>1</v>
      </c>
      <c r="E160">
        <v>472</v>
      </c>
      <c r="F160">
        <v>3377</v>
      </c>
      <c r="G160" s="7">
        <f t="shared" si="6"/>
        <v>4</v>
      </c>
      <c r="H160" s="4">
        <f t="shared" si="7"/>
        <v>1.1844832691738638E-3</v>
      </c>
      <c r="I160" s="1">
        <f t="shared" si="8"/>
        <v>0</v>
      </c>
    </row>
    <row r="161" spans="1:9" hidden="1" x14ac:dyDescent="0.2">
      <c r="A161" s="6">
        <v>44043.708333333336</v>
      </c>
      <c r="B161" s="1" t="s">
        <v>6</v>
      </c>
      <c r="C161">
        <v>13</v>
      </c>
      <c r="D161">
        <v>1</v>
      </c>
      <c r="E161">
        <v>472</v>
      </c>
      <c r="F161">
        <v>3382</v>
      </c>
      <c r="G161" s="7">
        <f t="shared" si="6"/>
        <v>5</v>
      </c>
      <c r="H161" s="4">
        <f t="shared" si="7"/>
        <v>1.4784151389710676E-3</v>
      </c>
      <c r="I161" s="1">
        <f t="shared" si="8"/>
        <v>0</v>
      </c>
    </row>
    <row r="162" spans="1:9" hidden="1" x14ac:dyDescent="0.2">
      <c r="A162" s="6">
        <v>44044.708333333336</v>
      </c>
      <c r="B162" s="1" t="s">
        <v>6</v>
      </c>
      <c r="C162">
        <v>13</v>
      </c>
      <c r="D162">
        <v>1</v>
      </c>
      <c r="E162">
        <v>472</v>
      </c>
      <c r="F162">
        <v>3387</v>
      </c>
      <c r="G162" s="7">
        <f t="shared" si="6"/>
        <v>5</v>
      </c>
      <c r="H162" s="4">
        <f t="shared" si="7"/>
        <v>1.4762326542663295E-3</v>
      </c>
      <c r="I162" s="1">
        <f t="shared" si="8"/>
        <v>0</v>
      </c>
    </row>
    <row r="163" spans="1:9" hidden="1" x14ac:dyDescent="0.2">
      <c r="A163" s="6">
        <v>44045.708333333336</v>
      </c>
      <c r="B163" s="1" t="s">
        <v>6</v>
      </c>
      <c r="C163">
        <v>16</v>
      </c>
      <c r="D163">
        <v>1</v>
      </c>
      <c r="E163">
        <v>472</v>
      </c>
      <c r="F163">
        <v>3389</v>
      </c>
      <c r="G163" s="7">
        <f t="shared" si="6"/>
        <v>2</v>
      </c>
      <c r="H163" s="4">
        <f t="shared" si="7"/>
        <v>5.901445854233911E-4</v>
      </c>
      <c r="I163" s="1">
        <f t="shared" si="8"/>
        <v>0</v>
      </c>
    </row>
    <row r="164" spans="1:9" hidden="1" x14ac:dyDescent="0.2">
      <c r="A164" s="6">
        <v>44046.708333333336</v>
      </c>
      <c r="B164" s="1" t="s">
        <v>6</v>
      </c>
      <c r="C164">
        <v>16</v>
      </c>
      <c r="D164">
        <v>1</v>
      </c>
      <c r="E164">
        <v>472</v>
      </c>
      <c r="F164">
        <v>3398</v>
      </c>
      <c r="G164" s="7">
        <f t="shared" si="6"/>
        <v>9</v>
      </c>
      <c r="H164" s="4">
        <f t="shared" si="7"/>
        <v>2.6486168334314275E-3</v>
      </c>
      <c r="I164" s="1">
        <f t="shared" si="8"/>
        <v>0</v>
      </c>
    </row>
    <row r="165" spans="1:9" hidden="1" x14ac:dyDescent="0.2">
      <c r="A165" s="6">
        <v>44047.708333333336</v>
      </c>
      <c r="B165" s="1" t="s">
        <v>6</v>
      </c>
      <c r="C165">
        <v>18</v>
      </c>
      <c r="D165">
        <v>1</v>
      </c>
      <c r="E165">
        <v>472</v>
      </c>
      <c r="F165">
        <v>3401</v>
      </c>
      <c r="G165" s="7">
        <f t="shared" si="6"/>
        <v>3</v>
      </c>
      <c r="H165" s="4">
        <f t="shared" si="7"/>
        <v>8.8209350191115199E-4</v>
      </c>
      <c r="I165" s="1">
        <f t="shared" si="8"/>
        <v>0</v>
      </c>
    </row>
    <row r="166" spans="1:9" hidden="1" x14ac:dyDescent="0.2">
      <c r="A166" s="6">
        <v>44048.708333333336</v>
      </c>
      <c r="B166" s="1" t="s">
        <v>6</v>
      </c>
      <c r="C166">
        <v>19</v>
      </c>
      <c r="D166">
        <v>1</v>
      </c>
      <c r="E166">
        <v>472</v>
      </c>
      <c r="F166">
        <v>3420</v>
      </c>
      <c r="G166" s="7">
        <f t="shared" si="6"/>
        <v>19</v>
      </c>
      <c r="H166" s="4">
        <f t="shared" si="7"/>
        <v>5.5555555555555358E-3</v>
      </c>
      <c r="I166" s="1">
        <f t="shared" si="8"/>
        <v>0</v>
      </c>
    </row>
    <row r="167" spans="1:9" hidden="1" x14ac:dyDescent="0.2">
      <c r="A167" s="6">
        <v>44049.708333333336</v>
      </c>
      <c r="B167" s="1" t="s">
        <v>6</v>
      </c>
      <c r="C167">
        <v>20</v>
      </c>
      <c r="D167">
        <v>1</v>
      </c>
      <c r="E167">
        <v>472</v>
      </c>
      <c r="F167">
        <v>3435</v>
      </c>
      <c r="G167" s="7">
        <f t="shared" si="6"/>
        <v>15</v>
      </c>
      <c r="H167" s="4">
        <f t="shared" si="7"/>
        <v>4.366812227074246E-3</v>
      </c>
      <c r="I167" s="1">
        <f t="shared" si="8"/>
        <v>0</v>
      </c>
    </row>
    <row r="168" spans="1:9" hidden="1" x14ac:dyDescent="0.2">
      <c r="A168" s="6">
        <v>44050.708333333336</v>
      </c>
      <c r="B168" s="1" t="s">
        <v>6</v>
      </c>
      <c r="C168">
        <v>22</v>
      </c>
      <c r="D168">
        <v>1</v>
      </c>
      <c r="E168">
        <v>472</v>
      </c>
      <c r="F168">
        <v>3474</v>
      </c>
      <c r="G168" s="7">
        <f t="shared" si="6"/>
        <v>39</v>
      </c>
      <c r="H168" s="4">
        <f t="shared" si="7"/>
        <v>1.1226252158894612E-2</v>
      </c>
      <c r="I168" s="1">
        <f t="shared" si="8"/>
        <v>0</v>
      </c>
    </row>
    <row r="169" spans="1:9" hidden="1" x14ac:dyDescent="0.2">
      <c r="A169" s="6">
        <v>44051.708333333336</v>
      </c>
      <c r="B169" s="1" t="s">
        <v>6</v>
      </c>
      <c r="C169">
        <v>24</v>
      </c>
      <c r="D169">
        <v>1</v>
      </c>
      <c r="E169">
        <v>472</v>
      </c>
      <c r="F169">
        <v>3486</v>
      </c>
      <c r="G169" s="7">
        <f t="shared" si="6"/>
        <v>12</v>
      </c>
      <c r="H169" s="4">
        <f t="shared" si="7"/>
        <v>3.4423407917383297E-3</v>
      </c>
      <c r="I169" s="1">
        <f t="shared" si="8"/>
        <v>0</v>
      </c>
    </row>
    <row r="170" spans="1:9" hidden="1" x14ac:dyDescent="0.2">
      <c r="A170" s="6">
        <v>44052.708333333336</v>
      </c>
      <c r="B170" s="1" t="s">
        <v>6</v>
      </c>
      <c r="C170">
        <v>23</v>
      </c>
      <c r="D170">
        <v>1</v>
      </c>
      <c r="E170">
        <v>472</v>
      </c>
      <c r="F170">
        <v>3502</v>
      </c>
      <c r="G170" s="7">
        <f t="shared" si="6"/>
        <v>16</v>
      </c>
      <c r="H170" s="4">
        <f t="shared" si="7"/>
        <v>4.5688178183894701E-3</v>
      </c>
      <c r="I170" s="1">
        <f t="shared" si="8"/>
        <v>0</v>
      </c>
    </row>
    <row r="171" spans="1:9" hidden="1" x14ac:dyDescent="0.2">
      <c r="A171" s="6">
        <v>44053.708333333336</v>
      </c>
      <c r="B171" s="1" t="s">
        <v>6</v>
      </c>
      <c r="C171">
        <v>24</v>
      </c>
      <c r="D171">
        <v>1</v>
      </c>
      <c r="E171">
        <v>472</v>
      </c>
      <c r="F171">
        <v>3509</v>
      </c>
      <c r="G171" s="7">
        <f t="shared" si="6"/>
        <v>7</v>
      </c>
      <c r="H171" s="4">
        <f t="shared" si="7"/>
        <v>1.9948703334283779E-3</v>
      </c>
      <c r="I171" s="1">
        <f t="shared" si="8"/>
        <v>0</v>
      </c>
    </row>
    <row r="172" spans="1:9" hidden="1" x14ac:dyDescent="0.2">
      <c r="A172" s="6">
        <v>44054.708333333336</v>
      </c>
      <c r="B172" s="1" t="s">
        <v>6</v>
      </c>
      <c r="C172">
        <v>23</v>
      </c>
      <c r="D172">
        <v>1</v>
      </c>
      <c r="E172">
        <v>472</v>
      </c>
      <c r="F172">
        <v>3512</v>
      </c>
      <c r="G172" s="7">
        <f t="shared" si="6"/>
        <v>3</v>
      </c>
      <c r="H172" s="4">
        <f t="shared" si="7"/>
        <v>8.5421412300679123E-4</v>
      </c>
      <c r="I172" s="1">
        <f t="shared" si="8"/>
        <v>0</v>
      </c>
    </row>
    <row r="173" spans="1:9" hidden="1" x14ac:dyDescent="0.2">
      <c r="A173" s="6">
        <v>44055.708333333336</v>
      </c>
      <c r="B173" s="1" t="s">
        <v>6</v>
      </c>
      <c r="C173">
        <v>23</v>
      </c>
      <c r="D173">
        <v>1</v>
      </c>
      <c r="E173">
        <v>472</v>
      </c>
      <c r="F173">
        <v>3516</v>
      </c>
      <c r="G173" s="7">
        <f t="shared" si="6"/>
        <v>4</v>
      </c>
      <c r="H173" s="4">
        <f t="shared" si="7"/>
        <v>1.1376564277588708E-3</v>
      </c>
      <c r="I173" s="1">
        <f t="shared" si="8"/>
        <v>0</v>
      </c>
    </row>
    <row r="174" spans="1:9" hidden="1" x14ac:dyDescent="0.2">
      <c r="A174" s="6">
        <v>44056.708333333336</v>
      </c>
      <c r="B174" s="1" t="s">
        <v>6</v>
      </c>
      <c r="C174">
        <v>24</v>
      </c>
      <c r="D174">
        <v>1</v>
      </c>
      <c r="E174">
        <v>472</v>
      </c>
      <c r="F174">
        <v>3532</v>
      </c>
      <c r="G174" s="7">
        <f t="shared" si="6"/>
        <v>16</v>
      </c>
      <c r="H174" s="4">
        <f t="shared" si="7"/>
        <v>4.5300113250282825E-3</v>
      </c>
      <c r="I174" s="1">
        <f t="shared" si="8"/>
        <v>0</v>
      </c>
    </row>
    <row r="175" spans="1:9" hidden="1" x14ac:dyDescent="0.2">
      <c r="A175" s="6">
        <v>44057.708333333336</v>
      </c>
      <c r="B175" s="1" t="s">
        <v>6</v>
      </c>
      <c r="C175">
        <v>23</v>
      </c>
      <c r="D175">
        <v>1</v>
      </c>
      <c r="E175">
        <v>472</v>
      </c>
      <c r="F175">
        <v>3545</v>
      </c>
      <c r="G175" s="7">
        <f t="shared" si="6"/>
        <v>13</v>
      </c>
      <c r="H175" s="4">
        <f t="shared" si="7"/>
        <v>3.6671368124118198E-3</v>
      </c>
      <c r="I175" s="1">
        <f t="shared" si="8"/>
        <v>0</v>
      </c>
    </row>
    <row r="176" spans="1:9" hidden="1" x14ac:dyDescent="0.2">
      <c r="A176" s="6">
        <v>44058.708333333336</v>
      </c>
      <c r="B176" s="1" t="s">
        <v>6</v>
      </c>
      <c r="C176">
        <v>25</v>
      </c>
      <c r="D176">
        <v>1</v>
      </c>
      <c r="E176">
        <v>472</v>
      </c>
      <c r="F176">
        <v>3558</v>
      </c>
      <c r="G176" s="7">
        <f t="shared" si="6"/>
        <v>13</v>
      </c>
      <c r="H176" s="4">
        <f t="shared" si="7"/>
        <v>3.6537380550871745E-3</v>
      </c>
      <c r="I176" s="1">
        <f t="shared" si="8"/>
        <v>0</v>
      </c>
    </row>
    <row r="177" spans="1:9" hidden="1" x14ac:dyDescent="0.2">
      <c r="A177" s="6">
        <v>44059.708333333336</v>
      </c>
      <c r="B177" s="1" t="s">
        <v>6</v>
      </c>
      <c r="C177">
        <v>25</v>
      </c>
      <c r="D177">
        <v>1</v>
      </c>
      <c r="E177">
        <v>472</v>
      </c>
      <c r="F177">
        <v>3560</v>
      </c>
      <c r="G177" s="7">
        <f t="shared" si="6"/>
        <v>2</v>
      </c>
      <c r="H177" s="4">
        <f t="shared" si="7"/>
        <v>5.6179775280895683E-4</v>
      </c>
      <c r="I177" s="1">
        <f t="shared" si="8"/>
        <v>0</v>
      </c>
    </row>
    <row r="178" spans="1:9" hidden="1" x14ac:dyDescent="0.2">
      <c r="A178" s="6">
        <v>44060.708333333336</v>
      </c>
      <c r="B178" s="1" t="s">
        <v>6</v>
      </c>
      <c r="C178">
        <v>27</v>
      </c>
      <c r="D178">
        <v>1</v>
      </c>
      <c r="E178">
        <v>472</v>
      </c>
      <c r="F178">
        <v>3565</v>
      </c>
      <c r="G178" s="7">
        <f t="shared" si="6"/>
        <v>5</v>
      </c>
      <c r="H178" s="4">
        <f t="shared" si="7"/>
        <v>1.4025245441795509E-3</v>
      </c>
      <c r="I178" s="1">
        <f t="shared" si="8"/>
        <v>0</v>
      </c>
    </row>
    <row r="179" spans="1:9" hidden="1" x14ac:dyDescent="0.2">
      <c r="A179" s="6">
        <v>44061.708333333336</v>
      </c>
      <c r="B179" s="1" t="s">
        <v>6</v>
      </c>
      <c r="C179">
        <v>27</v>
      </c>
      <c r="D179">
        <v>1</v>
      </c>
      <c r="E179">
        <v>472</v>
      </c>
      <c r="F179">
        <v>3570</v>
      </c>
      <c r="G179" s="7">
        <f t="shared" si="6"/>
        <v>5</v>
      </c>
      <c r="H179" s="4">
        <f t="shared" si="7"/>
        <v>1.4005602240896309E-3</v>
      </c>
      <c r="I179" s="1">
        <f t="shared" si="8"/>
        <v>0</v>
      </c>
    </row>
    <row r="180" spans="1:9" hidden="1" x14ac:dyDescent="0.2">
      <c r="A180" s="6">
        <v>44062.708333333336</v>
      </c>
      <c r="B180" s="1" t="s">
        <v>6</v>
      </c>
      <c r="C180">
        <v>25</v>
      </c>
      <c r="D180">
        <v>2</v>
      </c>
      <c r="E180">
        <v>472</v>
      </c>
      <c r="F180">
        <v>3577</v>
      </c>
      <c r="G180" s="7">
        <f t="shared" si="6"/>
        <v>7</v>
      </c>
      <c r="H180" s="4">
        <f t="shared" si="7"/>
        <v>1.9569471624266699E-3</v>
      </c>
      <c r="I180" s="1">
        <f t="shared" si="8"/>
        <v>0</v>
      </c>
    </row>
    <row r="181" spans="1:9" hidden="1" x14ac:dyDescent="0.2">
      <c r="A181" s="6">
        <v>44063.708333333336</v>
      </c>
      <c r="B181" s="1" t="s">
        <v>6</v>
      </c>
      <c r="C181">
        <v>27</v>
      </c>
      <c r="D181">
        <v>1</v>
      </c>
      <c r="E181">
        <v>472</v>
      </c>
      <c r="F181">
        <v>3581</v>
      </c>
      <c r="G181" s="7">
        <f t="shared" si="6"/>
        <v>4</v>
      </c>
      <c r="H181" s="4">
        <f t="shared" si="7"/>
        <v>1.1170064227868925E-3</v>
      </c>
      <c r="I181" s="1">
        <f t="shared" si="8"/>
        <v>0</v>
      </c>
    </row>
    <row r="182" spans="1:9" hidden="1" x14ac:dyDescent="0.2">
      <c r="A182" s="6">
        <v>44064.708333333336</v>
      </c>
      <c r="B182" s="1" t="s">
        <v>6</v>
      </c>
      <c r="C182">
        <v>30</v>
      </c>
      <c r="D182">
        <v>1</v>
      </c>
      <c r="E182">
        <v>472</v>
      </c>
      <c r="F182">
        <v>3604</v>
      </c>
      <c r="G182" s="7">
        <f t="shared" si="6"/>
        <v>23</v>
      </c>
      <c r="H182" s="4">
        <f t="shared" si="7"/>
        <v>6.3817980022197185E-3</v>
      </c>
      <c r="I182" s="1">
        <f t="shared" si="8"/>
        <v>0</v>
      </c>
    </row>
    <row r="183" spans="1:9" hidden="1" x14ac:dyDescent="0.2">
      <c r="A183" s="6">
        <v>44065.708333333336</v>
      </c>
      <c r="B183" s="1" t="s">
        <v>6</v>
      </c>
      <c r="C183">
        <v>32</v>
      </c>
      <c r="D183">
        <v>1</v>
      </c>
      <c r="E183">
        <v>472</v>
      </c>
      <c r="F183">
        <v>3628</v>
      </c>
      <c r="G183" s="7">
        <f t="shared" si="6"/>
        <v>24</v>
      </c>
      <c r="H183" s="4">
        <f t="shared" si="7"/>
        <v>6.6152149944873617E-3</v>
      </c>
      <c r="I183" s="1">
        <f t="shared" si="8"/>
        <v>0</v>
      </c>
    </row>
    <row r="184" spans="1:9" hidden="1" x14ac:dyDescent="0.2">
      <c r="A184" s="6">
        <v>44066.708333333336</v>
      </c>
      <c r="B184" s="1" t="s">
        <v>6</v>
      </c>
      <c r="C184">
        <v>31</v>
      </c>
      <c r="D184">
        <v>1</v>
      </c>
      <c r="E184">
        <v>472</v>
      </c>
      <c r="F184">
        <v>3648</v>
      </c>
      <c r="G184" s="7">
        <f t="shared" si="6"/>
        <v>20</v>
      </c>
      <c r="H184" s="4">
        <f t="shared" si="7"/>
        <v>5.482456140350922E-3</v>
      </c>
      <c r="I184" s="1">
        <f t="shared" si="8"/>
        <v>0</v>
      </c>
    </row>
    <row r="185" spans="1:9" hidden="1" x14ac:dyDescent="0.2">
      <c r="A185" s="6">
        <v>44067.708333333336</v>
      </c>
      <c r="B185" s="1" t="s">
        <v>6</v>
      </c>
      <c r="C185">
        <v>34</v>
      </c>
      <c r="D185">
        <v>1</v>
      </c>
      <c r="E185">
        <v>472</v>
      </c>
      <c r="F185">
        <v>3652</v>
      </c>
      <c r="G185" s="7">
        <f t="shared" si="6"/>
        <v>4</v>
      </c>
      <c r="H185" s="4">
        <f t="shared" si="7"/>
        <v>1.0952902519167917E-3</v>
      </c>
      <c r="I185" s="1">
        <f t="shared" si="8"/>
        <v>0</v>
      </c>
    </row>
    <row r="186" spans="1:9" hidden="1" x14ac:dyDescent="0.2">
      <c r="A186" s="6">
        <v>44068.708333333336</v>
      </c>
      <c r="B186" s="1" t="s">
        <v>6</v>
      </c>
      <c r="C186">
        <v>33</v>
      </c>
      <c r="D186">
        <v>1</v>
      </c>
      <c r="E186">
        <v>472</v>
      </c>
      <c r="F186">
        <v>3662</v>
      </c>
      <c r="G186" s="7">
        <f t="shared" si="6"/>
        <v>10</v>
      </c>
      <c r="H186" s="4">
        <f t="shared" si="7"/>
        <v>2.7307482250136239E-3</v>
      </c>
      <c r="I186" s="1">
        <f t="shared" si="8"/>
        <v>0</v>
      </c>
    </row>
    <row r="187" spans="1:9" hidden="1" x14ac:dyDescent="0.2">
      <c r="A187" s="6">
        <v>44069.708333333336</v>
      </c>
      <c r="B187" s="1" t="s">
        <v>6</v>
      </c>
      <c r="C187">
        <v>34</v>
      </c>
      <c r="D187">
        <v>1</v>
      </c>
      <c r="E187">
        <v>472</v>
      </c>
      <c r="F187">
        <v>3687</v>
      </c>
      <c r="G187" s="7">
        <f t="shared" si="6"/>
        <v>25</v>
      </c>
      <c r="H187" s="4">
        <f t="shared" si="7"/>
        <v>6.7805804176837015E-3</v>
      </c>
      <c r="I187" s="1">
        <f t="shared" si="8"/>
        <v>0</v>
      </c>
    </row>
    <row r="188" spans="1:9" hidden="1" x14ac:dyDescent="0.2">
      <c r="A188" s="6">
        <v>44070.708333333336</v>
      </c>
      <c r="B188" s="1" t="s">
        <v>6</v>
      </c>
      <c r="C188">
        <v>37</v>
      </c>
      <c r="D188">
        <v>1</v>
      </c>
      <c r="E188">
        <v>472</v>
      </c>
      <c r="F188">
        <v>3705</v>
      </c>
      <c r="G188" s="7">
        <f t="shared" si="6"/>
        <v>18</v>
      </c>
      <c r="H188" s="4">
        <f t="shared" si="7"/>
        <v>4.858299595141724E-3</v>
      </c>
      <c r="I188" s="1">
        <f t="shared" si="8"/>
        <v>0</v>
      </c>
    </row>
    <row r="189" spans="1:9" hidden="1" x14ac:dyDescent="0.2">
      <c r="A189" s="6">
        <v>44071.708333333336</v>
      </c>
      <c r="B189" s="1" t="s">
        <v>6</v>
      </c>
      <c r="C189">
        <v>39</v>
      </c>
      <c r="D189">
        <v>1</v>
      </c>
      <c r="E189">
        <v>472</v>
      </c>
      <c r="F189">
        <v>3725</v>
      </c>
      <c r="G189" s="7">
        <f t="shared" si="6"/>
        <v>20</v>
      </c>
      <c r="H189" s="4">
        <f t="shared" si="7"/>
        <v>5.3691275167785379E-3</v>
      </c>
      <c r="I189" s="1">
        <f t="shared" si="8"/>
        <v>0</v>
      </c>
    </row>
    <row r="190" spans="1:9" hidden="1" x14ac:dyDescent="0.2">
      <c r="A190" s="6">
        <v>44072.708333333336</v>
      </c>
      <c r="B190" s="1" t="s">
        <v>6</v>
      </c>
      <c r="C190">
        <v>37</v>
      </c>
      <c r="D190">
        <v>1</v>
      </c>
      <c r="E190">
        <v>472</v>
      </c>
      <c r="F190">
        <v>3739</v>
      </c>
      <c r="G190" s="7">
        <f t="shared" si="6"/>
        <v>14</v>
      </c>
      <c r="H190" s="4">
        <f t="shared" si="7"/>
        <v>3.7443166622092017E-3</v>
      </c>
      <c r="I190" s="1">
        <f t="shared" si="8"/>
        <v>0</v>
      </c>
    </row>
    <row r="191" spans="1:9" hidden="1" x14ac:dyDescent="0.2">
      <c r="A191" s="6">
        <v>44073.708333333336</v>
      </c>
      <c r="B191" s="1" t="s">
        <v>6</v>
      </c>
      <c r="C191">
        <v>37</v>
      </c>
      <c r="D191">
        <v>1</v>
      </c>
      <c r="E191">
        <v>472</v>
      </c>
      <c r="F191">
        <v>3773</v>
      </c>
      <c r="G191" s="7">
        <f t="shared" si="6"/>
        <v>34</v>
      </c>
      <c r="H191" s="4">
        <f t="shared" si="7"/>
        <v>9.0113967664987582E-3</v>
      </c>
      <c r="I191" s="1">
        <f t="shared" si="8"/>
        <v>0</v>
      </c>
    </row>
    <row r="192" spans="1:9" hidden="1" x14ac:dyDescent="0.2">
      <c r="A192" s="6">
        <v>44074.708333333336</v>
      </c>
      <c r="B192" s="1" t="s">
        <v>6</v>
      </c>
      <c r="C192">
        <v>35</v>
      </c>
      <c r="D192">
        <v>1</v>
      </c>
      <c r="E192">
        <v>472</v>
      </c>
      <c r="F192">
        <v>3777</v>
      </c>
      <c r="G192" s="7">
        <f t="shared" si="6"/>
        <v>4</v>
      </c>
      <c r="H192" s="4">
        <f t="shared" si="7"/>
        <v>1.059041567381569E-3</v>
      </c>
      <c r="I192" s="1">
        <f t="shared" si="8"/>
        <v>0</v>
      </c>
    </row>
    <row r="193" spans="1:9" hidden="1" x14ac:dyDescent="0.2">
      <c r="A193" s="6">
        <v>44075.708333333336</v>
      </c>
      <c r="B193" s="1" t="s">
        <v>6</v>
      </c>
      <c r="C193">
        <v>29</v>
      </c>
      <c r="D193">
        <v>1</v>
      </c>
      <c r="E193">
        <v>472</v>
      </c>
      <c r="F193">
        <v>3780</v>
      </c>
      <c r="G193" s="7">
        <f t="shared" si="6"/>
        <v>3</v>
      </c>
      <c r="H193" s="4">
        <f t="shared" si="7"/>
        <v>7.9365079365079083E-4</v>
      </c>
      <c r="I193" s="1">
        <f t="shared" si="8"/>
        <v>0</v>
      </c>
    </row>
    <row r="194" spans="1:9" hidden="1" x14ac:dyDescent="0.2">
      <c r="A194" s="6">
        <v>44076.708333333336</v>
      </c>
      <c r="B194" s="1" t="s">
        <v>6</v>
      </c>
      <c r="C194">
        <v>30</v>
      </c>
      <c r="D194">
        <v>1</v>
      </c>
      <c r="E194">
        <v>472</v>
      </c>
      <c r="F194">
        <v>3804</v>
      </c>
      <c r="G194" s="7">
        <f t="shared" si="6"/>
        <v>24</v>
      </c>
      <c r="H194" s="4">
        <f t="shared" si="7"/>
        <v>6.3091482649841879E-3</v>
      </c>
      <c r="I194" s="1">
        <f t="shared" si="8"/>
        <v>0</v>
      </c>
    </row>
    <row r="195" spans="1:9" hidden="1" x14ac:dyDescent="0.2">
      <c r="A195" s="6">
        <v>44077.708333333336</v>
      </c>
      <c r="B195" s="1" t="s">
        <v>6</v>
      </c>
      <c r="C195">
        <v>33</v>
      </c>
      <c r="D195">
        <v>1</v>
      </c>
      <c r="E195">
        <v>472</v>
      </c>
      <c r="F195">
        <v>3828</v>
      </c>
      <c r="G195" s="7">
        <f t="shared" ref="G195:G258" si="9">IF(AND(F195&gt;0,AND(B195=B194,F195&gt;0)),F195-F194,0)</f>
        <v>24</v>
      </c>
      <c r="H195" s="4">
        <f t="shared" ref="H195:H258" si="10">IF(AND(F194&gt;0,AND(B195=B194,F194&gt;0)),1-(F194/F195),0)</f>
        <v>6.2695924764890609E-3</v>
      </c>
      <c r="I195" s="1">
        <f t="shared" ref="I195:I258" si="11">IF(AND(E195&gt;0,AND(B195=B194,E195&gt;0)),E195-E194,0)</f>
        <v>0</v>
      </c>
    </row>
    <row r="196" spans="1:9" hidden="1" x14ac:dyDescent="0.2">
      <c r="A196" s="6">
        <v>44078.708333333336</v>
      </c>
      <c r="B196" s="1" t="s">
        <v>6</v>
      </c>
      <c r="C196">
        <v>32</v>
      </c>
      <c r="D196">
        <v>1</v>
      </c>
      <c r="E196">
        <v>472</v>
      </c>
      <c r="F196">
        <v>3853</v>
      </c>
      <c r="G196" s="7">
        <f t="shared" si="9"/>
        <v>25</v>
      </c>
      <c r="H196" s="4">
        <f t="shared" si="10"/>
        <v>6.4884505580067309E-3</v>
      </c>
      <c r="I196" s="1">
        <f t="shared" si="11"/>
        <v>0</v>
      </c>
    </row>
    <row r="197" spans="1:9" hidden="1" x14ac:dyDescent="0.2">
      <c r="A197" s="6">
        <v>44079.708333333336</v>
      </c>
      <c r="B197" s="1" t="s">
        <v>6</v>
      </c>
      <c r="C197">
        <v>32</v>
      </c>
      <c r="D197">
        <v>2</v>
      </c>
      <c r="E197">
        <v>472</v>
      </c>
      <c r="F197">
        <v>3865</v>
      </c>
      <c r="G197" s="7">
        <f t="shared" si="9"/>
        <v>12</v>
      </c>
      <c r="H197" s="4">
        <f t="shared" si="10"/>
        <v>3.1047865459249424E-3</v>
      </c>
      <c r="I197" s="1">
        <f t="shared" si="11"/>
        <v>0</v>
      </c>
    </row>
    <row r="198" spans="1:9" hidden="1" x14ac:dyDescent="0.2">
      <c r="A198" s="6">
        <v>44080.708333333336</v>
      </c>
      <c r="B198" s="1" t="s">
        <v>6</v>
      </c>
      <c r="C198">
        <v>32</v>
      </c>
      <c r="D198">
        <v>2</v>
      </c>
      <c r="E198">
        <v>472</v>
      </c>
      <c r="F198">
        <v>3891</v>
      </c>
      <c r="G198" s="7">
        <f t="shared" si="9"/>
        <v>26</v>
      </c>
      <c r="H198" s="4">
        <f t="shared" si="10"/>
        <v>6.6820868671292333E-3</v>
      </c>
      <c r="I198" s="1">
        <f t="shared" si="11"/>
        <v>0</v>
      </c>
    </row>
    <row r="199" spans="1:9" hidden="1" x14ac:dyDescent="0.2">
      <c r="A199" s="6">
        <v>44081.708333333336</v>
      </c>
      <c r="B199" s="1" t="s">
        <v>6</v>
      </c>
      <c r="C199">
        <v>31</v>
      </c>
      <c r="D199">
        <v>2</v>
      </c>
      <c r="E199">
        <v>472</v>
      </c>
      <c r="F199">
        <v>3906</v>
      </c>
      <c r="G199" s="7">
        <f t="shared" si="9"/>
        <v>15</v>
      </c>
      <c r="H199" s="4">
        <f t="shared" si="10"/>
        <v>3.8402457757296116E-3</v>
      </c>
      <c r="I199" s="1">
        <f t="shared" si="11"/>
        <v>0</v>
      </c>
    </row>
    <row r="200" spans="1:9" hidden="1" x14ac:dyDescent="0.2">
      <c r="A200" s="6">
        <v>44082.708333333336</v>
      </c>
      <c r="B200" s="1" t="s">
        <v>6</v>
      </c>
      <c r="C200">
        <v>34</v>
      </c>
      <c r="D200">
        <v>2</v>
      </c>
      <c r="E200">
        <v>472</v>
      </c>
      <c r="F200">
        <v>3919</v>
      </c>
      <c r="G200" s="7">
        <f t="shared" si="9"/>
        <v>13</v>
      </c>
      <c r="H200" s="4">
        <f t="shared" si="10"/>
        <v>3.3171727481500213E-3</v>
      </c>
      <c r="I200" s="1">
        <f t="shared" si="11"/>
        <v>0</v>
      </c>
    </row>
    <row r="201" spans="1:9" hidden="1" x14ac:dyDescent="0.2">
      <c r="A201" s="6">
        <v>44083.708333333336</v>
      </c>
      <c r="B201" s="1" t="s">
        <v>6</v>
      </c>
      <c r="C201">
        <v>35</v>
      </c>
      <c r="D201">
        <v>2</v>
      </c>
      <c r="E201">
        <v>472</v>
      </c>
      <c r="F201">
        <v>3921</v>
      </c>
      <c r="G201" s="7">
        <f t="shared" si="9"/>
        <v>2</v>
      </c>
      <c r="H201" s="4">
        <f t="shared" si="10"/>
        <v>5.100739607243332E-4</v>
      </c>
      <c r="I201" s="1">
        <f t="shared" si="11"/>
        <v>0</v>
      </c>
    </row>
    <row r="202" spans="1:9" hidden="1" x14ac:dyDescent="0.2">
      <c r="A202" s="6">
        <v>44084.708333333336</v>
      </c>
      <c r="B202" s="1" t="s">
        <v>6</v>
      </c>
      <c r="C202">
        <v>35</v>
      </c>
      <c r="D202">
        <v>3</v>
      </c>
      <c r="E202">
        <v>472</v>
      </c>
      <c r="F202">
        <v>3932</v>
      </c>
      <c r="G202" s="7">
        <f t="shared" si="9"/>
        <v>11</v>
      </c>
      <c r="H202" s="4">
        <f t="shared" si="10"/>
        <v>2.7975584944048837E-3</v>
      </c>
      <c r="I202" s="1">
        <f t="shared" si="11"/>
        <v>0</v>
      </c>
    </row>
    <row r="203" spans="1:9" hidden="1" x14ac:dyDescent="0.2">
      <c r="A203" s="6">
        <v>44085.708333333336</v>
      </c>
      <c r="B203" s="1" t="s">
        <v>6</v>
      </c>
      <c r="C203">
        <v>36</v>
      </c>
      <c r="D203">
        <v>4</v>
      </c>
      <c r="E203">
        <v>472</v>
      </c>
      <c r="F203">
        <v>3967</v>
      </c>
      <c r="G203" s="7">
        <f t="shared" si="9"/>
        <v>35</v>
      </c>
      <c r="H203" s="4">
        <f t="shared" si="10"/>
        <v>8.8227880010083304E-3</v>
      </c>
      <c r="I203" s="1">
        <f t="shared" si="11"/>
        <v>0</v>
      </c>
    </row>
    <row r="204" spans="1:9" hidden="1" x14ac:dyDescent="0.2">
      <c r="A204" s="6">
        <v>44086.708333333336</v>
      </c>
      <c r="B204" s="1" t="s">
        <v>6</v>
      </c>
      <c r="C204">
        <v>37</v>
      </c>
      <c r="D204">
        <v>3</v>
      </c>
      <c r="E204">
        <v>472</v>
      </c>
      <c r="F204">
        <v>3978</v>
      </c>
      <c r="G204" s="7">
        <f t="shared" si="9"/>
        <v>11</v>
      </c>
      <c r="H204" s="4">
        <f t="shared" si="10"/>
        <v>2.7652086475615789E-3</v>
      </c>
      <c r="I204" s="1">
        <f t="shared" si="11"/>
        <v>0</v>
      </c>
    </row>
    <row r="205" spans="1:9" hidden="1" x14ac:dyDescent="0.2">
      <c r="A205" s="6">
        <v>44087.708333333336</v>
      </c>
      <c r="B205" s="1" t="s">
        <v>6</v>
      </c>
      <c r="C205">
        <v>41</v>
      </c>
      <c r="D205">
        <v>3</v>
      </c>
      <c r="E205">
        <v>472</v>
      </c>
      <c r="F205">
        <v>4015</v>
      </c>
      <c r="G205" s="7">
        <f t="shared" si="9"/>
        <v>37</v>
      </c>
      <c r="H205" s="4">
        <f t="shared" si="10"/>
        <v>9.2154420921544133E-3</v>
      </c>
      <c r="I205" s="1">
        <f t="shared" si="11"/>
        <v>0</v>
      </c>
    </row>
    <row r="206" spans="1:9" hidden="1" x14ac:dyDescent="0.2">
      <c r="A206" s="6">
        <v>44088.708333333336</v>
      </c>
      <c r="B206" s="1" t="s">
        <v>6</v>
      </c>
      <c r="C206">
        <v>41</v>
      </c>
      <c r="D206">
        <v>4</v>
      </c>
      <c r="E206">
        <v>473</v>
      </c>
      <c r="F206">
        <v>4016</v>
      </c>
      <c r="G206" s="7">
        <f t="shared" si="9"/>
        <v>1</v>
      </c>
      <c r="H206" s="4">
        <f t="shared" si="10"/>
        <v>2.4900398406380031E-4</v>
      </c>
      <c r="I206" s="1">
        <f t="shared" si="11"/>
        <v>1</v>
      </c>
    </row>
    <row r="207" spans="1:9" hidden="1" x14ac:dyDescent="0.2">
      <c r="A207" s="6">
        <v>44089.708333333336</v>
      </c>
      <c r="B207" s="1" t="s">
        <v>6</v>
      </c>
      <c r="C207">
        <v>42</v>
      </c>
      <c r="D207">
        <v>4</v>
      </c>
      <c r="E207">
        <v>473</v>
      </c>
      <c r="F207">
        <v>4034</v>
      </c>
      <c r="G207" s="7">
        <f t="shared" si="9"/>
        <v>18</v>
      </c>
      <c r="H207" s="4">
        <f t="shared" si="10"/>
        <v>4.4620723847298427E-3</v>
      </c>
      <c r="I207" s="1">
        <f t="shared" si="11"/>
        <v>0</v>
      </c>
    </row>
    <row r="208" spans="1:9" hidden="1" x14ac:dyDescent="0.2">
      <c r="A208" s="6">
        <v>44090.708333333336</v>
      </c>
      <c r="B208" s="1" t="s">
        <v>6</v>
      </c>
      <c r="C208">
        <v>42</v>
      </c>
      <c r="D208">
        <v>5</v>
      </c>
      <c r="E208">
        <v>473</v>
      </c>
      <c r="F208">
        <v>4052</v>
      </c>
      <c r="G208" s="7">
        <f t="shared" si="9"/>
        <v>18</v>
      </c>
      <c r="H208" s="4">
        <f t="shared" si="10"/>
        <v>4.4422507403750755E-3</v>
      </c>
      <c r="I208" s="1">
        <f t="shared" si="11"/>
        <v>0</v>
      </c>
    </row>
    <row r="209" spans="1:9" hidden="1" x14ac:dyDescent="0.2">
      <c r="A209" s="6">
        <v>44091.708333333336</v>
      </c>
      <c r="B209" s="1" t="s">
        <v>6</v>
      </c>
      <c r="C209">
        <v>45</v>
      </c>
      <c r="D209">
        <v>5</v>
      </c>
      <c r="E209">
        <v>473</v>
      </c>
      <c r="F209">
        <v>4083</v>
      </c>
      <c r="G209" s="7">
        <f t="shared" si="9"/>
        <v>31</v>
      </c>
      <c r="H209" s="4">
        <f t="shared" si="10"/>
        <v>7.5924565270634181E-3</v>
      </c>
      <c r="I209" s="1">
        <f t="shared" si="11"/>
        <v>0</v>
      </c>
    </row>
    <row r="210" spans="1:9" hidden="1" x14ac:dyDescent="0.2">
      <c r="A210" s="6">
        <v>44092.708333333336</v>
      </c>
      <c r="B210" s="1" t="s">
        <v>6</v>
      </c>
      <c r="C210">
        <v>48</v>
      </c>
      <c r="D210">
        <v>5</v>
      </c>
      <c r="E210">
        <v>474</v>
      </c>
      <c r="F210">
        <v>4137</v>
      </c>
      <c r="G210" s="7">
        <f t="shared" si="9"/>
        <v>54</v>
      </c>
      <c r="H210" s="4">
        <f t="shared" si="10"/>
        <v>1.3052936910804891E-2</v>
      </c>
      <c r="I210" s="1">
        <f t="shared" si="11"/>
        <v>1</v>
      </c>
    </row>
    <row r="211" spans="1:9" hidden="1" x14ac:dyDescent="0.2">
      <c r="A211" s="6">
        <v>44093.708333333336</v>
      </c>
      <c r="B211" s="1" t="s">
        <v>6</v>
      </c>
      <c r="C211">
        <v>48</v>
      </c>
      <c r="D211">
        <v>5</v>
      </c>
      <c r="E211">
        <v>474</v>
      </c>
      <c r="F211">
        <v>4137</v>
      </c>
      <c r="G211" s="7">
        <f t="shared" si="9"/>
        <v>0</v>
      </c>
      <c r="H211" s="4">
        <f t="shared" si="10"/>
        <v>0</v>
      </c>
      <c r="I211" s="1">
        <f t="shared" si="11"/>
        <v>0</v>
      </c>
    </row>
    <row r="212" spans="1:9" hidden="1" x14ac:dyDescent="0.2">
      <c r="A212" s="6">
        <v>44094.708333333336</v>
      </c>
      <c r="B212" s="1" t="s">
        <v>6</v>
      </c>
      <c r="C212">
        <v>48</v>
      </c>
      <c r="D212">
        <v>5</v>
      </c>
      <c r="E212">
        <v>474</v>
      </c>
      <c r="F212">
        <v>4137</v>
      </c>
      <c r="G212" s="7">
        <f t="shared" si="9"/>
        <v>0</v>
      </c>
      <c r="H212" s="4">
        <f t="shared" si="10"/>
        <v>0</v>
      </c>
      <c r="I212" s="1">
        <f t="shared" si="11"/>
        <v>0</v>
      </c>
    </row>
    <row r="213" spans="1:9" hidden="1" x14ac:dyDescent="0.2">
      <c r="A213" s="6">
        <v>44095.708333333336</v>
      </c>
      <c r="B213" s="1" t="s">
        <v>6</v>
      </c>
      <c r="C213">
        <v>58</v>
      </c>
      <c r="D213">
        <v>5</v>
      </c>
      <c r="E213">
        <v>475</v>
      </c>
      <c r="F213">
        <v>4209</v>
      </c>
      <c r="G213" s="7">
        <f t="shared" si="9"/>
        <v>72</v>
      </c>
      <c r="H213" s="4">
        <f t="shared" si="10"/>
        <v>1.7106200997861754E-2</v>
      </c>
      <c r="I213" s="1">
        <f t="shared" si="11"/>
        <v>1</v>
      </c>
    </row>
    <row r="214" spans="1:9" hidden="1" x14ac:dyDescent="0.2">
      <c r="A214" s="6">
        <v>44096.708333333336</v>
      </c>
      <c r="B214" s="1" t="s">
        <v>6</v>
      </c>
      <c r="C214">
        <v>54</v>
      </c>
      <c r="D214">
        <v>5</v>
      </c>
      <c r="E214">
        <v>475</v>
      </c>
      <c r="F214">
        <v>4227</v>
      </c>
      <c r="G214" s="7">
        <f t="shared" si="9"/>
        <v>18</v>
      </c>
      <c r="H214" s="4">
        <f t="shared" si="10"/>
        <v>4.2583392476933657E-3</v>
      </c>
      <c r="I214" s="1">
        <f t="shared" si="11"/>
        <v>0</v>
      </c>
    </row>
    <row r="215" spans="1:9" hidden="1" x14ac:dyDescent="0.2">
      <c r="A215" s="6">
        <v>44097.708333333336</v>
      </c>
      <c r="B215" s="1" t="s">
        <v>6</v>
      </c>
      <c r="C215">
        <v>55</v>
      </c>
      <c r="D215">
        <v>4</v>
      </c>
      <c r="E215">
        <v>477</v>
      </c>
      <c r="F215">
        <v>4249</v>
      </c>
      <c r="G215" s="7">
        <f t="shared" si="9"/>
        <v>22</v>
      </c>
      <c r="H215" s="4">
        <f t="shared" si="10"/>
        <v>5.1776888679689881E-3</v>
      </c>
      <c r="I215" s="1">
        <f t="shared" si="11"/>
        <v>2</v>
      </c>
    </row>
    <row r="216" spans="1:9" hidden="1" x14ac:dyDescent="0.2">
      <c r="A216" s="6">
        <v>44098.708333333336</v>
      </c>
      <c r="B216" s="1" t="s">
        <v>6</v>
      </c>
      <c r="C216">
        <v>50</v>
      </c>
      <c r="D216">
        <v>4</v>
      </c>
      <c r="E216">
        <v>477</v>
      </c>
      <c r="F216">
        <v>4266</v>
      </c>
      <c r="G216" s="7">
        <f t="shared" si="9"/>
        <v>17</v>
      </c>
      <c r="H216" s="4">
        <f t="shared" si="10"/>
        <v>3.9849976558837819E-3</v>
      </c>
      <c r="I216" s="1">
        <f t="shared" si="11"/>
        <v>0</v>
      </c>
    </row>
    <row r="217" spans="1:9" hidden="1" x14ac:dyDescent="0.2">
      <c r="A217" s="6">
        <v>44099.708333333336</v>
      </c>
      <c r="B217" s="1" t="s">
        <v>6</v>
      </c>
      <c r="C217">
        <v>58</v>
      </c>
      <c r="D217">
        <v>5</v>
      </c>
      <c r="E217">
        <v>477</v>
      </c>
      <c r="F217">
        <v>4317</v>
      </c>
      <c r="G217" s="7">
        <f t="shared" si="9"/>
        <v>51</v>
      </c>
      <c r="H217" s="4">
        <f t="shared" si="10"/>
        <v>1.1813759555246661E-2</v>
      </c>
      <c r="I217" s="1">
        <f t="shared" si="11"/>
        <v>0</v>
      </c>
    </row>
    <row r="218" spans="1:9" hidden="1" x14ac:dyDescent="0.2">
      <c r="A218" s="6">
        <v>44100.708333333336</v>
      </c>
      <c r="B218" s="1" t="s">
        <v>6</v>
      </c>
      <c r="C218">
        <v>54</v>
      </c>
      <c r="D218">
        <v>5</v>
      </c>
      <c r="E218">
        <v>477</v>
      </c>
      <c r="F218">
        <v>4333</v>
      </c>
      <c r="G218" s="7">
        <f t="shared" si="9"/>
        <v>16</v>
      </c>
      <c r="H218" s="4">
        <f t="shared" si="10"/>
        <v>3.6925917378259898E-3</v>
      </c>
      <c r="I218" s="1">
        <f t="shared" si="11"/>
        <v>0</v>
      </c>
    </row>
    <row r="219" spans="1:9" hidden="1" x14ac:dyDescent="0.2">
      <c r="A219" s="6">
        <v>44101.708333333336</v>
      </c>
      <c r="B219" s="1" t="s">
        <v>6</v>
      </c>
      <c r="C219">
        <v>50</v>
      </c>
      <c r="D219">
        <v>5</v>
      </c>
      <c r="E219">
        <v>478</v>
      </c>
      <c r="F219">
        <v>4380</v>
      </c>
      <c r="G219" s="7">
        <f t="shared" si="9"/>
        <v>47</v>
      </c>
      <c r="H219" s="4">
        <f t="shared" si="10"/>
        <v>1.0730593607305883E-2</v>
      </c>
      <c r="I219" s="1">
        <f t="shared" si="11"/>
        <v>1</v>
      </c>
    </row>
    <row r="220" spans="1:9" hidden="1" x14ac:dyDescent="0.2">
      <c r="A220" s="6">
        <v>44102.708333333336</v>
      </c>
      <c r="B220" s="1" t="s">
        <v>6</v>
      </c>
      <c r="C220">
        <v>54</v>
      </c>
      <c r="D220">
        <v>4</v>
      </c>
      <c r="E220">
        <v>479</v>
      </c>
      <c r="F220">
        <v>4384</v>
      </c>
      <c r="G220" s="7">
        <f t="shared" si="9"/>
        <v>4</v>
      </c>
      <c r="H220" s="4">
        <f t="shared" si="10"/>
        <v>9.1240875912412811E-4</v>
      </c>
      <c r="I220" s="1">
        <f t="shared" si="11"/>
        <v>1</v>
      </c>
    </row>
    <row r="221" spans="1:9" hidden="1" x14ac:dyDescent="0.2">
      <c r="A221" s="6">
        <v>44103.708333333336</v>
      </c>
      <c r="B221" s="1" t="s">
        <v>6</v>
      </c>
      <c r="C221">
        <v>52</v>
      </c>
      <c r="D221">
        <v>4</v>
      </c>
      <c r="E221">
        <v>481</v>
      </c>
      <c r="F221">
        <v>4397</v>
      </c>
      <c r="G221" s="7">
        <f t="shared" si="9"/>
        <v>13</v>
      </c>
      <c r="H221" s="4">
        <f t="shared" si="10"/>
        <v>2.9565612917898942E-3</v>
      </c>
      <c r="I221" s="1">
        <f t="shared" si="11"/>
        <v>2</v>
      </c>
    </row>
    <row r="222" spans="1:9" hidden="1" x14ac:dyDescent="0.2">
      <c r="A222" s="6">
        <v>44104.708333333336</v>
      </c>
      <c r="B222" s="1" t="s">
        <v>6</v>
      </c>
      <c r="C222">
        <v>52</v>
      </c>
      <c r="D222">
        <v>5</v>
      </c>
      <c r="E222">
        <v>481</v>
      </c>
      <c r="F222">
        <v>4419</v>
      </c>
      <c r="G222" s="7">
        <f t="shared" si="9"/>
        <v>22</v>
      </c>
      <c r="H222" s="4">
        <f t="shared" si="10"/>
        <v>4.9785019235121242E-3</v>
      </c>
      <c r="I222" s="1">
        <f t="shared" si="11"/>
        <v>0</v>
      </c>
    </row>
    <row r="223" spans="1:9" hidden="1" x14ac:dyDescent="0.2">
      <c r="A223" s="6">
        <v>44105.708333333336</v>
      </c>
      <c r="B223" s="1" t="s">
        <v>6</v>
      </c>
      <c r="C223">
        <v>52</v>
      </c>
      <c r="D223">
        <v>5</v>
      </c>
      <c r="E223">
        <v>481</v>
      </c>
      <c r="F223">
        <v>4449</v>
      </c>
      <c r="G223" s="7">
        <f t="shared" si="9"/>
        <v>30</v>
      </c>
      <c r="H223" s="4">
        <f t="shared" si="10"/>
        <v>6.7430883344571368E-3</v>
      </c>
      <c r="I223" s="1">
        <f t="shared" si="11"/>
        <v>0</v>
      </c>
    </row>
    <row r="224" spans="1:9" hidden="1" x14ac:dyDescent="0.2">
      <c r="A224" s="6">
        <v>44106.708333333336</v>
      </c>
      <c r="B224" s="1" t="s">
        <v>6</v>
      </c>
      <c r="C224">
        <v>58</v>
      </c>
      <c r="D224">
        <v>6</v>
      </c>
      <c r="E224">
        <v>481</v>
      </c>
      <c r="F224">
        <v>4498</v>
      </c>
      <c r="G224" s="7">
        <f t="shared" si="9"/>
        <v>49</v>
      </c>
      <c r="H224" s="4">
        <f t="shared" si="10"/>
        <v>1.0893730546909786E-2</v>
      </c>
      <c r="I224" s="1">
        <f t="shared" si="11"/>
        <v>0</v>
      </c>
    </row>
    <row r="225" spans="1:9" hidden="1" x14ac:dyDescent="0.2">
      <c r="A225" s="6">
        <v>44107.708333333336</v>
      </c>
      <c r="B225" s="1" t="s">
        <v>6</v>
      </c>
      <c r="C225">
        <v>66</v>
      </c>
      <c r="D225">
        <v>6</v>
      </c>
      <c r="E225">
        <v>481</v>
      </c>
      <c r="F225">
        <v>4540</v>
      </c>
      <c r="G225" s="7">
        <f t="shared" si="9"/>
        <v>42</v>
      </c>
      <c r="H225" s="4">
        <f t="shared" si="10"/>
        <v>9.2511013215859084E-3</v>
      </c>
      <c r="I225" s="1">
        <f t="shared" si="11"/>
        <v>0</v>
      </c>
    </row>
    <row r="226" spans="1:9" hidden="1" x14ac:dyDescent="0.2">
      <c r="A226" s="6">
        <v>44108.708333333336</v>
      </c>
      <c r="B226" s="1" t="s">
        <v>6</v>
      </c>
      <c r="C226">
        <v>70</v>
      </c>
      <c r="D226">
        <v>6</v>
      </c>
      <c r="E226">
        <v>481</v>
      </c>
      <c r="F226">
        <v>4577</v>
      </c>
      <c r="G226" s="7">
        <f t="shared" si="9"/>
        <v>37</v>
      </c>
      <c r="H226" s="4">
        <f t="shared" si="10"/>
        <v>8.0838977496177078E-3</v>
      </c>
      <c r="I226" s="1">
        <f t="shared" si="11"/>
        <v>0</v>
      </c>
    </row>
    <row r="227" spans="1:9" hidden="1" x14ac:dyDescent="0.2">
      <c r="A227" s="6">
        <v>44109.708333333336</v>
      </c>
      <c r="B227" s="1" t="s">
        <v>6</v>
      </c>
      <c r="C227">
        <v>72</v>
      </c>
      <c r="D227">
        <v>7</v>
      </c>
      <c r="E227">
        <v>482</v>
      </c>
      <c r="F227">
        <v>4607</v>
      </c>
      <c r="G227" s="7">
        <f t="shared" si="9"/>
        <v>30</v>
      </c>
      <c r="H227" s="4">
        <f t="shared" si="10"/>
        <v>6.5118298241806372E-3</v>
      </c>
      <c r="I227" s="1">
        <f t="shared" si="11"/>
        <v>1</v>
      </c>
    </row>
    <row r="228" spans="1:9" hidden="1" x14ac:dyDescent="0.2">
      <c r="A228" s="6">
        <v>44110.708333333336</v>
      </c>
      <c r="B228" s="1" t="s">
        <v>6</v>
      </c>
      <c r="C228">
        <v>81</v>
      </c>
      <c r="D228">
        <v>6</v>
      </c>
      <c r="E228">
        <v>484</v>
      </c>
      <c r="F228">
        <v>4655</v>
      </c>
      <c r="G228" s="7">
        <f t="shared" si="9"/>
        <v>48</v>
      </c>
      <c r="H228" s="4">
        <f t="shared" si="10"/>
        <v>1.0311493018259954E-2</v>
      </c>
      <c r="I228" s="1">
        <f t="shared" si="11"/>
        <v>2</v>
      </c>
    </row>
    <row r="229" spans="1:9" hidden="1" x14ac:dyDescent="0.2">
      <c r="A229" s="6">
        <v>44111.708333333336</v>
      </c>
      <c r="B229" s="1" t="s">
        <v>6</v>
      </c>
      <c r="C229">
        <v>88</v>
      </c>
      <c r="D229">
        <v>6</v>
      </c>
      <c r="E229">
        <v>485</v>
      </c>
      <c r="F229">
        <v>4715</v>
      </c>
      <c r="G229" s="7">
        <f t="shared" si="9"/>
        <v>60</v>
      </c>
      <c r="H229" s="4">
        <f t="shared" si="10"/>
        <v>1.2725344644750836E-2</v>
      </c>
      <c r="I229" s="1">
        <f t="shared" si="11"/>
        <v>1</v>
      </c>
    </row>
    <row r="230" spans="1:9" hidden="1" x14ac:dyDescent="0.2">
      <c r="A230" s="6">
        <v>44112.708333333336</v>
      </c>
      <c r="B230" s="1" t="s">
        <v>6</v>
      </c>
      <c r="C230">
        <v>90</v>
      </c>
      <c r="D230">
        <v>7</v>
      </c>
      <c r="E230">
        <v>486</v>
      </c>
      <c r="F230">
        <v>4783</v>
      </c>
      <c r="G230" s="7">
        <f t="shared" si="9"/>
        <v>68</v>
      </c>
      <c r="H230" s="4">
        <f t="shared" si="10"/>
        <v>1.4217018607568521E-2</v>
      </c>
      <c r="I230" s="1">
        <f t="shared" si="11"/>
        <v>1</v>
      </c>
    </row>
    <row r="231" spans="1:9" hidden="1" x14ac:dyDescent="0.2">
      <c r="A231" s="6">
        <v>44113.708333333336</v>
      </c>
      <c r="B231" s="1" t="s">
        <v>6</v>
      </c>
      <c r="C231">
        <v>100</v>
      </c>
      <c r="D231">
        <v>7</v>
      </c>
      <c r="E231">
        <v>487</v>
      </c>
      <c r="F231">
        <v>4886</v>
      </c>
      <c r="G231" s="7">
        <f t="shared" si="9"/>
        <v>103</v>
      </c>
      <c r="H231" s="4">
        <f t="shared" si="10"/>
        <v>2.1080638559148546E-2</v>
      </c>
      <c r="I231" s="1">
        <f t="shared" si="11"/>
        <v>1</v>
      </c>
    </row>
    <row r="232" spans="1:9" hidden="1" x14ac:dyDescent="0.2">
      <c r="A232" s="6">
        <v>44114.708333333336</v>
      </c>
      <c r="B232" s="1" t="s">
        <v>6</v>
      </c>
      <c r="C232">
        <v>110</v>
      </c>
      <c r="D232">
        <v>7</v>
      </c>
      <c r="E232">
        <v>487</v>
      </c>
      <c r="F232">
        <v>4980</v>
      </c>
      <c r="G232" s="7">
        <f t="shared" si="9"/>
        <v>94</v>
      </c>
      <c r="H232" s="4">
        <f t="shared" si="10"/>
        <v>1.8875502008032119E-2</v>
      </c>
      <c r="I232" s="1">
        <f t="shared" si="11"/>
        <v>0</v>
      </c>
    </row>
    <row r="233" spans="1:9" hidden="1" x14ac:dyDescent="0.2">
      <c r="A233" s="6">
        <v>44115.708333333336</v>
      </c>
      <c r="B233" s="1" t="s">
        <v>6</v>
      </c>
      <c r="C233">
        <v>116</v>
      </c>
      <c r="D233">
        <v>8</v>
      </c>
      <c r="E233">
        <v>487</v>
      </c>
      <c r="F233">
        <v>5057</v>
      </c>
      <c r="G233" s="7">
        <f t="shared" si="9"/>
        <v>77</v>
      </c>
      <c r="H233" s="4">
        <f t="shared" si="10"/>
        <v>1.5226418825390553E-2</v>
      </c>
      <c r="I233" s="1">
        <f t="shared" si="11"/>
        <v>0</v>
      </c>
    </row>
    <row r="234" spans="1:9" hidden="1" x14ac:dyDescent="0.2">
      <c r="A234" s="6">
        <v>43885.75</v>
      </c>
      <c r="B234" s="1" t="s">
        <v>7</v>
      </c>
      <c r="C234">
        <v>0</v>
      </c>
      <c r="D234">
        <v>0</v>
      </c>
      <c r="E234">
        <v>0</v>
      </c>
      <c r="F234">
        <v>0</v>
      </c>
      <c r="G234" s="7">
        <f t="shared" si="9"/>
        <v>0</v>
      </c>
      <c r="H234" s="4">
        <f t="shared" si="10"/>
        <v>0</v>
      </c>
      <c r="I234" s="1">
        <f t="shared" si="11"/>
        <v>0</v>
      </c>
    </row>
    <row r="235" spans="1:9" hidden="1" x14ac:dyDescent="0.2">
      <c r="A235" s="6">
        <v>43886.75</v>
      </c>
      <c r="B235" s="1" t="s">
        <v>7</v>
      </c>
      <c r="C235">
        <v>0</v>
      </c>
      <c r="D235">
        <v>0</v>
      </c>
      <c r="E235">
        <v>0</v>
      </c>
      <c r="F235">
        <v>0</v>
      </c>
      <c r="G235" s="7">
        <f t="shared" si="9"/>
        <v>0</v>
      </c>
      <c r="H235" s="4">
        <f t="shared" si="10"/>
        <v>0</v>
      </c>
      <c r="I235" s="1">
        <f t="shared" si="11"/>
        <v>0</v>
      </c>
    </row>
    <row r="236" spans="1:9" hidden="1" x14ac:dyDescent="0.2">
      <c r="A236" s="6">
        <v>43887.75</v>
      </c>
      <c r="B236" s="1" t="s">
        <v>7</v>
      </c>
      <c r="C236">
        <v>0</v>
      </c>
      <c r="D236">
        <v>0</v>
      </c>
      <c r="E236">
        <v>0</v>
      </c>
      <c r="F236">
        <v>0</v>
      </c>
      <c r="G236" s="7">
        <f t="shared" si="9"/>
        <v>0</v>
      </c>
      <c r="H236" s="4">
        <f t="shared" si="10"/>
        <v>0</v>
      </c>
      <c r="I236" s="1">
        <f t="shared" si="11"/>
        <v>0</v>
      </c>
    </row>
    <row r="237" spans="1:9" hidden="1" x14ac:dyDescent="0.2">
      <c r="A237" s="6">
        <v>43888.75</v>
      </c>
      <c r="B237" s="1" t="s">
        <v>7</v>
      </c>
      <c r="C237">
        <v>0</v>
      </c>
      <c r="D237">
        <v>0</v>
      </c>
      <c r="E237">
        <v>0</v>
      </c>
      <c r="F237">
        <v>0</v>
      </c>
      <c r="G237" s="7">
        <f t="shared" si="9"/>
        <v>0</v>
      </c>
      <c r="H237" s="4">
        <f t="shared" si="10"/>
        <v>0</v>
      </c>
      <c r="I237" s="1">
        <f t="shared" si="11"/>
        <v>0</v>
      </c>
    </row>
    <row r="238" spans="1:9" hidden="1" x14ac:dyDescent="0.2">
      <c r="A238" s="6">
        <v>43889.75</v>
      </c>
      <c r="B238" s="1" t="s">
        <v>7</v>
      </c>
      <c r="C238">
        <v>0</v>
      </c>
      <c r="D238">
        <v>0</v>
      </c>
      <c r="E238">
        <v>0</v>
      </c>
      <c r="F238">
        <v>0</v>
      </c>
      <c r="G238" s="7">
        <f t="shared" si="9"/>
        <v>0</v>
      </c>
      <c r="H238" s="4">
        <f t="shared" si="10"/>
        <v>0</v>
      </c>
      <c r="I238" s="1">
        <f t="shared" si="11"/>
        <v>0</v>
      </c>
    </row>
    <row r="239" spans="1:9" hidden="1" x14ac:dyDescent="0.2">
      <c r="A239" s="6">
        <v>43890.708333333336</v>
      </c>
      <c r="B239" s="1" t="s">
        <v>7</v>
      </c>
      <c r="C239">
        <v>0</v>
      </c>
      <c r="D239">
        <v>0</v>
      </c>
      <c r="E239">
        <v>0</v>
      </c>
      <c r="F239">
        <v>0</v>
      </c>
      <c r="G239" s="7">
        <f t="shared" si="9"/>
        <v>0</v>
      </c>
      <c r="H239" s="4">
        <f t="shared" si="10"/>
        <v>0</v>
      </c>
      <c r="I239" s="1">
        <f t="shared" si="11"/>
        <v>0</v>
      </c>
    </row>
    <row r="240" spans="1:9" hidden="1" x14ac:dyDescent="0.2">
      <c r="A240" s="6">
        <v>43891.708333333336</v>
      </c>
      <c r="B240" s="1" t="s">
        <v>7</v>
      </c>
      <c r="C240">
        <v>0</v>
      </c>
      <c r="D240">
        <v>0</v>
      </c>
      <c r="E240">
        <v>0</v>
      </c>
      <c r="F240">
        <v>0</v>
      </c>
      <c r="G240" s="7">
        <f t="shared" si="9"/>
        <v>0</v>
      </c>
      <c r="H240" s="4">
        <f t="shared" si="10"/>
        <v>0</v>
      </c>
      <c r="I240" s="1">
        <f t="shared" si="11"/>
        <v>0</v>
      </c>
    </row>
    <row r="241" spans="1:9" hidden="1" x14ac:dyDescent="0.2">
      <c r="A241" s="6">
        <v>43892.75</v>
      </c>
      <c r="B241" s="1" t="s">
        <v>7</v>
      </c>
      <c r="C241">
        <v>0</v>
      </c>
      <c r="D241">
        <v>0</v>
      </c>
      <c r="E241">
        <v>0</v>
      </c>
      <c r="F241">
        <v>0</v>
      </c>
      <c r="G241" s="7">
        <f t="shared" si="9"/>
        <v>0</v>
      </c>
      <c r="H241" s="4">
        <f t="shared" si="10"/>
        <v>0</v>
      </c>
      <c r="I241" s="1">
        <f t="shared" si="11"/>
        <v>0</v>
      </c>
    </row>
    <row r="242" spans="1:9" hidden="1" x14ac:dyDescent="0.2">
      <c r="A242" s="6">
        <v>43893.75</v>
      </c>
      <c r="B242" s="1" t="s">
        <v>7</v>
      </c>
      <c r="C242">
        <v>0</v>
      </c>
      <c r="D242">
        <v>0</v>
      </c>
      <c r="E242">
        <v>0</v>
      </c>
      <c r="F242">
        <v>1</v>
      </c>
      <c r="G242" s="7">
        <f t="shared" si="9"/>
        <v>1</v>
      </c>
      <c r="H242" s="4">
        <f t="shared" si="10"/>
        <v>0</v>
      </c>
      <c r="I242" s="1">
        <f t="shared" si="11"/>
        <v>0</v>
      </c>
    </row>
    <row r="243" spans="1:9" hidden="1" x14ac:dyDescent="0.2">
      <c r="A243" s="6">
        <v>43894.708333333336</v>
      </c>
      <c r="B243" s="1" t="s">
        <v>7</v>
      </c>
      <c r="C243">
        <v>0</v>
      </c>
      <c r="D243">
        <v>0</v>
      </c>
      <c r="E243">
        <v>0</v>
      </c>
      <c r="F243">
        <v>1</v>
      </c>
      <c r="G243" s="7">
        <f t="shared" si="9"/>
        <v>0</v>
      </c>
      <c r="H243" s="4">
        <f t="shared" si="10"/>
        <v>0</v>
      </c>
      <c r="I243" s="1">
        <f t="shared" si="11"/>
        <v>0</v>
      </c>
    </row>
    <row r="244" spans="1:9" hidden="1" x14ac:dyDescent="0.2">
      <c r="A244" s="6">
        <v>43895.708333333336</v>
      </c>
      <c r="B244" s="1" t="s">
        <v>7</v>
      </c>
      <c r="C244">
        <v>0</v>
      </c>
      <c r="D244">
        <v>0</v>
      </c>
      <c r="E244">
        <v>0</v>
      </c>
      <c r="F244">
        <v>1</v>
      </c>
      <c r="G244" s="7">
        <f t="shared" si="9"/>
        <v>0</v>
      </c>
      <c r="H244" s="4">
        <f t="shared" si="10"/>
        <v>0</v>
      </c>
      <c r="I244" s="1">
        <f t="shared" si="11"/>
        <v>0</v>
      </c>
    </row>
    <row r="245" spans="1:9" hidden="1" x14ac:dyDescent="0.2">
      <c r="A245" s="6">
        <v>43896.708333333336</v>
      </c>
      <c r="B245" s="1" t="s">
        <v>7</v>
      </c>
      <c r="C245">
        <v>1</v>
      </c>
      <c r="D245">
        <v>0</v>
      </c>
      <c r="E245">
        <v>0</v>
      </c>
      <c r="F245">
        <v>3</v>
      </c>
      <c r="G245" s="7">
        <f t="shared" si="9"/>
        <v>2</v>
      </c>
      <c r="H245" s="4">
        <f t="shared" si="10"/>
        <v>0.66666666666666674</v>
      </c>
      <c r="I245" s="1">
        <f t="shared" si="11"/>
        <v>0</v>
      </c>
    </row>
    <row r="246" spans="1:9" hidden="1" x14ac:dyDescent="0.2">
      <c r="A246" s="6">
        <v>43897.75</v>
      </c>
      <c r="B246" s="1" t="s">
        <v>7</v>
      </c>
      <c r="C246">
        <v>1</v>
      </c>
      <c r="D246">
        <v>0</v>
      </c>
      <c r="E246">
        <v>0</v>
      </c>
      <c r="F246">
        <v>3</v>
      </c>
      <c r="G246" s="7">
        <f t="shared" si="9"/>
        <v>0</v>
      </c>
      <c r="H246" s="4">
        <f t="shared" si="10"/>
        <v>0</v>
      </c>
      <c r="I246" s="1">
        <f t="shared" si="11"/>
        <v>0</v>
      </c>
    </row>
    <row r="247" spans="1:9" hidden="1" x14ac:dyDescent="0.2">
      <c r="A247" s="6">
        <v>43898.75</v>
      </c>
      <c r="B247" s="1" t="s">
        <v>7</v>
      </c>
      <c r="C247">
        <v>2</v>
      </c>
      <c r="D247">
        <v>0</v>
      </c>
      <c r="E247">
        <v>0</v>
      </c>
      <c r="F247">
        <v>4</v>
      </c>
      <c r="G247" s="7">
        <f t="shared" si="9"/>
        <v>1</v>
      </c>
      <c r="H247" s="4">
        <f t="shared" si="10"/>
        <v>0.25</v>
      </c>
      <c r="I247" s="1">
        <f t="shared" si="11"/>
        <v>0</v>
      </c>
    </row>
    <row r="248" spans="1:9" hidden="1" x14ac:dyDescent="0.2">
      <c r="A248" s="6">
        <v>43899.75</v>
      </c>
      <c r="B248" s="1" t="s">
        <v>7</v>
      </c>
      <c r="C248">
        <v>2</v>
      </c>
      <c r="D248">
        <v>0</v>
      </c>
      <c r="E248">
        <v>0</v>
      </c>
      <c r="F248">
        <v>5</v>
      </c>
      <c r="G248" s="7">
        <f t="shared" si="9"/>
        <v>1</v>
      </c>
      <c r="H248" s="4">
        <f t="shared" si="10"/>
        <v>0.19999999999999996</v>
      </c>
      <c r="I248" s="1">
        <f t="shared" si="11"/>
        <v>0</v>
      </c>
    </row>
    <row r="249" spans="1:9" hidden="1" x14ac:dyDescent="0.2">
      <c r="A249" s="6">
        <v>43900.75</v>
      </c>
      <c r="B249" s="1" t="s">
        <v>7</v>
      </c>
      <c r="C249">
        <v>2</v>
      </c>
      <c r="D249">
        <v>0</v>
      </c>
      <c r="E249">
        <v>0</v>
      </c>
      <c r="F249">
        <v>7</v>
      </c>
      <c r="G249" s="7">
        <f t="shared" si="9"/>
        <v>2</v>
      </c>
      <c r="H249" s="4">
        <f t="shared" si="10"/>
        <v>0.2857142857142857</v>
      </c>
      <c r="I249" s="1">
        <f t="shared" si="11"/>
        <v>0</v>
      </c>
    </row>
    <row r="250" spans="1:9" hidden="1" x14ac:dyDescent="0.2">
      <c r="A250" s="6">
        <v>43901.708333333336</v>
      </c>
      <c r="B250" s="1" t="s">
        <v>7</v>
      </c>
      <c r="C250">
        <v>1</v>
      </c>
      <c r="D250">
        <v>1</v>
      </c>
      <c r="E250">
        <v>0</v>
      </c>
      <c r="F250">
        <v>8</v>
      </c>
      <c r="G250" s="7">
        <f t="shared" si="9"/>
        <v>1</v>
      </c>
      <c r="H250" s="4">
        <f t="shared" si="10"/>
        <v>0.125</v>
      </c>
      <c r="I250" s="1">
        <f t="shared" si="11"/>
        <v>0</v>
      </c>
    </row>
    <row r="251" spans="1:9" hidden="1" x14ac:dyDescent="0.2">
      <c r="A251" s="6">
        <v>43902.708333333336</v>
      </c>
      <c r="B251" s="1" t="s">
        <v>7</v>
      </c>
      <c r="C251">
        <v>1</v>
      </c>
      <c r="D251">
        <v>1</v>
      </c>
      <c r="E251">
        <v>0</v>
      </c>
      <c r="F251">
        <v>8</v>
      </c>
      <c r="G251" s="7">
        <f t="shared" si="9"/>
        <v>0</v>
      </c>
      <c r="H251" s="4">
        <f t="shared" si="10"/>
        <v>0</v>
      </c>
      <c r="I251" s="1">
        <f t="shared" si="11"/>
        <v>0</v>
      </c>
    </row>
    <row r="252" spans="1:9" hidden="1" x14ac:dyDescent="0.2">
      <c r="A252" s="6">
        <v>43903.708333333336</v>
      </c>
      <c r="B252" s="1" t="s">
        <v>7</v>
      </c>
      <c r="C252">
        <v>1</v>
      </c>
      <c r="D252">
        <v>1</v>
      </c>
      <c r="E252">
        <v>0</v>
      </c>
      <c r="F252">
        <v>10</v>
      </c>
      <c r="G252" s="7">
        <f t="shared" si="9"/>
        <v>2</v>
      </c>
      <c r="H252" s="4">
        <f t="shared" si="10"/>
        <v>0.19999999999999996</v>
      </c>
      <c r="I252" s="1">
        <f t="shared" si="11"/>
        <v>0</v>
      </c>
    </row>
    <row r="253" spans="1:9" hidden="1" x14ac:dyDescent="0.2">
      <c r="A253" s="6">
        <v>43904.708333333336</v>
      </c>
      <c r="B253" s="1" t="s">
        <v>7</v>
      </c>
      <c r="C253">
        <v>0</v>
      </c>
      <c r="D253">
        <v>2</v>
      </c>
      <c r="E253">
        <v>0</v>
      </c>
      <c r="F253">
        <v>10</v>
      </c>
      <c r="G253" s="7">
        <f t="shared" si="9"/>
        <v>0</v>
      </c>
      <c r="H253" s="4">
        <f t="shared" si="10"/>
        <v>0</v>
      </c>
      <c r="I253" s="1">
        <f t="shared" si="11"/>
        <v>0</v>
      </c>
    </row>
    <row r="254" spans="1:9" hidden="1" x14ac:dyDescent="0.2">
      <c r="A254" s="6">
        <v>43905.708333333336</v>
      </c>
      <c r="B254" s="1" t="s">
        <v>7</v>
      </c>
      <c r="C254">
        <v>0</v>
      </c>
      <c r="D254">
        <v>2</v>
      </c>
      <c r="E254">
        <v>0</v>
      </c>
      <c r="F254">
        <v>11</v>
      </c>
      <c r="G254" s="7">
        <f t="shared" si="9"/>
        <v>1</v>
      </c>
      <c r="H254" s="4">
        <f t="shared" si="10"/>
        <v>9.0909090909090939E-2</v>
      </c>
      <c r="I254" s="1">
        <f t="shared" si="11"/>
        <v>0</v>
      </c>
    </row>
    <row r="255" spans="1:9" hidden="1" x14ac:dyDescent="0.2">
      <c r="A255" s="6">
        <v>43906.708333333336</v>
      </c>
      <c r="B255" s="1" t="s">
        <v>7</v>
      </c>
      <c r="C255">
        <v>1</v>
      </c>
      <c r="D255">
        <v>2</v>
      </c>
      <c r="E255">
        <v>0</v>
      </c>
      <c r="F255">
        <v>12</v>
      </c>
      <c r="G255" s="7">
        <f t="shared" si="9"/>
        <v>1</v>
      </c>
      <c r="H255" s="4">
        <f t="shared" si="10"/>
        <v>8.333333333333337E-2</v>
      </c>
      <c r="I255" s="1">
        <f t="shared" si="11"/>
        <v>0</v>
      </c>
    </row>
    <row r="256" spans="1:9" hidden="1" x14ac:dyDescent="0.2">
      <c r="A256" s="6">
        <v>43907.708333333336</v>
      </c>
      <c r="B256" s="1" t="s">
        <v>7</v>
      </c>
      <c r="C256">
        <v>5</v>
      </c>
      <c r="D256">
        <v>2</v>
      </c>
      <c r="E256">
        <v>0</v>
      </c>
      <c r="F256">
        <v>20</v>
      </c>
      <c r="G256" s="7">
        <f t="shared" si="9"/>
        <v>8</v>
      </c>
      <c r="H256" s="4">
        <f t="shared" si="10"/>
        <v>0.4</v>
      </c>
      <c r="I256" s="1">
        <f t="shared" si="11"/>
        <v>0</v>
      </c>
    </row>
    <row r="257" spans="1:9" hidden="1" x14ac:dyDescent="0.2">
      <c r="A257" s="6">
        <v>43908.708333333336</v>
      </c>
      <c r="B257" s="1" t="s">
        <v>7</v>
      </c>
      <c r="C257">
        <v>9</v>
      </c>
      <c r="D257">
        <v>2</v>
      </c>
      <c r="E257">
        <v>0</v>
      </c>
      <c r="F257">
        <v>27</v>
      </c>
      <c r="G257" s="7">
        <f t="shared" si="9"/>
        <v>7</v>
      </c>
      <c r="H257" s="4">
        <f t="shared" si="10"/>
        <v>0.2592592592592593</v>
      </c>
      <c r="I257" s="1">
        <f t="shared" si="11"/>
        <v>0</v>
      </c>
    </row>
    <row r="258" spans="1:9" hidden="1" x14ac:dyDescent="0.2">
      <c r="A258" s="6">
        <v>43909.708333333336</v>
      </c>
      <c r="B258" s="1" t="s">
        <v>7</v>
      </c>
      <c r="C258">
        <v>8</v>
      </c>
      <c r="D258">
        <v>5</v>
      </c>
      <c r="E258">
        <v>0</v>
      </c>
      <c r="F258">
        <v>37</v>
      </c>
      <c r="G258" s="7">
        <f t="shared" si="9"/>
        <v>10</v>
      </c>
      <c r="H258" s="4">
        <f t="shared" si="10"/>
        <v>0.27027027027027029</v>
      </c>
      <c r="I258" s="1">
        <f t="shared" si="11"/>
        <v>0</v>
      </c>
    </row>
    <row r="259" spans="1:9" hidden="1" x14ac:dyDescent="0.2">
      <c r="A259" s="6">
        <v>43910.708333333336</v>
      </c>
      <c r="B259" s="1" t="s">
        <v>7</v>
      </c>
      <c r="C259">
        <v>8</v>
      </c>
      <c r="D259">
        <v>5</v>
      </c>
      <c r="E259">
        <v>0</v>
      </c>
      <c r="F259">
        <v>52</v>
      </c>
      <c r="G259" s="7">
        <f t="shared" ref="G259:G322" si="12">IF(AND(F259&gt;0,AND(B259=B258,F259&gt;0)),F259-F258,0)</f>
        <v>15</v>
      </c>
      <c r="H259" s="4">
        <f t="shared" ref="H259:H322" si="13">IF(AND(F258&gt;0,AND(B259=B258,F258&gt;0)),1-(F258/F259),0)</f>
        <v>0.28846153846153844</v>
      </c>
      <c r="I259" s="1">
        <f t="shared" ref="I259:I322" si="14">IF(AND(E259&gt;0,AND(B259=B258,E259&gt;0)),E259-E258,0)</f>
        <v>0</v>
      </c>
    </row>
    <row r="260" spans="1:9" hidden="1" x14ac:dyDescent="0.2">
      <c r="A260" s="6">
        <v>43911.708333333336</v>
      </c>
      <c r="B260" s="1" t="s">
        <v>7</v>
      </c>
      <c r="C260">
        <v>12</v>
      </c>
      <c r="D260">
        <v>7</v>
      </c>
      <c r="E260">
        <v>0</v>
      </c>
      <c r="F260">
        <v>66</v>
      </c>
      <c r="G260" s="7">
        <f t="shared" si="12"/>
        <v>14</v>
      </c>
      <c r="H260" s="4">
        <f t="shared" si="13"/>
        <v>0.21212121212121215</v>
      </c>
      <c r="I260" s="1">
        <f t="shared" si="14"/>
        <v>0</v>
      </c>
    </row>
    <row r="261" spans="1:9" hidden="1" x14ac:dyDescent="0.2">
      <c r="A261" s="6">
        <v>43912.708333333336</v>
      </c>
      <c r="B261" s="1" t="s">
        <v>7</v>
      </c>
      <c r="C261">
        <v>13</v>
      </c>
      <c r="D261">
        <v>10</v>
      </c>
      <c r="E261">
        <v>0</v>
      </c>
      <c r="F261">
        <v>81</v>
      </c>
      <c r="G261" s="7">
        <f t="shared" si="12"/>
        <v>15</v>
      </c>
      <c r="H261" s="4">
        <f t="shared" si="13"/>
        <v>0.18518518518518523</v>
      </c>
      <c r="I261" s="1">
        <f t="shared" si="14"/>
        <v>0</v>
      </c>
    </row>
    <row r="262" spans="1:9" hidden="1" x14ac:dyDescent="0.2">
      <c r="A262" s="6">
        <v>43913.708333333336</v>
      </c>
      <c r="B262" s="1" t="s">
        <v>7</v>
      </c>
      <c r="C262">
        <v>15</v>
      </c>
      <c r="D262">
        <v>12</v>
      </c>
      <c r="E262">
        <v>1</v>
      </c>
      <c r="F262">
        <v>90</v>
      </c>
      <c r="G262" s="7">
        <f t="shared" si="12"/>
        <v>9</v>
      </c>
      <c r="H262" s="4">
        <f t="shared" si="13"/>
        <v>9.9999999999999978E-2</v>
      </c>
      <c r="I262" s="1">
        <f t="shared" si="14"/>
        <v>1</v>
      </c>
    </row>
    <row r="263" spans="1:9" hidden="1" x14ac:dyDescent="0.2">
      <c r="A263" s="6">
        <v>43914.708333333336</v>
      </c>
      <c r="B263" s="1" t="s">
        <v>7</v>
      </c>
      <c r="C263">
        <v>14</v>
      </c>
      <c r="D263">
        <v>12</v>
      </c>
      <c r="E263">
        <v>1</v>
      </c>
      <c r="F263">
        <v>92</v>
      </c>
      <c r="G263" s="7">
        <f t="shared" si="12"/>
        <v>2</v>
      </c>
      <c r="H263" s="4">
        <f t="shared" si="13"/>
        <v>2.1739130434782594E-2</v>
      </c>
      <c r="I263" s="1">
        <f t="shared" si="14"/>
        <v>0</v>
      </c>
    </row>
    <row r="264" spans="1:9" hidden="1" x14ac:dyDescent="0.2">
      <c r="A264" s="6">
        <v>43915.708333333336</v>
      </c>
      <c r="B264" s="1" t="s">
        <v>7</v>
      </c>
      <c r="C264">
        <v>20</v>
      </c>
      <c r="D264">
        <v>14</v>
      </c>
      <c r="E264">
        <v>1</v>
      </c>
      <c r="F264">
        <v>113</v>
      </c>
      <c r="G264" s="7">
        <f t="shared" si="12"/>
        <v>21</v>
      </c>
      <c r="H264" s="4">
        <f t="shared" si="13"/>
        <v>0.18584070796460173</v>
      </c>
      <c r="I264" s="1">
        <f t="shared" si="14"/>
        <v>0</v>
      </c>
    </row>
    <row r="265" spans="1:9" hidden="1" x14ac:dyDescent="0.2">
      <c r="A265" s="6">
        <v>43916.708333333336</v>
      </c>
      <c r="B265" s="1" t="s">
        <v>7</v>
      </c>
      <c r="C265">
        <v>22</v>
      </c>
      <c r="D265">
        <v>16</v>
      </c>
      <c r="E265">
        <v>1</v>
      </c>
      <c r="F265">
        <v>134</v>
      </c>
      <c r="G265" s="7">
        <f t="shared" si="12"/>
        <v>21</v>
      </c>
      <c r="H265" s="4">
        <f t="shared" si="13"/>
        <v>0.15671641791044777</v>
      </c>
      <c r="I265" s="1">
        <f t="shared" si="14"/>
        <v>0</v>
      </c>
    </row>
    <row r="266" spans="1:9" hidden="1" x14ac:dyDescent="0.2">
      <c r="A266" s="6">
        <v>43917.708333333336</v>
      </c>
      <c r="B266" s="1" t="s">
        <v>7</v>
      </c>
      <c r="C266">
        <v>22</v>
      </c>
      <c r="D266">
        <v>15</v>
      </c>
      <c r="E266">
        <v>3</v>
      </c>
      <c r="F266">
        <v>151</v>
      </c>
      <c r="G266" s="7">
        <f t="shared" si="12"/>
        <v>17</v>
      </c>
      <c r="H266" s="4">
        <f t="shared" si="13"/>
        <v>0.11258278145695366</v>
      </c>
      <c r="I266" s="1">
        <f t="shared" si="14"/>
        <v>2</v>
      </c>
    </row>
    <row r="267" spans="1:9" hidden="1" x14ac:dyDescent="0.2">
      <c r="A267" s="6">
        <v>43918.708333333336</v>
      </c>
      <c r="B267" s="1" t="s">
        <v>7</v>
      </c>
      <c r="C267">
        <v>26</v>
      </c>
      <c r="D267">
        <v>19</v>
      </c>
      <c r="E267">
        <v>3</v>
      </c>
      <c r="F267">
        <v>182</v>
      </c>
      <c r="G267" s="7">
        <f t="shared" si="12"/>
        <v>31</v>
      </c>
      <c r="H267" s="4">
        <f t="shared" si="13"/>
        <v>0.17032967032967028</v>
      </c>
      <c r="I267" s="1">
        <f t="shared" si="14"/>
        <v>0</v>
      </c>
    </row>
    <row r="268" spans="1:9" hidden="1" x14ac:dyDescent="0.2">
      <c r="A268" s="6">
        <v>43919.708333333336</v>
      </c>
      <c r="B268" s="1" t="s">
        <v>7</v>
      </c>
      <c r="C268">
        <v>32</v>
      </c>
      <c r="D268">
        <v>18</v>
      </c>
      <c r="E268">
        <v>4</v>
      </c>
      <c r="F268">
        <v>202</v>
      </c>
      <c r="G268" s="7">
        <f t="shared" si="12"/>
        <v>20</v>
      </c>
      <c r="H268" s="4">
        <f t="shared" si="13"/>
        <v>9.9009900990098987E-2</v>
      </c>
      <c r="I268" s="1">
        <f t="shared" si="14"/>
        <v>1</v>
      </c>
    </row>
    <row r="269" spans="1:9" hidden="1" x14ac:dyDescent="0.2">
      <c r="A269" s="6">
        <v>43920.708333333336</v>
      </c>
      <c r="B269" s="1" t="s">
        <v>7</v>
      </c>
      <c r="C269">
        <v>36</v>
      </c>
      <c r="D269">
        <v>18</v>
      </c>
      <c r="E269">
        <v>5</v>
      </c>
      <c r="F269">
        <v>214</v>
      </c>
      <c r="G269" s="7">
        <f t="shared" si="12"/>
        <v>12</v>
      </c>
      <c r="H269" s="4">
        <f t="shared" si="13"/>
        <v>5.6074766355140193E-2</v>
      </c>
      <c r="I269" s="1">
        <f t="shared" si="14"/>
        <v>1</v>
      </c>
    </row>
    <row r="270" spans="1:9" hidden="1" x14ac:dyDescent="0.2">
      <c r="A270" s="6">
        <v>43921.708333333336</v>
      </c>
      <c r="B270" s="1" t="s">
        <v>7</v>
      </c>
      <c r="C270">
        <v>37</v>
      </c>
      <c r="D270">
        <v>17</v>
      </c>
      <c r="E270">
        <v>7</v>
      </c>
      <c r="F270">
        <v>226</v>
      </c>
      <c r="G270" s="7">
        <f t="shared" si="12"/>
        <v>12</v>
      </c>
      <c r="H270" s="4">
        <f t="shared" si="13"/>
        <v>5.3097345132743334E-2</v>
      </c>
      <c r="I270" s="1">
        <f t="shared" si="14"/>
        <v>2</v>
      </c>
    </row>
    <row r="271" spans="1:9" hidden="1" x14ac:dyDescent="0.2">
      <c r="A271" s="6">
        <v>43922.708333333336</v>
      </c>
      <c r="B271" s="1" t="s">
        <v>7</v>
      </c>
      <c r="C271">
        <v>39</v>
      </c>
      <c r="D271">
        <v>15</v>
      </c>
      <c r="E271">
        <v>9</v>
      </c>
      <c r="F271">
        <v>237</v>
      </c>
      <c r="G271" s="7">
        <f t="shared" si="12"/>
        <v>11</v>
      </c>
      <c r="H271" s="4">
        <f t="shared" si="13"/>
        <v>4.641350210970463E-2</v>
      </c>
      <c r="I271" s="1">
        <f t="shared" si="14"/>
        <v>2</v>
      </c>
    </row>
    <row r="272" spans="1:9" hidden="1" x14ac:dyDescent="0.2">
      <c r="A272" s="6">
        <v>43923.708333333336</v>
      </c>
      <c r="B272" s="1" t="s">
        <v>7</v>
      </c>
      <c r="C272">
        <v>38</v>
      </c>
      <c r="D272">
        <v>19</v>
      </c>
      <c r="E272">
        <v>10</v>
      </c>
      <c r="F272">
        <v>246</v>
      </c>
      <c r="G272" s="7">
        <f t="shared" si="12"/>
        <v>9</v>
      </c>
      <c r="H272" s="4">
        <f t="shared" si="13"/>
        <v>3.6585365853658569E-2</v>
      </c>
      <c r="I272" s="1">
        <f t="shared" si="14"/>
        <v>1</v>
      </c>
    </row>
    <row r="273" spans="1:9" hidden="1" x14ac:dyDescent="0.2">
      <c r="A273" s="6">
        <v>43924.708333333336</v>
      </c>
      <c r="B273" s="1" t="s">
        <v>7</v>
      </c>
      <c r="C273">
        <v>41</v>
      </c>
      <c r="D273">
        <v>19</v>
      </c>
      <c r="E273">
        <v>11</v>
      </c>
      <c r="F273">
        <v>261</v>
      </c>
      <c r="G273" s="7">
        <f t="shared" si="12"/>
        <v>15</v>
      </c>
      <c r="H273" s="4">
        <f t="shared" si="13"/>
        <v>5.7471264367816133E-2</v>
      </c>
      <c r="I273" s="1">
        <f t="shared" si="14"/>
        <v>1</v>
      </c>
    </row>
    <row r="274" spans="1:9" hidden="1" x14ac:dyDescent="0.2">
      <c r="A274" s="6">
        <v>43925.708333333336</v>
      </c>
      <c r="B274" s="1" t="s">
        <v>7</v>
      </c>
      <c r="C274">
        <v>44</v>
      </c>
      <c r="D274">
        <v>19</v>
      </c>
      <c r="E274">
        <v>11</v>
      </c>
      <c r="F274">
        <v>264</v>
      </c>
      <c r="G274" s="7">
        <f t="shared" si="12"/>
        <v>3</v>
      </c>
      <c r="H274" s="4">
        <f t="shared" si="13"/>
        <v>1.1363636363636354E-2</v>
      </c>
      <c r="I274" s="1">
        <f t="shared" si="14"/>
        <v>0</v>
      </c>
    </row>
    <row r="275" spans="1:9" hidden="1" x14ac:dyDescent="0.2">
      <c r="A275" s="6">
        <v>43926.708333333336</v>
      </c>
      <c r="B275" s="1" t="s">
        <v>7</v>
      </c>
      <c r="C275">
        <v>46</v>
      </c>
      <c r="D275">
        <v>18</v>
      </c>
      <c r="E275">
        <v>13</v>
      </c>
      <c r="F275">
        <v>278</v>
      </c>
      <c r="G275" s="7">
        <f t="shared" si="12"/>
        <v>14</v>
      </c>
      <c r="H275" s="4">
        <f t="shared" si="13"/>
        <v>5.0359712230215847E-2</v>
      </c>
      <c r="I275" s="1">
        <f t="shared" si="14"/>
        <v>2</v>
      </c>
    </row>
    <row r="276" spans="1:9" hidden="1" x14ac:dyDescent="0.2">
      <c r="A276" s="6">
        <v>43927.708333333336</v>
      </c>
      <c r="B276" s="1" t="s">
        <v>7</v>
      </c>
      <c r="C276">
        <v>46</v>
      </c>
      <c r="D276">
        <v>18</v>
      </c>
      <c r="E276">
        <v>13</v>
      </c>
      <c r="F276">
        <v>287</v>
      </c>
      <c r="G276" s="7">
        <f t="shared" si="12"/>
        <v>9</v>
      </c>
      <c r="H276" s="4">
        <f t="shared" si="13"/>
        <v>3.1358885017421567E-2</v>
      </c>
      <c r="I276" s="1">
        <f t="shared" si="14"/>
        <v>0</v>
      </c>
    </row>
    <row r="277" spans="1:9" hidden="1" x14ac:dyDescent="0.2">
      <c r="A277" s="6">
        <v>43928.708333333336</v>
      </c>
      <c r="B277" s="1" t="s">
        <v>7</v>
      </c>
      <c r="C277">
        <v>47</v>
      </c>
      <c r="D277">
        <v>17</v>
      </c>
      <c r="E277">
        <v>14</v>
      </c>
      <c r="F277">
        <v>291</v>
      </c>
      <c r="G277" s="7">
        <f t="shared" si="12"/>
        <v>4</v>
      </c>
      <c r="H277" s="4">
        <f t="shared" si="13"/>
        <v>1.3745704467353903E-2</v>
      </c>
      <c r="I277" s="1">
        <f t="shared" si="14"/>
        <v>1</v>
      </c>
    </row>
    <row r="278" spans="1:9" hidden="1" x14ac:dyDescent="0.2">
      <c r="A278" s="6">
        <v>43929.708333333336</v>
      </c>
      <c r="B278" s="1" t="s">
        <v>7</v>
      </c>
      <c r="C278">
        <v>48</v>
      </c>
      <c r="D278">
        <v>17</v>
      </c>
      <c r="E278">
        <v>14</v>
      </c>
      <c r="F278">
        <v>297</v>
      </c>
      <c r="G278" s="7">
        <f t="shared" si="12"/>
        <v>6</v>
      </c>
      <c r="H278" s="4">
        <f t="shared" si="13"/>
        <v>2.0202020202020221E-2</v>
      </c>
      <c r="I278" s="1">
        <f t="shared" si="14"/>
        <v>0</v>
      </c>
    </row>
    <row r="279" spans="1:9" hidden="1" x14ac:dyDescent="0.2">
      <c r="A279" s="6">
        <v>43930.708333333336</v>
      </c>
      <c r="B279" s="1" t="s">
        <v>7</v>
      </c>
      <c r="C279">
        <v>50</v>
      </c>
      <c r="D279">
        <v>17</v>
      </c>
      <c r="E279">
        <v>15</v>
      </c>
      <c r="F279">
        <v>303</v>
      </c>
      <c r="G279" s="7">
        <f t="shared" si="12"/>
        <v>6</v>
      </c>
      <c r="H279" s="4">
        <f t="shared" si="13"/>
        <v>1.980198019801982E-2</v>
      </c>
      <c r="I279" s="1">
        <f t="shared" si="14"/>
        <v>1</v>
      </c>
    </row>
    <row r="280" spans="1:9" hidden="1" x14ac:dyDescent="0.2">
      <c r="A280" s="6">
        <v>43931.708333333336</v>
      </c>
      <c r="B280" s="1" t="s">
        <v>7</v>
      </c>
      <c r="C280">
        <v>59</v>
      </c>
      <c r="D280">
        <v>15</v>
      </c>
      <c r="E280">
        <v>15</v>
      </c>
      <c r="F280">
        <v>308</v>
      </c>
      <c r="G280" s="7">
        <f t="shared" si="12"/>
        <v>5</v>
      </c>
      <c r="H280" s="4">
        <f t="shared" si="13"/>
        <v>1.6233766233766267E-2</v>
      </c>
      <c r="I280" s="1">
        <f t="shared" si="14"/>
        <v>0</v>
      </c>
    </row>
    <row r="281" spans="1:9" hidden="1" x14ac:dyDescent="0.2">
      <c r="A281" s="6">
        <v>43932.708333333336</v>
      </c>
      <c r="B281" s="1" t="s">
        <v>7</v>
      </c>
      <c r="C281">
        <v>60</v>
      </c>
      <c r="D281">
        <v>12</v>
      </c>
      <c r="E281">
        <v>17</v>
      </c>
      <c r="F281">
        <v>312</v>
      </c>
      <c r="G281" s="7">
        <f t="shared" si="12"/>
        <v>4</v>
      </c>
      <c r="H281" s="4">
        <f t="shared" si="13"/>
        <v>1.2820512820512775E-2</v>
      </c>
      <c r="I281" s="1">
        <f t="shared" si="14"/>
        <v>2</v>
      </c>
    </row>
    <row r="282" spans="1:9" hidden="1" x14ac:dyDescent="0.2">
      <c r="A282" s="6">
        <v>43933.708333333336</v>
      </c>
      <c r="B282" s="1" t="s">
        <v>7</v>
      </c>
      <c r="C282">
        <v>61</v>
      </c>
      <c r="D282">
        <v>12</v>
      </c>
      <c r="E282">
        <v>18</v>
      </c>
      <c r="F282">
        <v>315</v>
      </c>
      <c r="G282" s="7">
        <f t="shared" si="12"/>
        <v>3</v>
      </c>
      <c r="H282" s="4">
        <f t="shared" si="13"/>
        <v>9.52380952380949E-3</v>
      </c>
      <c r="I282" s="1">
        <f t="shared" si="14"/>
        <v>1</v>
      </c>
    </row>
    <row r="283" spans="1:9" hidden="1" x14ac:dyDescent="0.2">
      <c r="A283" s="6">
        <v>43934.708333333336</v>
      </c>
      <c r="B283" s="1" t="s">
        <v>7</v>
      </c>
      <c r="C283">
        <v>64</v>
      </c>
      <c r="D283">
        <v>12</v>
      </c>
      <c r="E283">
        <v>18</v>
      </c>
      <c r="F283">
        <v>319</v>
      </c>
      <c r="G283" s="7">
        <f t="shared" si="12"/>
        <v>4</v>
      </c>
      <c r="H283" s="4">
        <f t="shared" si="13"/>
        <v>1.2539184952978011E-2</v>
      </c>
      <c r="I283" s="1">
        <f t="shared" si="14"/>
        <v>0</v>
      </c>
    </row>
    <row r="284" spans="1:9" hidden="1" x14ac:dyDescent="0.2">
      <c r="A284" s="6">
        <v>43935.708333333336</v>
      </c>
      <c r="B284" s="1" t="s">
        <v>7</v>
      </c>
      <c r="C284">
        <v>62</v>
      </c>
      <c r="D284">
        <v>12</v>
      </c>
      <c r="E284">
        <v>19</v>
      </c>
      <c r="F284">
        <v>319</v>
      </c>
      <c r="G284" s="7">
        <f t="shared" si="12"/>
        <v>0</v>
      </c>
      <c r="H284" s="4">
        <f t="shared" si="13"/>
        <v>0</v>
      </c>
      <c r="I284" s="1">
        <f t="shared" si="14"/>
        <v>1</v>
      </c>
    </row>
    <row r="285" spans="1:9" hidden="1" x14ac:dyDescent="0.2">
      <c r="A285" s="6">
        <v>43936.708333333336</v>
      </c>
      <c r="B285" s="1" t="s">
        <v>7</v>
      </c>
      <c r="C285">
        <v>60</v>
      </c>
      <c r="D285">
        <v>12</v>
      </c>
      <c r="E285">
        <v>21</v>
      </c>
      <c r="F285">
        <v>320</v>
      </c>
      <c r="G285" s="7">
        <f t="shared" si="12"/>
        <v>1</v>
      </c>
      <c r="H285" s="4">
        <f t="shared" si="13"/>
        <v>3.1250000000000444E-3</v>
      </c>
      <c r="I285" s="1">
        <f t="shared" si="14"/>
        <v>2</v>
      </c>
    </row>
    <row r="286" spans="1:9" hidden="1" x14ac:dyDescent="0.2">
      <c r="A286" s="6">
        <v>43937.708333333336</v>
      </c>
      <c r="B286" s="1" t="s">
        <v>7</v>
      </c>
      <c r="C286">
        <v>60</v>
      </c>
      <c r="D286">
        <v>9</v>
      </c>
      <c r="E286">
        <v>22</v>
      </c>
      <c r="F286">
        <v>336</v>
      </c>
      <c r="G286" s="7">
        <f t="shared" si="12"/>
        <v>16</v>
      </c>
      <c r="H286" s="4">
        <f t="shared" si="13"/>
        <v>4.7619047619047672E-2</v>
      </c>
      <c r="I286" s="1">
        <f t="shared" si="14"/>
        <v>1</v>
      </c>
    </row>
    <row r="287" spans="1:9" hidden="1" x14ac:dyDescent="0.2">
      <c r="A287" s="6">
        <v>43938.708333333336</v>
      </c>
      <c r="B287" s="1" t="s">
        <v>7</v>
      </c>
      <c r="C287">
        <v>59</v>
      </c>
      <c r="D287">
        <v>9</v>
      </c>
      <c r="E287">
        <v>22</v>
      </c>
      <c r="F287">
        <v>337</v>
      </c>
      <c r="G287" s="7">
        <f t="shared" si="12"/>
        <v>1</v>
      </c>
      <c r="H287" s="4">
        <f t="shared" si="13"/>
        <v>2.9673590504450953E-3</v>
      </c>
      <c r="I287" s="1">
        <f t="shared" si="14"/>
        <v>0</v>
      </c>
    </row>
    <row r="288" spans="1:9" hidden="1" x14ac:dyDescent="0.2">
      <c r="A288" s="6">
        <v>43939.708333333336</v>
      </c>
      <c r="B288" s="1" t="s">
        <v>7</v>
      </c>
      <c r="C288">
        <v>60</v>
      </c>
      <c r="D288">
        <v>8</v>
      </c>
      <c r="E288">
        <v>23</v>
      </c>
      <c r="F288">
        <v>339</v>
      </c>
      <c r="G288" s="7">
        <f t="shared" si="12"/>
        <v>2</v>
      </c>
      <c r="H288" s="4">
        <f t="shared" si="13"/>
        <v>5.8997050147492347E-3</v>
      </c>
      <c r="I288" s="1">
        <f t="shared" si="14"/>
        <v>1</v>
      </c>
    </row>
    <row r="289" spans="1:9" hidden="1" x14ac:dyDescent="0.2">
      <c r="A289" s="6">
        <v>43940.708333333336</v>
      </c>
      <c r="B289" s="1" t="s">
        <v>7</v>
      </c>
      <c r="C289">
        <v>59</v>
      </c>
      <c r="D289">
        <v>8</v>
      </c>
      <c r="E289">
        <v>24</v>
      </c>
      <c r="F289">
        <v>342</v>
      </c>
      <c r="G289" s="7">
        <f t="shared" si="12"/>
        <v>3</v>
      </c>
      <c r="H289" s="4">
        <f t="shared" si="13"/>
        <v>8.7719298245614308E-3</v>
      </c>
      <c r="I289" s="1">
        <f t="shared" si="14"/>
        <v>1</v>
      </c>
    </row>
    <row r="290" spans="1:9" hidden="1" x14ac:dyDescent="0.2">
      <c r="A290" s="6">
        <v>43941.708333333336</v>
      </c>
      <c r="B290" s="1" t="s">
        <v>7</v>
      </c>
      <c r="C290">
        <v>59</v>
      </c>
      <c r="D290">
        <v>7</v>
      </c>
      <c r="E290">
        <v>24</v>
      </c>
      <c r="F290">
        <v>342</v>
      </c>
      <c r="G290" s="7">
        <f t="shared" si="12"/>
        <v>0</v>
      </c>
      <c r="H290" s="4">
        <f t="shared" si="13"/>
        <v>0</v>
      </c>
      <c r="I290" s="1">
        <f t="shared" si="14"/>
        <v>0</v>
      </c>
    </row>
    <row r="291" spans="1:9" hidden="1" x14ac:dyDescent="0.2">
      <c r="A291" s="6">
        <v>43942.708333333336</v>
      </c>
      <c r="B291" s="1" t="s">
        <v>7</v>
      </c>
      <c r="C291">
        <v>64</v>
      </c>
      <c r="D291">
        <v>7</v>
      </c>
      <c r="E291">
        <v>24</v>
      </c>
      <c r="F291">
        <v>350</v>
      </c>
      <c r="G291" s="7">
        <f t="shared" si="12"/>
        <v>8</v>
      </c>
      <c r="H291" s="4">
        <f t="shared" si="13"/>
        <v>2.2857142857142909E-2</v>
      </c>
      <c r="I291" s="1">
        <f t="shared" si="14"/>
        <v>0</v>
      </c>
    </row>
    <row r="292" spans="1:9" hidden="1" x14ac:dyDescent="0.2">
      <c r="A292" s="6">
        <v>43943.708333333336</v>
      </c>
      <c r="B292" s="1" t="s">
        <v>7</v>
      </c>
      <c r="C292">
        <v>65</v>
      </c>
      <c r="D292">
        <v>7</v>
      </c>
      <c r="E292">
        <v>24</v>
      </c>
      <c r="F292">
        <v>354</v>
      </c>
      <c r="G292" s="7">
        <f t="shared" si="12"/>
        <v>4</v>
      </c>
      <c r="H292" s="4">
        <f t="shared" si="13"/>
        <v>1.1299435028248594E-2</v>
      </c>
      <c r="I292" s="1">
        <f t="shared" si="14"/>
        <v>0</v>
      </c>
    </row>
    <row r="293" spans="1:9" hidden="1" x14ac:dyDescent="0.2">
      <c r="A293" s="6">
        <v>43944.708333333336</v>
      </c>
      <c r="B293" s="1" t="s">
        <v>7</v>
      </c>
      <c r="C293">
        <v>61</v>
      </c>
      <c r="D293">
        <v>7</v>
      </c>
      <c r="E293">
        <v>24</v>
      </c>
      <c r="F293">
        <v>356</v>
      </c>
      <c r="G293" s="7">
        <f t="shared" si="12"/>
        <v>2</v>
      </c>
      <c r="H293" s="4">
        <f t="shared" si="13"/>
        <v>5.6179775280899014E-3</v>
      </c>
      <c r="I293" s="1">
        <f t="shared" si="14"/>
        <v>0</v>
      </c>
    </row>
    <row r="294" spans="1:9" hidden="1" x14ac:dyDescent="0.2">
      <c r="A294" s="6">
        <v>43945.708333333336</v>
      </c>
      <c r="B294" s="1" t="s">
        <v>7</v>
      </c>
      <c r="C294">
        <v>59</v>
      </c>
      <c r="D294">
        <v>7</v>
      </c>
      <c r="E294">
        <v>24</v>
      </c>
      <c r="F294">
        <v>360</v>
      </c>
      <c r="G294" s="7">
        <f t="shared" si="12"/>
        <v>4</v>
      </c>
      <c r="H294" s="4">
        <f t="shared" si="13"/>
        <v>1.1111111111111072E-2</v>
      </c>
      <c r="I294" s="1">
        <f t="shared" si="14"/>
        <v>0</v>
      </c>
    </row>
    <row r="295" spans="1:9" hidden="1" x14ac:dyDescent="0.2">
      <c r="A295" s="6">
        <v>43946.708333333336</v>
      </c>
      <c r="B295" s="1" t="s">
        <v>7</v>
      </c>
      <c r="C295">
        <v>58</v>
      </c>
      <c r="D295">
        <v>7</v>
      </c>
      <c r="E295">
        <v>25</v>
      </c>
      <c r="F295">
        <v>361</v>
      </c>
      <c r="G295" s="7">
        <f t="shared" si="12"/>
        <v>1</v>
      </c>
      <c r="H295" s="4">
        <f t="shared" si="13"/>
        <v>2.7700831024930483E-3</v>
      </c>
      <c r="I295" s="1">
        <f t="shared" si="14"/>
        <v>1</v>
      </c>
    </row>
    <row r="296" spans="1:9" hidden="1" x14ac:dyDescent="0.2">
      <c r="A296" s="6">
        <v>43947.708333333336</v>
      </c>
      <c r="B296" s="1" t="s">
        <v>7</v>
      </c>
      <c r="C296">
        <v>57</v>
      </c>
      <c r="D296">
        <v>7</v>
      </c>
      <c r="E296">
        <v>25</v>
      </c>
      <c r="F296">
        <v>366</v>
      </c>
      <c r="G296" s="7">
        <f t="shared" si="12"/>
        <v>5</v>
      </c>
      <c r="H296" s="4">
        <f t="shared" si="13"/>
        <v>1.3661202185792365E-2</v>
      </c>
      <c r="I296" s="1">
        <f t="shared" si="14"/>
        <v>0</v>
      </c>
    </row>
    <row r="297" spans="1:9" hidden="1" x14ac:dyDescent="0.2">
      <c r="A297" s="6">
        <v>43948.708333333336</v>
      </c>
      <c r="B297" s="1" t="s">
        <v>7</v>
      </c>
      <c r="C297">
        <v>57</v>
      </c>
      <c r="D297">
        <v>7</v>
      </c>
      <c r="E297">
        <v>25</v>
      </c>
      <c r="F297">
        <v>366</v>
      </c>
      <c r="G297" s="7">
        <f t="shared" si="12"/>
        <v>0</v>
      </c>
      <c r="H297" s="4">
        <f t="shared" si="13"/>
        <v>0</v>
      </c>
      <c r="I297" s="1">
        <f t="shared" si="14"/>
        <v>0</v>
      </c>
    </row>
    <row r="298" spans="1:9" hidden="1" x14ac:dyDescent="0.2">
      <c r="A298" s="6">
        <v>43949.708333333336</v>
      </c>
      <c r="B298" s="1" t="s">
        <v>7</v>
      </c>
      <c r="C298">
        <v>56</v>
      </c>
      <c r="D298">
        <v>7</v>
      </c>
      <c r="E298">
        <v>25</v>
      </c>
      <c r="F298">
        <v>366</v>
      </c>
      <c r="G298" s="7">
        <f t="shared" si="12"/>
        <v>0</v>
      </c>
      <c r="H298" s="4">
        <f t="shared" si="13"/>
        <v>0</v>
      </c>
      <c r="I298" s="1">
        <f t="shared" si="14"/>
        <v>0</v>
      </c>
    </row>
    <row r="299" spans="1:9" hidden="1" x14ac:dyDescent="0.2">
      <c r="A299" s="6">
        <v>43950.708333333336</v>
      </c>
      <c r="B299" s="1" t="s">
        <v>7</v>
      </c>
      <c r="C299">
        <v>51</v>
      </c>
      <c r="D299">
        <v>4</v>
      </c>
      <c r="E299">
        <v>25</v>
      </c>
      <c r="F299">
        <v>366</v>
      </c>
      <c r="G299" s="7">
        <f t="shared" si="12"/>
        <v>0</v>
      </c>
      <c r="H299" s="4">
        <f t="shared" si="13"/>
        <v>0</v>
      </c>
      <c r="I299" s="1">
        <f t="shared" si="14"/>
        <v>0</v>
      </c>
    </row>
    <row r="300" spans="1:9" hidden="1" x14ac:dyDescent="0.2">
      <c r="A300" s="6">
        <v>43951.708333333336</v>
      </c>
      <c r="B300" s="1" t="s">
        <v>7</v>
      </c>
      <c r="C300">
        <v>49</v>
      </c>
      <c r="D300">
        <v>4</v>
      </c>
      <c r="E300">
        <v>25</v>
      </c>
      <c r="F300">
        <v>367</v>
      </c>
      <c r="G300" s="7">
        <f t="shared" si="12"/>
        <v>1</v>
      </c>
      <c r="H300" s="4">
        <f t="shared" si="13"/>
        <v>2.7247956403270157E-3</v>
      </c>
      <c r="I300" s="1">
        <f t="shared" si="14"/>
        <v>0</v>
      </c>
    </row>
    <row r="301" spans="1:9" hidden="1" x14ac:dyDescent="0.2">
      <c r="A301" s="6">
        <v>43952.708333333336</v>
      </c>
      <c r="B301" s="1" t="s">
        <v>7</v>
      </c>
      <c r="C301">
        <v>49</v>
      </c>
      <c r="D301">
        <v>4</v>
      </c>
      <c r="E301">
        <v>25</v>
      </c>
      <c r="F301">
        <v>378</v>
      </c>
      <c r="G301" s="7">
        <f t="shared" si="12"/>
        <v>11</v>
      </c>
      <c r="H301" s="4">
        <f t="shared" si="13"/>
        <v>2.9100529100529071E-2</v>
      </c>
      <c r="I301" s="1">
        <f t="shared" si="14"/>
        <v>0</v>
      </c>
    </row>
    <row r="302" spans="1:9" hidden="1" x14ac:dyDescent="0.2">
      <c r="A302" s="6">
        <v>43953.708333333336</v>
      </c>
      <c r="B302" s="1" t="s">
        <v>7</v>
      </c>
      <c r="C302">
        <v>48</v>
      </c>
      <c r="D302">
        <v>4</v>
      </c>
      <c r="E302">
        <v>25</v>
      </c>
      <c r="F302">
        <v>380</v>
      </c>
      <c r="G302" s="7">
        <f t="shared" si="12"/>
        <v>2</v>
      </c>
      <c r="H302" s="4">
        <f t="shared" si="13"/>
        <v>5.2631578947368585E-3</v>
      </c>
      <c r="I302" s="1">
        <f t="shared" si="14"/>
        <v>0</v>
      </c>
    </row>
    <row r="303" spans="1:9" hidden="1" x14ac:dyDescent="0.2">
      <c r="A303" s="6">
        <v>43954.708333333336</v>
      </c>
      <c r="B303" s="1" t="s">
        <v>7</v>
      </c>
      <c r="C303">
        <v>48</v>
      </c>
      <c r="D303">
        <v>3</v>
      </c>
      <c r="E303">
        <v>25</v>
      </c>
      <c r="F303">
        <v>386</v>
      </c>
      <c r="G303" s="7">
        <f t="shared" si="12"/>
        <v>6</v>
      </c>
      <c r="H303" s="4">
        <f t="shared" si="13"/>
        <v>1.5544041450777257E-2</v>
      </c>
      <c r="I303" s="1">
        <f t="shared" si="14"/>
        <v>0</v>
      </c>
    </row>
    <row r="304" spans="1:9" hidden="1" x14ac:dyDescent="0.2">
      <c r="A304" s="6">
        <v>43955.708333333336</v>
      </c>
      <c r="B304" s="1" t="s">
        <v>7</v>
      </c>
      <c r="C304">
        <v>50</v>
      </c>
      <c r="D304">
        <v>3</v>
      </c>
      <c r="E304">
        <v>25</v>
      </c>
      <c r="F304">
        <v>386</v>
      </c>
      <c r="G304" s="7">
        <f t="shared" si="12"/>
        <v>0</v>
      </c>
      <c r="H304" s="4">
        <f t="shared" si="13"/>
        <v>0</v>
      </c>
      <c r="I304" s="1">
        <f t="shared" si="14"/>
        <v>0</v>
      </c>
    </row>
    <row r="305" spans="1:9" hidden="1" x14ac:dyDescent="0.2">
      <c r="A305" s="6">
        <v>43956.708333333336</v>
      </c>
      <c r="B305" s="1" t="s">
        <v>7</v>
      </c>
      <c r="C305">
        <v>50</v>
      </c>
      <c r="D305">
        <v>3</v>
      </c>
      <c r="E305">
        <v>25</v>
      </c>
      <c r="F305">
        <v>396</v>
      </c>
      <c r="G305" s="7">
        <f t="shared" si="12"/>
        <v>10</v>
      </c>
      <c r="H305" s="4">
        <f t="shared" si="13"/>
        <v>2.5252525252525304E-2</v>
      </c>
      <c r="I305" s="1">
        <f t="shared" si="14"/>
        <v>0</v>
      </c>
    </row>
    <row r="306" spans="1:9" hidden="1" x14ac:dyDescent="0.2">
      <c r="A306" s="6">
        <v>43957.708333333336</v>
      </c>
      <c r="B306" s="1" t="s">
        <v>7</v>
      </c>
      <c r="C306">
        <v>47</v>
      </c>
      <c r="D306">
        <v>3</v>
      </c>
      <c r="E306">
        <v>25</v>
      </c>
      <c r="F306">
        <v>399</v>
      </c>
      <c r="G306" s="7">
        <f t="shared" si="12"/>
        <v>3</v>
      </c>
      <c r="H306" s="4">
        <f t="shared" si="13"/>
        <v>7.5187969924812581E-3</v>
      </c>
      <c r="I306" s="1">
        <f t="shared" si="14"/>
        <v>0</v>
      </c>
    </row>
    <row r="307" spans="1:9" hidden="1" x14ac:dyDescent="0.2">
      <c r="A307" s="6">
        <v>43958.708333333336</v>
      </c>
      <c r="B307" s="1" t="s">
        <v>7</v>
      </c>
      <c r="C307">
        <v>48</v>
      </c>
      <c r="D307">
        <v>2</v>
      </c>
      <c r="E307">
        <v>26</v>
      </c>
      <c r="F307">
        <v>383</v>
      </c>
      <c r="G307" s="7">
        <f t="shared" si="12"/>
        <v>-16</v>
      </c>
      <c r="H307" s="4">
        <f t="shared" si="13"/>
        <v>-4.1775456919060039E-2</v>
      </c>
      <c r="I307" s="1">
        <f t="shared" si="14"/>
        <v>1</v>
      </c>
    </row>
    <row r="308" spans="1:9" hidden="1" x14ac:dyDescent="0.2">
      <c r="A308" s="6">
        <v>43959.708333333336</v>
      </c>
      <c r="B308" s="1" t="s">
        <v>7</v>
      </c>
      <c r="C308">
        <v>48</v>
      </c>
      <c r="D308">
        <v>2</v>
      </c>
      <c r="E308">
        <v>26</v>
      </c>
      <c r="F308">
        <v>382</v>
      </c>
      <c r="G308" s="7">
        <f t="shared" si="12"/>
        <v>-1</v>
      </c>
      <c r="H308" s="4">
        <f t="shared" si="13"/>
        <v>-2.6178010471205049E-3</v>
      </c>
      <c r="I308" s="1">
        <f t="shared" si="14"/>
        <v>0</v>
      </c>
    </row>
    <row r="309" spans="1:9" hidden="1" x14ac:dyDescent="0.2">
      <c r="A309" s="6">
        <v>43960.708333333336</v>
      </c>
      <c r="B309" s="1" t="s">
        <v>7</v>
      </c>
      <c r="C309">
        <v>45</v>
      </c>
      <c r="D309">
        <v>1</v>
      </c>
      <c r="E309">
        <v>27</v>
      </c>
      <c r="F309">
        <v>382</v>
      </c>
      <c r="G309" s="7">
        <f t="shared" si="12"/>
        <v>0</v>
      </c>
      <c r="H309" s="4">
        <f t="shared" si="13"/>
        <v>0</v>
      </c>
      <c r="I309" s="1">
        <f t="shared" si="14"/>
        <v>1</v>
      </c>
    </row>
    <row r="310" spans="1:9" hidden="1" x14ac:dyDescent="0.2">
      <c r="A310" s="6">
        <v>43961.708333333336</v>
      </c>
      <c r="B310" s="1" t="s">
        <v>7</v>
      </c>
      <c r="C310">
        <v>45</v>
      </c>
      <c r="D310">
        <v>1</v>
      </c>
      <c r="E310">
        <v>27</v>
      </c>
      <c r="F310">
        <v>385</v>
      </c>
      <c r="G310" s="7">
        <f t="shared" si="12"/>
        <v>3</v>
      </c>
      <c r="H310" s="4">
        <f t="shared" si="13"/>
        <v>7.7922077922077948E-3</v>
      </c>
      <c r="I310" s="1">
        <f t="shared" si="14"/>
        <v>0</v>
      </c>
    </row>
    <row r="311" spans="1:9" hidden="1" x14ac:dyDescent="0.2">
      <c r="A311" s="6">
        <v>43962.708333333336</v>
      </c>
      <c r="B311" s="1" t="s">
        <v>7</v>
      </c>
      <c r="C311">
        <v>46</v>
      </c>
      <c r="D311">
        <v>1</v>
      </c>
      <c r="E311">
        <v>27</v>
      </c>
      <c r="F311">
        <v>386</v>
      </c>
      <c r="G311" s="7">
        <f t="shared" si="12"/>
        <v>1</v>
      </c>
      <c r="H311" s="4">
        <f t="shared" si="13"/>
        <v>2.5906735751295429E-3</v>
      </c>
      <c r="I311" s="1">
        <f t="shared" si="14"/>
        <v>0</v>
      </c>
    </row>
    <row r="312" spans="1:9" hidden="1" x14ac:dyDescent="0.2">
      <c r="A312" s="6">
        <v>43963.708333333336</v>
      </c>
      <c r="B312" s="1" t="s">
        <v>7</v>
      </c>
      <c r="C312">
        <v>47</v>
      </c>
      <c r="D312">
        <v>1</v>
      </c>
      <c r="E312">
        <v>27</v>
      </c>
      <c r="F312">
        <v>387</v>
      </c>
      <c r="G312" s="7">
        <f t="shared" si="12"/>
        <v>1</v>
      </c>
      <c r="H312" s="4">
        <f t="shared" si="13"/>
        <v>2.5839793281653423E-3</v>
      </c>
      <c r="I312" s="1">
        <f t="shared" si="14"/>
        <v>0</v>
      </c>
    </row>
    <row r="313" spans="1:9" hidden="1" x14ac:dyDescent="0.2">
      <c r="A313" s="6">
        <v>43964.708333333336</v>
      </c>
      <c r="B313" s="1" t="s">
        <v>7</v>
      </c>
      <c r="C313">
        <v>42</v>
      </c>
      <c r="D313">
        <v>1</v>
      </c>
      <c r="E313">
        <v>27</v>
      </c>
      <c r="F313">
        <v>389</v>
      </c>
      <c r="G313" s="7">
        <f t="shared" si="12"/>
        <v>2</v>
      </c>
      <c r="H313" s="4">
        <f t="shared" si="13"/>
        <v>5.1413881748072487E-3</v>
      </c>
      <c r="I313" s="1">
        <f t="shared" si="14"/>
        <v>0</v>
      </c>
    </row>
    <row r="314" spans="1:9" hidden="1" x14ac:dyDescent="0.2">
      <c r="A314" s="6">
        <v>43965.708333333336</v>
      </c>
      <c r="B314" s="1" t="s">
        <v>7</v>
      </c>
      <c r="C314">
        <v>34</v>
      </c>
      <c r="D314">
        <v>1</v>
      </c>
      <c r="E314">
        <v>27</v>
      </c>
      <c r="F314">
        <v>389</v>
      </c>
      <c r="G314" s="7">
        <f t="shared" si="12"/>
        <v>0</v>
      </c>
      <c r="H314" s="4">
        <f t="shared" si="13"/>
        <v>0</v>
      </c>
      <c r="I314" s="1">
        <f t="shared" si="14"/>
        <v>0</v>
      </c>
    </row>
    <row r="315" spans="1:9" hidden="1" x14ac:dyDescent="0.2">
      <c r="A315" s="6">
        <v>43966.708333333336</v>
      </c>
      <c r="B315" s="1" t="s">
        <v>7</v>
      </c>
      <c r="C315">
        <v>33</v>
      </c>
      <c r="D315">
        <v>1</v>
      </c>
      <c r="E315">
        <v>27</v>
      </c>
      <c r="F315">
        <v>389</v>
      </c>
      <c r="G315" s="7">
        <f t="shared" si="12"/>
        <v>0</v>
      </c>
      <c r="H315" s="4">
        <f t="shared" si="13"/>
        <v>0</v>
      </c>
      <c r="I315" s="1">
        <f t="shared" si="14"/>
        <v>0</v>
      </c>
    </row>
    <row r="316" spans="1:9" hidden="1" x14ac:dyDescent="0.2">
      <c r="A316" s="6">
        <v>43967.708333333336</v>
      </c>
      <c r="B316" s="1" t="s">
        <v>7</v>
      </c>
      <c r="C316">
        <v>29</v>
      </c>
      <c r="D316">
        <v>1</v>
      </c>
      <c r="E316">
        <v>27</v>
      </c>
      <c r="F316">
        <v>390</v>
      </c>
      <c r="G316" s="7">
        <f t="shared" si="12"/>
        <v>1</v>
      </c>
      <c r="H316" s="4">
        <f t="shared" si="13"/>
        <v>2.564102564102555E-3</v>
      </c>
      <c r="I316" s="1">
        <f t="shared" si="14"/>
        <v>0</v>
      </c>
    </row>
    <row r="317" spans="1:9" hidden="1" x14ac:dyDescent="0.2">
      <c r="A317" s="6">
        <v>43968.708333333336</v>
      </c>
      <c r="B317" s="1" t="s">
        <v>7</v>
      </c>
      <c r="C317">
        <v>29</v>
      </c>
      <c r="D317">
        <v>1</v>
      </c>
      <c r="E317">
        <v>27</v>
      </c>
      <c r="F317">
        <v>392</v>
      </c>
      <c r="G317" s="7">
        <f t="shared" si="12"/>
        <v>2</v>
      </c>
      <c r="H317" s="4">
        <f t="shared" si="13"/>
        <v>5.1020408163264808E-3</v>
      </c>
      <c r="I317" s="1">
        <f t="shared" si="14"/>
        <v>0</v>
      </c>
    </row>
    <row r="318" spans="1:9" hidden="1" x14ac:dyDescent="0.2">
      <c r="A318" s="6">
        <v>43969.708333333336</v>
      </c>
      <c r="B318" s="1" t="s">
        <v>7</v>
      </c>
      <c r="C318">
        <v>29</v>
      </c>
      <c r="D318">
        <v>1</v>
      </c>
      <c r="E318">
        <v>27</v>
      </c>
      <c r="F318">
        <v>392</v>
      </c>
      <c r="G318" s="7">
        <f t="shared" si="12"/>
        <v>0</v>
      </c>
      <c r="H318" s="4">
        <f t="shared" si="13"/>
        <v>0</v>
      </c>
      <c r="I318" s="1">
        <f t="shared" si="14"/>
        <v>0</v>
      </c>
    </row>
    <row r="319" spans="1:9" hidden="1" x14ac:dyDescent="0.2">
      <c r="A319" s="6">
        <v>43970.708333333336</v>
      </c>
      <c r="B319" s="1" t="s">
        <v>7</v>
      </c>
      <c r="C319">
        <v>26</v>
      </c>
      <c r="D319">
        <v>1</v>
      </c>
      <c r="E319">
        <v>27</v>
      </c>
      <c r="F319">
        <v>393</v>
      </c>
      <c r="G319" s="7">
        <f t="shared" si="12"/>
        <v>1</v>
      </c>
      <c r="H319" s="4">
        <f t="shared" si="13"/>
        <v>2.5445292620864812E-3</v>
      </c>
      <c r="I319" s="1">
        <f t="shared" si="14"/>
        <v>0</v>
      </c>
    </row>
    <row r="320" spans="1:9" hidden="1" x14ac:dyDescent="0.2">
      <c r="A320" s="6">
        <v>43971.708333333336</v>
      </c>
      <c r="B320" s="1" t="s">
        <v>7</v>
      </c>
      <c r="C320">
        <v>22</v>
      </c>
      <c r="D320">
        <v>1</v>
      </c>
      <c r="E320">
        <v>27</v>
      </c>
      <c r="F320">
        <v>393</v>
      </c>
      <c r="G320" s="7">
        <f t="shared" si="12"/>
        <v>0</v>
      </c>
      <c r="H320" s="4">
        <f t="shared" si="13"/>
        <v>0</v>
      </c>
      <c r="I320" s="1">
        <f t="shared" si="14"/>
        <v>0</v>
      </c>
    </row>
    <row r="321" spans="1:9" hidden="1" x14ac:dyDescent="0.2">
      <c r="A321" s="6">
        <v>43972.708333333336</v>
      </c>
      <c r="B321" s="1" t="s">
        <v>7</v>
      </c>
      <c r="C321">
        <v>15</v>
      </c>
      <c r="D321">
        <v>1</v>
      </c>
      <c r="E321">
        <v>27</v>
      </c>
      <c r="F321">
        <v>394</v>
      </c>
      <c r="G321" s="7">
        <f t="shared" si="12"/>
        <v>1</v>
      </c>
      <c r="H321" s="4">
        <f t="shared" si="13"/>
        <v>2.5380710659897998E-3</v>
      </c>
      <c r="I321" s="1">
        <f t="shared" si="14"/>
        <v>0</v>
      </c>
    </row>
    <row r="322" spans="1:9" hidden="1" x14ac:dyDescent="0.2">
      <c r="A322" s="6">
        <v>43973.708333333336</v>
      </c>
      <c r="B322" s="1" t="s">
        <v>7</v>
      </c>
      <c r="C322">
        <v>15</v>
      </c>
      <c r="D322">
        <v>1</v>
      </c>
      <c r="E322">
        <v>27</v>
      </c>
      <c r="F322">
        <v>394</v>
      </c>
      <c r="G322" s="7">
        <f t="shared" si="12"/>
        <v>0</v>
      </c>
      <c r="H322" s="4">
        <f t="shared" si="13"/>
        <v>0</v>
      </c>
      <c r="I322" s="1">
        <f t="shared" si="14"/>
        <v>0</v>
      </c>
    </row>
    <row r="323" spans="1:9" hidden="1" x14ac:dyDescent="0.2">
      <c r="A323" s="6">
        <v>43974.708333333336</v>
      </c>
      <c r="B323" s="1" t="s">
        <v>7</v>
      </c>
      <c r="C323">
        <v>14</v>
      </c>
      <c r="D323">
        <v>1</v>
      </c>
      <c r="E323">
        <v>27</v>
      </c>
      <c r="F323">
        <v>398</v>
      </c>
      <c r="G323" s="7">
        <f t="shared" ref="G323:G386" si="15">IF(AND(F323&gt;0,AND(B323=B322,F323&gt;0)),F323-F322,0)</f>
        <v>4</v>
      </c>
      <c r="H323" s="4">
        <f t="shared" ref="H323:H386" si="16">IF(AND(F322&gt;0,AND(B323=B322,F322&gt;0)),1-(F322/F323),0)</f>
        <v>1.0050251256281451E-2</v>
      </c>
      <c r="I323" s="1">
        <f t="shared" ref="I323:I386" si="17">IF(AND(E323&gt;0,AND(B323=B322,E323&gt;0)),E323-E322,0)</f>
        <v>0</v>
      </c>
    </row>
    <row r="324" spans="1:9" hidden="1" x14ac:dyDescent="0.2">
      <c r="A324" s="6">
        <v>43975.708333333336</v>
      </c>
      <c r="B324" s="1" t="s">
        <v>7</v>
      </c>
      <c r="C324">
        <v>13</v>
      </c>
      <c r="D324">
        <v>1</v>
      </c>
      <c r="E324">
        <v>27</v>
      </c>
      <c r="F324">
        <v>399</v>
      </c>
      <c r="G324" s="7">
        <f t="shared" si="15"/>
        <v>1</v>
      </c>
      <c r="H324" s="4">
        <f t="shared" si="16"/>
        <v>2.5062656641604564E-3</v>
      </c>
      <c r="I324" s="1">
        <f t="shared" si="17"/>
        <v>0</v>
      </c>
    </row>
    <row r="325" spans="1:9" hidden="1" x14ac:dyDescent="0.2">
      <c r="A325" s="6">
        <v>43976.708333333336</v>
      </c>
      <c r="B325" s="1" t="s">
        <v>7</v>
      </c>
      <c r="C325">
        <v>13</v>
      </c>
      <c r="D325">
        <v>0</v>
      </c>
      <c r="E325">
        <v>27</v>
      </c>
      <c r="F325">
        <v>399</v>
      </c>
      <c r="G325" s="7">
        <f t="shared" si="15"/>
        <v>0</v>
      </c>
      <c r="H325" s="4">
        <f t="shared" si="16"/>
        <v>0</v>
      </c>
      <c r="I325" s="1">
        <f t="shared" si="17"/>
        <v>0</v>
      </c>
    </row>
    <row r="326" spans="1:9" hidden="1" x14ac:dyDescent="0.2">
      <c r="A326" s="6">
        <v>43977.708333333336</v>
      </c>
      <c r="B326" s="1" t="s">
        <v>7</v>
      </c>
      <c r="C326">
        <v>8</v>
      </c>
      <c r="D326">
        <v>0</v>
      </c>
      <c r="E326">
        <v>27</v>
      </c>
      <c r="F326">
        <v>399</v>
      </c>
      <c r="G326" s="7">
        <f t="shared" si="15"/>
        <v>0</v>
      </c>
      <c r="H326" s="4">
        <f t="shared" si="16"/>
        <v>0</v>
      </c>
      <c r="I326" s="1">
        <f t="shared" si="17"/>
        <v>0</v>
      </c>
    </row>
    <row r="327" spans="1:9" hidden="1" x14ac:dyDescent="0.2">
      <c r="A327" s="6">
        <v>43978.708333333336</v>
      </c>
      <c r="B327" s="1" t="s">
        <v>7</v>
      </c>
      <c r="C327">
        <v>7</v>
      </c>
      <c r="D327">
        <v>0</v>
      </c>
      <c r="E327">
        <v>27</v>
      </c>
      <c r="F327">
        <v>399</v>
      </c>
      <c r="G327" s="7">
        <f t="shared" si="15"/>
        <v>0</v>
      </c>
      <c r="H327" s="4">
        <f t="shared" si="16"/>
        <v>0</v>
      </c>
      <c r="I327" s="1">
        <f t="shared" si="17"/>
        <v>0</v>
      </c>
    </row>
    <row r="328" spans="1:9" hidden="1" x14ac:dyDescent="0.2">
      <c r="A328" s="6">
        <v>43979.708333333336</v>
      </c>
      <c r="B328" s="1" t="s">
        <v>7</v>
      </c>
      <c r="C328">
        <v>6</v>
      </c>
      <c r="D328">
        <v>0</v>
      </c>
      <c r="E328">
        <v>27</v>
      </c>
      <c r="F328">
        <v>399</v>
      </c>
      <c r="G328" s="7">
        <f t="shared" si="15"/>
        <v>0</v>
      </c>
      <c r="H328" s="4">
        <f t="shared" si="16"/>
        <v>0</v>
      </c>
      <c r="I328" s="1">
        <f t="shared" si="17"/>
        <v>0</v>
      </c>
    </row>
    <row r="329" spans="1:9" hidden="1" x14ac:dyDescent="0.2">
      <c r="A329" s="6">
        <v>43980.708333333336</v>
      </c>
      <c r="B329" s="1" t="s">
        <v>7</v>
      </c>
      <c r="C329">
        <v>5</v>
      </c>
      <c r="D329">
        <v>0</v>
      </c>
      <c r="E329">
        <v>27</v>
      </c>
      <c r="F329">
        <v>399</v>
      </c>
      <c r="G329" s="7">
        <f t="shared" si="15"/>
        <v>0</v>
      </c>
      <c r="H329" s="4">
        <f t="shared" si="16"/>
        <v>0</v>
      </c>
      <c r="I329" s="1">
        <f t="shared" si="17"/>
        <v>0</v>
      </c>
    </row>
    <row r="330" spans="1:9" hidden="1" x14ac:dyDescent="0.2">
      <c r="A330" s="6">
        <v>43981.708333333336</v>
      </c>
      <c r="B330" s="1" t="s">
        <v>7</v>
      </c>
      <c r="C330">
        <v>5</v>
      </c>
      <c r="D330">
        <v>0</v>
      </c>
      <c r="E330">
        <v>27</v>
      </c>
      <c r="F330">
        <v>399</v>
      </c>
      <c r="G330" s="7">
        <f t="shared" si="15"/>
        <v>0</v>
      </c>
      <c r="H330" s="4">
        <f t="shared" si="16"/>
        <v>0</v>
      </c>
      <c r="I330" s="1">
        <f t="shared" si="17"/>
        <v>0</v>
      </c>
    </row>
    <row r="331" spans="1:9" hidden="1" x14ac:dyDescent="0.2">
      <c r="A331" s="6">
        <v>43982.708333333336</v>
      </c>
      <c r="B331" s="1" t="s">
        <v>7</v>
      </c>
      <c r="C331">
        <v>4</v>
      </c>
      <c r="D331">
        <v>0</v>
      </c>
      <c r="E331">
        <v>27</v>
      </c>
      <c r="F331">
        <v>399</v>
      </c>
      <c r="G331" s="7">
        <f t="shared" si="15"/>
        <v>0</v>
      </c>
      <c r="H331" s="4">
        <f t="shared" si="16"/>
        <v>0</v>
      </c>
      <c r="I331" s="1">
        <f t="shared" si="17"/>
        <v>0</v>
      </c>
    </row>
    <row r="332" spans="1:9" hidden="1" x14ac:dyDescent="0.2">
      <c r="A332" s="6">
        <v>43983.708333333336</v>
      </c>
      <c r="B332" s="1" t="s">
        <v>7</v>
      </c>
      <c r="C332">
        <v>4</v>
      </c>
      <c r="D332">
        <v>0</v>
      </c>
      <c r="E332">
        <v>27</v>
      </c>
      <c r="F332">
        <v>399</v>
      </c>
      <c r="G332" s="7">
        <f t="shared" si="15"/>
        <v>0</v>
      </c>
      <c r="H332" s="4">
        <f t="shared" si="16"/>
        <v>0</v>
      </c>
      <c r="I332" s="1">
        <f t="shared" si="17"/>
        <v>0</v>
      </c>
    </row>
    <row r="333" spans="1:9" hidden="1" x14ac:dyDescent="0.2">
      <c r="A333" s="6">
        <v>43984.708333333336</v>
      </c>
      <c r="B333" s="1" t="s">
        <v>7</v>
      </c>
      <c r="C333">
        <v>4</v>
      </c>
      <c r="D333">
        <v>0</v>
      </c>
      <c r="E333">
        <v>27</v>
      </c>
      <c r="F333">
        <v>399</v>
      </c>
      <c r="G333" s="7">
        <f t="shared" si="15"/>
        <v>0</v>
      </c>
      <c r="H333" s="4">
        <f t="shared" si="16"/>
        <v>0</v>
      </c>
      <c r="I333" s="1">
        <f t="shared" si="17"/>
        <v>0</v>
      </c>
    </row>
    <row r="334" spans="1:9" hidden="1" x14ac:dyDescent="0.2">
      <c r="A334" s="6">
        <v>43985.708333333336</v>
      </c>
      <c r="B334" s="1" t="s">
        <v>7</v>
      </c>
      <c r="C334">
        <v>4</v>
      </c>
      <c r="D334">
        <v>0</v>
      </c>
      <c r="E334">
        <v>27</v>
      </c>
      <c r="F334">
        <v>399</v>
      </c>
      <c r="G334" s="7">
        <f t="shared" si="15"/>
        <v>0</v>
      </c>
      <c r="H334" s="4">
        <f t="shared" si="16"/>
        <v>0</v>
      </c>
      <c r="I334" s="1">
        <f t="shared" si="17"/>
        <v>0</v>
      </c>
    </row>
    <row r="335" spans="1:9" hidden="1" x14ac:dyDescent="0.2">
      <c r="A335" s="6">
        <v>43986.708333333336</v>
      </c>
      <c r="B335" s="1" t="s">
        <v>7</v>
      </c>
      <c r="C335">
        <v>3</v>
      </c>
      <c r="D335">
        <v>0</v>
      </c>
      <c r="E335">
        <v>27</v>
      </c>
      <c r="F335">
        <v>399</v>
      </c>
      <c r="G335" s="7">
        <f t="shared" si="15"/>
        <v>0</v>
      </c>
      <c r="H335" s="4">
        <f t="shared" si="16"/>
        <v>0</v>
      </c>
      <c r="I335" s="1">
        <f t="shared" si="17"/>
        <v>0</v>
      </c>
    </row>
    <row r="336" spans="1:9" hidden="1" x14ac:dyDescent="0.2">
      <c r="A336" s="6">
        <v>43987.708333333336</v>
      </c>
      <c r="B336" s="1" t="s">
        <v>7</v>
      </c>
      <c r="C336">
        <v>0</v>
      </c>
      <c r="D336">
        <v>0</v>
      </c>
      <c r="E336">
        <v>27</v>
      </c>
      <c r="F336">
        <v>399</v>
      </c>
      <c r="G336" s="7">
        <f t="shared" si="15"/>
        <v>0</v>
      </c>
      <c r="H336" s="4">
        <f t="shared" si="16"/>
        <v>0</v>
      </c>
      <c r="I336" s="1">
        <f t="shared" si="17"/>
        <v>0</v>
      </c>
    </row>
    <row r="337" spans="1:9" hidden="1" x14ac:dyDescent="0.2">
      <c r="A337" s="6">
        <v>43988.708333333336</v>
      </c>
      <c r="B337" s="1" t="s">
        <v>7</v>
      </c>
      <c r="C337">
        <v>0</v>
      </c>
      <c r="D337">
        <v>0</v>
      </c>
      <c r="E337">
        <v>27</v>
      </c>
      <c r="F337">
        <v>399</v>
      </c>
      <c r="G337" s="7">
        <f t="shared" si="15"/>
        <v>0</v>
      </c>
      <c r="H337" s="4">
        <f t="shared" si="16"/>
        <v>0</v>
      </c>
      <c r="I337" s="1">
        <f t="shared" si="17"/>
        <v>0</v>
      </c>
    </row>
    <row r="338" spans="1:9" hidden="1" x14ac:dyDescent="0.2">
      <c r="A338" s="6">
        <v>43989.708333333336</v>
      </c>
      <c r="B338" s="1" t="s">
        <v>7</v>
      </c>
      <c r="C338">
        <v>0</v>
      </c>
      <c r="D338">
        <v>0</v>
      </c>
      <c r="E338">
        <v>27</v>
      </c>
      <c r="F338">
        <v>399</v>
      </c>
      <c r="G338" s="7">
        <f t="shared" si="15"/>
        <v>0</v>
      </c>
      <c r="H338" s="4">
        <f t="shared" si="16"/>
        <v>0</v>
      </c>
      <c r="I338" s="1">
        <f t="shared" si="17"/>
        <v>0</v>
      </c>
    </row>
    <row r="339" spans="1:9" hidden="1" x14ac:dyDescent="0.2">
      <c r="A339" s="6">
        <v>43990.708333333336</v>
      </c>
      <c r="B339" s="1" t="s">
        <v>7</v>
      </c>
      <c r="C339">
        <v>0</v>
      </c>
      <c r="D339">
        <v>0</v>
      </c>
      <c r="E339">
        <v>27</v>
      </c>
      <c r="F339">
        <v>399</v>
      </c>
      <c r="G339" s="7">
        <f t="shared" si="15"/>
        <v>0</v>
      </c>
      <c r="H339" s="4">
        <f t="shared" si="16"/>
        <v>0</v>
      </c>
      <c r="I339" s="1">
        <f t="shared" si="17"/>
        <v>0</v>
      </c>
    </row>
    <row r="340" spans="1:9" hidden="1" x14ac:dyDescent="0.2">
      <c r="A340" s="6">
        <v>43991.708333333336</v>
      </c>
      <c r="B340" s="1" t="s">
        <v>7</v>
      </c>
      <c r="C340">
        <v>1</v>
      </c>
      <c r="D340">
        <v>0</v>
      </c>
      <c r="E340">
        <v>27</v>
      </c>
      <c r="F340">
        <v>400</v>
      </c>
      <c r="G340" s="7">
        <f t="shared" si="15"/>
        <v>1</v>
      </c>
      <c r="H340" s="4">
        <f t="shared" si="16"/>
        <v>2.4999999999999467E-3</v>
      </c>
      <c r="I340" s="1">
        <f t="shared" si="17"/>
        <v>0</v>
      </c>
    </row>
    <row r="341" spans="1:9" hidden="1" x14ac:dyDescent="0.2">
      <c r="A341" s="6">
        <v>43992.708333333336</v>
      </c>
      <c r="B341" s="1" t="s">
        <v>7</v>
      </c>
      <c r="C341">
        <v>1</v>
      </c>
      <c r="D341">
        <v>0</v>
      </c>
      <c r="E341">
        <v>27</v>
      </c>
      <c r="F341">
        <v>400</v>
      </c>
      <c r="G341" s="7">
        <f t="shared" si="15"/>
        <v>0</v>
      </c>
      <c r="H341" s="4">
        <f t="shared" si="16"/>
        <v>0</v>
      </c>
      <c r="I341" s="1">
        <f t="shared" si="17"/>
        <v>0</v>
      </c>
    </row>
    <row r="342" spans="1:9" hidden="1" x14ac:dyDescent="0.2">
      <c r="A342" s="6">
        <v>43993.708333333336</v>
      </c>
      <c r="B342" s="1" t="s">
        <v>7</v>
      </c>
      <c r="C342">
        <v>0</v>
      </c>
      <c r="D342">
        <v>1</v>
      </c>
      <c r="E342">
        <v>27</v>
      </c>
      <c r="F342">
        <v>401</v>
      </c>
      <c r="G342" s="7">
        <f t="shared" si="15"/>
        <v>1</v>
      </c>
      <c r="H342" s="4">
        <f t="shared" si="16"/>
        <v>2.4937655860348684E-3</v>
      </c>
      <c r="I342" s="1">
        <f t="shared" si="17"/>
        <v>0</v>
      </c>
    </row>
    <row r="343" spans="1:9" hidden="1" x14ac:dyDescent="0.2">
      <c r="A343" s="6">
        <v>43994.708333333336</v>
      </c>
      <c r="B343" s="1" t="s">
        <v>7</v>
      </c>
      <c r="C343">
        <v>0</v>
      </c>
      <c r="D343">
        <v>1</v>
      </c>
      <c r="E343">
        <v>27</v>
      </c>
      <c r="F343">
        <v>401</v>
      </c>
      <c r="G343" s="7">
        <f t="shared" si="15"/>
        <v>0</v>
      </c>
      <c r="H343" s="4">
        <f t="shared" si="16"/>
        <v>0</v>
      </c>
      <c r="I343" s="1">
        <f t="shared" si="17"/>
        <v>0</v>
      </c>
    </row>
    <row r="344" spans="1:9" hidden="1" x14ac:dyDescent="0.2">
      <c r="A344" s="6">
        <v>43995.708333333336</v>
      </c>
      <c r="B344" s="1" t="s">
        <v>7</v>
      </c>
      <c r="C344">
        <v>0</v>
      </c>
      <c r="D344">
        <v>1</v>
      </c>
      <c r="E344">
        <v>27</v>
      </c>
      <c r="F344">
        <v>401</v>
      </c>
      <c r="G344" s="7">
        <f t="shared" si="15"/>
        <v>0</v>
      </c>
      <c r="H344" s="4">
        <f t="shared" si="16"/>
        <v>0</v>
      </c>
      <c r="I344" s="1">
        <f t="shared" si="17"/>
        <v>0</v>
      </c>
    </row>
    <row r="345" spans="1:9" hidden="1" x14ac:dyDescent="0.2">
      <c r="A345" s="6">
        <v>43996.708333333336</v>
      </c>
      <c r="B345" s="1" t="s">
        <v>7</v>
      </c>
      <c r="C345">
        <v>0</v>
      </c>
      <c r="D345">
        <v>1</v>
      </c>
      <c r="E345">
        <v>27</v>
      </c>
      <c r="F345">
        <v>401</v>
      </c>
      <c r="G345" s="7">
        <f t="shared" si="15"/>
        <v>0</v>
      </c>
      <c r="H345" s="4">
        <f t="shared" si="16"/>
        <v>0</v>
      </c>
      <c r="I345" s="1">
        <f t="shared" si="17"/>
        <v>0</v>
      </c>
    </row>
    <row r="346" spans="1:9" hidden="1" x14ac:dyDescent="0.2">
      <c r="A346" s="6">
        <v>43997.708333333336</v>
      </c>
      <c r="B346" s="1" t="s">
        <v>7</v>
      </c>
      <c r="C346">
        <v>0</v>
      </c>
      <c r="D346">
        <v>1</v>
      </c>
      <c r="E346">
        <v>27</v>
      </c>
      <c r="F346">
        <v>401</v>
      </c>
      <c r="G346" s="7">
        <f t="shared" si="15"/>
        <v>0</v>
      </c>
      <c r="H346" s="4">
        <f t="shared" si="16"/>
        <v>0</v>
      </c>
      <c r="I346" s="1">
        <f t="shared" si="17"/>
        <v>0</v>
      </c>
    </row>
    <row r="347" spans="1:9" hidden="1" x14ac:dyDescent="0.2">
      <c r="A347" s="6">
        <v>43998.708333333336</v>
      </c>
      <c r="B347" s="1" t="s">
        <v>7</v>
      </c>
      <c r="C347">
        <v>0</v>
      </c>
      <c r="D347">
        <v>1</v>
      </c>
      <c r="E347">
        <v>27</v>
      </c>
      <c r="F347">
        <v>401</v>
      </c>
      <c r="G347" s="7">
        <f t="shared" si="15"/>
        <v>0</v>
      </c>
      <c r="H347" s="4">
        <f t="shared" si="16"/>
        <v>0</v>
      </c>
      <c r="I347" s="1">
        <f t="shared" si="17"/>
        <v>0</v>
      </c>
    </row>
    <row r="348" spans="1:9" hidden="1" x14ac:dyDescent="0.2">
      <c r="A348" s="6">
        <v>43999.708333333336</v>
      </c>
      <c r="B348" s="1" t="s">
        <v>7</v>
      </c>
      <c r="C348">
        <v>0</v>
      </c>
      <c r="D348">
        <v>1</v>
      </c>
      <c r="E348">
        <v>27</v>
      </c>
      <c r="F348">
        <v>401</v>
      </c>
      <c r="G348" s="7">
        <f t="shared" si="15"/>
        <v>0</v>
      </c>
      <c r="H348" s="4">
        <f t="shared" si="16"/>
        <v>0</v>
      </c>
      <c r="I348" s="1">
        <f t="shared" si="17"/>
        <v>0</v>
      </c>
    </row>
    <row r="349" spans="1:9" hidden="1" x14ac:dyDescent="0.2">
      <c r="A349" s="6">
        <v>44000.708333333336</v>
      </c>
      <c r="B349" s="1" t="s">
        <v>7</v>
      </c>
      <c r="C349">
        <v>0</v>
      </c>
      <c r="D349">
        <v>1</v>
      </c>
      <c r="E349">
        <v>27</v>
      </c>
      <c r="F349">
        <v>401</v>
      </c>
      <c r="G349" s="7">
        <f t="shared" si="15"/>
        <v>0</v>
      </c>
      <c r="H349" s="4">
        <f t="shared" si="16"/>
        <v>0</v>
      </c>
      <c r="I349" s="1">
        <f t="shared" si="17"/>
        <v>0</v>
      </c>
    </row>
    <row r="350" spans="1:9" hidden="1" x14ac:dyDescent="0.2">
      <c r="A350" s="6">
        <v>44001.708333333336</v>
      </c>
      <c r="B350" s="1" t="s">
        <v>7</v>
      </c>
      <c r="C350">
        <v>0</v>
      </c>
      <c r="D350">
        <v>1</v>
      </c>
      <c r="E350">
        <v>27</v>
      </c>
      <c r="F350">
        <v>401</v>
      </c>
      <c r="G350" s="7">
        <f t="shared" si="15"/>
        <v>0</v>
      </c>
      <c r="H350" s="4">
        <f t="shared" si="16"/>
        <v>0</v>
      </c>
      <c r="I350" s="1">
        <f t="shared" si="17"/>
        <v>0</v>
      </c>
    </row>
    <row r="351" spans="1:9" hidden="1" x14ac:dyDescent="0.2">
      <c r="A351" s="6">
        <v>44002.708333333336</v>
      </c>
      <c r="B351" s="1" t="s">
        <v>7</v>
      </c>
      <c r="C351">
        <v>0</v>
      </c>
      <c r="D351">
        <v>1</v>
      </c>
      <c r="E351">
        <v>27</v>
      </c>
      <c r="F351">
        <v>401</v>
      </c>
      <c r="G351" s="7">
        <f t="shared" si="15"/>
        <v>0</v>
      </c>
      <c r="H351" s="4">
        <f t="shared" si="16"/>
        <v>0</v>
      </c>
      <c r="I351" s="1">
        <f t="shared" si="17"/>
        <v>0</v>
      </c>
    </row>
    <row r="352" spans="1:9" hidden="1" x14ac:dyDescent="0.2">
      <c r="A352" s="6">
        <v>44003.708333333336</v>
      </c>
      <c r="B352" s="1" t="s">
        <v>7</v>
      </c>
      <c r="C352">
        <v>1</v>
      </c>
      <c r="D352">
        <v>0</v>
      </c>
      <c r="E352">
        <v>27</v>
      </c>
      <c r="F352">
        <v>401</v>
      </c>
      <c r="G352" s="7">
        <f t="shared" si="15"/>
        <v>0</v>
      </c>
      <c r="H352" s="4">
        <f t="shared" si="16"/>
        <v>0</v>
      </c>
      <c r="I352" s="1">
        <f t="shared" si="17"/>
        <v>0</v>
      </c>
    </row>
    <row r="353" spans="1:9" hidden="1" x14ac:dyDescent="0.2">
      <c r="A353" s="6">
        <v>44004.708333333336</v>
      </c>
      <c r="B353" s="1" t="s">
        <v>7</v>
      </c>
      <c r="C353">
        <v>1</v>
      </c>
      <c r="D353">
        <v>0</v>
      </c>
      <c r="E353">
        <v>27</v>
      </c>
      <c r="F353">
        <v>401</v>
      </c>
      <c r="G353" s="7">
        <f t="shared" si="15"/>
        <v>0</v>
      </c>
      <c r="H353" s="4">
        <f t="shared" si="16"/>
        <v>0</v>
      </c>
      <c r="I353" s="1">
        <f t="shared" si="17"/>
        <v>0</v>
      </c>
    </row>
    <row r="354" spans="1:9" hidden="1" x14ac:dyDescent="0.2">
      <c r="A354" s="6">
        <v>44005.708333333336</v>
      </c>
      <c r="B354" s="1" t="s">
        <v>7</v>
      </c>
      <c r="C354">
        <v>1</v>
      </c>
      <c r="D354">
        <v>0</v>
      </c>
      <c r="E354">
        <v>27</v>
      </c>
      <c r="F354">
        <v>401</v>
      </c>
      <c r="G354" s="7">
        <f t="shared" si="15"/>
        <v>0</v>
      </c>
      <c r="H354" s="4">
        <f t="shared" si="16"/>
        <v>0</v>
      </c>
      <c r="I354" s="1">
        <f t="shared" si="17"/>
        <v>0</v>
      </c>
    </row>
    <row r="355" spans="1:9" hidden="1" x14ac:dyDescent="0.2">
      <c r="A355" s="6">
        <v>44006.708333333336</v>
      </c>
      <c r="B355" s="1" t="s">
        <v>7</v>
      </c>
      <c r="C355">
        <v>1</v>
      </c>
      <c r="D355">
        <v>0</v>
      </c>
      <c r="E355">
        <v>27</v>
      </c>
      <c r="F355">
        <v>401</v>
      </c>
      <c r="G355" s="7">
        <f t="shared" si="15"/>
        <v>0</v>
      </c>
      <c r="H355" s="4">
        <f t="shared" si="16"/>
        <v>0</v>
      </c>
      <c r="I355" s="1">
        <f t="shared" si="17"/>
        <v>0</v>
      </c>
    </row>
    <row r="356" spans="1:9" hidden="1" x14ac:dyDescent="0.2">
      <c r="A356" s="6">
        <v>44007.708333333336</v>
      </c>
      <c r="B356" s="1" t="s">
        <v>7</v>
      </c>
      <c r="C356">
        <v>1</v>
      </c>
      <c r="D356">
        <v>0</v>
      </c>
      <c r="E356">
        <v>27</v>
      </c>
      <c r="F356">
        <v>401</v>
      </c>
      <c r="G356" s="7">
        <f t="shared" si="15"/>
        <v>0</v>
      </c>
      <c r="H356" s="4">
        <f t="shared" si="16"/>
        <v>0</v>
      </c>
      <c r="I356" s="1">
        <f t="shared" si="17"/>
        <v>0</v>
      </c>
    </row>
    <row r="357" spans="1:9" hidden="1" x14ac:dyDescent="0.2">
      <c r="A357" s="6">
        <v>44008.708333333336</v>
      </c>
      <c r="B357" s="1" t="s">
        <v>7</v>
      </c>
      <c r="C357">
        <v>1</v>
      </c>
      <c r="D357">
        <v>0</v>
      </c>
      <c r="E357">
        <v>27</v>
      </c>
      <c r="F357">
        <v>401</v>
      </c>
      <c r="G357" s="7">
        <f t="shared" si="15"/>
        <v>0</v>
      </c>
      <c r="H357" s="4">
        <f t="shared" si="16"/>
        <v>0</v>
      </c>
      <c r="I357" s="1">
        <f t="shared" si="17"/>
        <v>0</v>
      </c>
    </row>
    <row r="358" spans="1:9" hidden="1" x14ac:dyDescent="0.2">
      <c r="A358" s="6">
        <v>44009.708333333336</v>
      </c>
      <c r="B358" s="1" t="s">
        <v>7</v>
      </c>
      <c r="C358">
        <v>1</v>
      </c>
      <c r="D358">
        <v>0</v>
      </c>
      <c r="E358">
        <v>27</v>
      </c>
      <c r="F358">
        <v>401</v>
      </c>
      <c r="G358" s="7">
        <f t="shared" si="15"/>
        <v>0</v>
      </c>
      <c r="H358" s="4">
        <f t="shared" si="16"/>
        <v>0</v>
      </c>
      <c r="I358" s="1">
        <f t="shared" si="17"/>
        <v>0</v>
      </c>
    </row>
    <row r="359" spans="1:9" hidden="1" x14ac:dyDescent="0.2">
      <c r="A359" s="6">
        <v>44010.708333333336</v>
      </c>
      <c r="B359" s="1" t="s">
        <v>7</v>
      </c>
      <c r="C359">
        <v>1</v>
      </c>
      <c r="D359">
        <v>0</v>
      </c>
      <c r="E359">
        <v>27</v>
      </c>
      <c r="F359">
        <v>401</v>
      </c>
      <c r="G359" s="7">
        <f t="shared" si="15"/>
        <v>0</v>
      </c>
      <c r="H359" s="4">
        <f t="shared" si="16"/>
        <v>0</v>
      </c>
      <c r="I359" s="1">
        <f t="shared" si="17"/>
        <v>0</v>
      </c>
    </row>
    <row r="360" spans="1:9" hidden="1" x14ac:dyDescent="0.2">
      <c r="A360" s="6">
        <v>44011.708333333336</v>
      </c>
      <c r="B360" s="1" t="s">
        <v>7</v>
      </c>
      <c r="C360">
        <v>1</v>
      </c>
      <c r="D360">
        <v>0</v>
      </c>
      <c r="E360">
        <v>27</v>
      </c>
      <c r="F360">
        <v>402</v>
      </c>
      <c r="G360" s="7">
        <f t="shared" si="15"/>
        <v>1</v>
      </c>
      <c r="H360" s="4">
        <f t="shared" si="16"/>
        <v>2.4875621890547706E-3</v>
      </c>
      <c r="I360" s="1">
        <f t="shared" si="17"/>
        <v>0</v>
      </c>
    </row>
    <row r="361" spans="1:9" hidden="1" x14ac:dyDescent="0.2">
      <c r="A361" s="6">
        <v>44012.708333333336</v>
      </c>
      <c r="B361" s="1" t="s">
        <v>7</v>
      </c>
      <c r="C361">
        <v>1</v>
      </c>
      <c r="D361">
        <v>0</v>
      </c>
      <c r="E361">
        <v>27</v>
      </c>
      <c r="F361">
        <v>402</v>
      </c>
      <c r="G361" s="7">
        <f t="shared" si="15"/>
        <v>0</v>
      </c>
      <c r="H361" s="4">
        <f t="shared" si="16"/>
        <v>0</v>
      </c>
      <c r="I361" s="1">
        <f t="shared" si="17"/>
        <v>0</v>
      </c>
    </row>
    <row r="362" spans="1:9" hidden="1" x14ac:dyDescent="0.2">
      <c r="A362" s="6">
        <v>44013.708333333336</v>
      </c>
      <c r="B362" s="1" t="s">
        <v>7</v>
      </c>
      <c r="C362">
        <v>0</v>
      </c>
      <c r="D362">
        <v>0</v>
      </c>
      <c r="E362">
        <v>27</v>
      </c>
      <c r="F362">
        <v>402</v>
      </c>
      <c r="G362" s="7">
        <f t="shared" si="15"/>
        <v>0</v>
      </c>
      <c r="H362" s="4">
        <f t="shared" si="16"/>
        <v>0</v>
      </c>
      <c r="I362" s="1">
        <f t="shared" si="17"/>
        <v>0</v>
      </c>
    </row>
    <row r="363" spans="1:9" hidden="1" x14ac:dyDescent="0.2">
      <c r="A363" s="6">
        <v>44014.708333333336</v>
      </c>
      <c r="B363" s="1" t="s">
        <v>7</v>
      </c>
      <c r="C363">
        <v>0</v>
      </c>
      <c r="D363">
        <v>0</v>
      </c>
      <c r="E363">
        <v>27</v>
      </c>
      <c r="F363">
        <v>402</v>
      </c>
      <c r="G363" s="7">
        <f t="shared" si="15"/>
        <v>0</v>
      </c>
      <c r="H363" s="4">
        <f t="shared" si="16"/>
        <v>0</v>
      </c>
      <c r="I363" s="1">
        <f t="shared" si="17"/>
        <v>0</v>
      </c>
    </row>
    <row r="364" spans="1:9" hidden="1" x14ac:dyDescent="0.2">
      <c r="A364" s="6">
        <v>44015.708333333336</v>
      </c>
      <c r="B364" s="1" t="s">
        <v>7</v>
      </c>
      <c r="C364">
        <v>0</v>
      </c>
      <c r="D364">
        <v>0</v>
      </c>
      <c r="E364">
        <v>27</v>
      </c>
      <c r="F364">
        <v>404</v>
      </c>
      <c r="G364" s="7">
        <f t="shared" si="15"/>
        <v>2</v>
      </c>
      <c r="H364" s="4">
        <f t="shared" si="16"/>
        <v>4.9504950495049549E-3</v>
      </c>
      <c r="I364" s="1">
        <f t="shared" si="17"/>
        <v>0</v>
      </c>
    </row>
    <row r="365" spans="1:9" hidden="1" x14ac:dyDescent="0.2">
      <c r="A365" s="6">
        <v>44016.708333333336</v>
      </c>
      <c r="B365" s="1" t="s">
        <v>7</v>
      </c>
      <c r="C365">
        <v>0</v>
      </c>
      <c r="D365">
        <v>0</v>
      </c>
      <c r="E365">
        <v>27</v>
      </c>
      <c r="F365">
        <v>404</v>
      </c>
      <c r="G365" s="7">
        <f t="shared" si="15"/>
        <v>0</v>
      </c>
      <c r="H365" s="4">
        <f t="shared" si="16"/>
        <v>0</v>
      </c>
      <c r="I365" s="1">
        <f t="shared" si="17"/>
        <v>0</v>
      </c>
    </row>
    <row r="366" spans="1:9" hidden="1" x14ac:dyDescent="0.2">
      <c r="A366" s="6">
        <v>44017.708333333336</v>
      </c>
      <c r="B366" s="1" t="s">
        <v>7</v>
      </c>
      <c r="C366">
        <v>0</v>
      </c>
      <c r="D366">
        <v>0</v>
      </c>
      <c r="E366">
        <v>27</v>
      </c>
      <c r="F366">
        <v>404</v>
      </c>
      <c r="G366" s="7">
        <f t="shared" si="15"/>
        <v>0</v>
      </c>
      <c r="H366" s="4">
        <f t="shared" si="16"/>
        <v>0</v>
      </c>
      <c r="I366" s="1">
        <f t="shared" si="17"/>
        <v>0</v>
      </c>
    </row>
    <row r="367" spans="1:9" hidden="1" x14ac:dyDescent="0.2">
      <c r="A367" s="6">
        <v>44018.708333333336</v>
      </c>
      <c r="B367" s="1" t="s">
        <v>7</v>
      </c>
      <c r="C367">
        <v>0</v>
      </c>
      <c r="D367">
        <v>0</v>
      </c>
      <c r="E367">
        <v>27</v>
      </c>
      <c r="F367">
        <v>404</v>
      </c>
      <c r="G367" s="7">
        <f t="shared" si="15"/>
        <v>0</v>
      </c>
      <c r="H367" s="4">
        <f t="shared" si="16"/>
        <v>0</v>
      </c>
      <c r="I367" s="1">
        <f t="shared" si="17"/>
        <v>0</v>
      </c>
    </row>
    <row r="368" spans="1:9" hidden="1" x14ac:dyDescent="0.2">
      <c r="A368" s="6">
        <v>44019.708333333336</v>
      </c>
      <c r="B368" s="1" t="s">
        <v>7</v>
      </c>
      <c r="C368">
        <v>0</v>
      </c>
      <c r="D368">
        <v>0</v>
      </c>
      <c r="E368">
        <v>27</v>
      </c>
      <c r="F368">
        <v>404</v>
      </c>
      <c r="G368" s="7">
        <f t="shared" si="15"/>
        <v>0</v>
      </c>
      <c r="H368" s="4">
        <f t="shared" si="16"/>
        <v>0</v>
      </c>
      <c r="I368" s="1">
        <f t="shared" si="17"/>
        <v>0</v>
      </c>
    </row>
    <row r="369" spans="1:9" hidden="1" x14ac:dyDescent="0.2">
      <c r="A369" s="6">
        <v>44020.708333333336</v>
      </c>
      <c r="B369" s="1" t="s">
        <v>7</v>
      </c>
      <c r="C369">
        <v>1</v>
      </c>
      <c r="D369">
        <v>0</v>
      </c>
      <c r="E369">
        <v>27</v>
      </c>
      <c r="F369">
        <v>405</v>
      </c>
      <c r="G369" s="7">
        <f t="shared" si="15"/>
        <v>1</v>
      </c>
      <c r="H369" s="4">
        <f t="shared" si="16"/>
        <v>2.4691358024691024E-3</v>
      </c>
      <c r="I369" s="1">
        <f t="shared" si="17"/>
        <v>0</v>
      </c>
    </row>
    <row r="370" spans="1:9" hidden="1" x14ac:dyDescent="0.2">
      <c r="A370" s="6">
        <v>44021.708333333336</v>
      </c>
      <c r="B370" s="1" t="s">
        <v>7</v>
      </c>
      <c r="C370">
        <v>2</v>
      </c>
      <c r="D370">
        <v>0</v>
      </c>
      <c r="E370">
        <v>27</v>
      </c>
      <c r="F370">
        <v>405</v>
      </c>
      <c r="G370" s="7">
        <f t="shared" si="15"/>
        <v>0</v>
      </c>
      <c r="H370" s="4">
        <f t="shared" si="16"/>
        <v>0</v>
      </c>
      <c r="I370" s="1">
        <f t="shared" si="17"/>
        <v>0</v>
      </c>
    </row>
    <row r="371" spans="1:9" hidden="1" x14ac:dyDescent="0.2">
      <c r="A371" s="6">
        <v>44022.708333333336</v>
      </c>
      <c r="B371" s="1" t="s">
        <v>7</v>
      </c>
      <c r="C371">
        <v>3</v>
      </c>
      <c r="D371">
        <v>0</v>
      </c>
      <c r="E371">
        <v>27</v>
      </c>
      <c r="F371">
        <v>405</v>
      </c>
      <c r="G371" s="7">
        <f t="shared" si="15"/>
        <v>0</v>
      </c>
      <c r="H371" s="4">
        <f t="shared" si="16"/>
        <v>0</v>
      </c>
      <c r="I371" s="1">
        <f t="shared" si="17"/>
        <v>0</v>
      </c>
    </row>
    <row r="372" spans="1:9" hidden="1" x14ac:dyDescent="0.2">
      <c r="A372" s="6">
        <v>44023.708333333336</v>
      </c>
      <c r="B372" s="1" t="s">
        <v>7</v>
      </c>
      <c r="C372">
        <v>3</v>
      </c>
      <c r="D372">
        <v>0</v>
      </c>
      <c r="E372">
        <v>27</v>
      </c>
      <c r="F372">
        <v>406</v>
      </c>
      <c r="G372" s="7">
        <f t="shared" si="15"/>
        <v>1</v>
      </c>
      <c r="H372" s="4">
        <f t="shared" si="16"/>
        <v>2.4630541871921707E-3</v>
      </c>
      <c r="I372" s="1">
        <f t="shared" si="17"/>
        <v>0</v>
      </c>
    </row>
    <row r="373" spans="1:9" hidden="1" x14ac:dyDescent="0.2">
      <c r="A373" s="6">
        <v>44024.708333333336</v>
      </c>
      <c r="B373" s="1" t="s">
        <v>7</v>
      </c>
      <c r="C373">
        <v>3</v>
      </c>
      <c r="D373">
        <v>0</v>
      </c>
      <c r="E373">
        <v>27</v>
      </c>
      <c r="F373">
        <v>406</v>
      </c>
      <c r="G373" s="7">
        <f t="shared" si="15"/>
        <v>0</v>
      </c>
      <c r="H373" s="4">
        <f t="shared" si="16"/>
        <v>0</v>
      </c>
      <c r="I373" s="1">
        <f t="shared" si="17"/>
        <v>0</v>
      </c>
    </row>
    <row r="374" spans="1:9" hidden="1" x14ac:dyDescent="0.2">
      <c r="A374" s="6">
        <v>44025.708333333336</v>
      </c>
      <c r="B374" s="1" t="s">
        <v>7</v>
      </c>
      <c r="C374">
        <v>3</v>
      </c>
      <c r="D374">
        <v>0</v>
      </c>
      <c r="E374">
        <v>27</v>
      </c>
      <c r="F374">
        <v>406</v>
      </c>
      <c r="G374" s="7">
        <f t="shared" si="15"/>
        <v>0</v>
      </c>
      <c r="H374" s="4">
        <f t="shared" si="16"/>
        <v>0</v>
      </c>
      <c r="I374" s="1">
        <f t="shared" si="17"/>
        <v>0</v>
      </c>
    </row>
    <row r="375" spans="1:9" hidden="1" x14ac:dyDescent="0.2">
      <c r="A375" s="6">
        <v>44026.708333333336</v>
      </c>
      <c r="B375" s="1" t="s">
        <v>7</v>
      </c>
      <c r="C375">
        <v>3</v>
      </c>
      <c r="D375">
        <v>0</v>
      </c>
      <c r="E375">
        <v>27</v>
      </c>
      <c r="F375">
        <v>406</v>
      </c>
      <c r="G375" s="7">
        <f t="shared" si="15"/>
        <v>0</v>
      </c>
      <c r="H375" s="4">
        <f t="shared" si="16"/>
        <v>0</v>
      </c>
      <c r="I375" s="1">
        <f t="shared" si="17"/>
        <v>0</v>
      </c>
    </row>
    <row r="376" spans="1:9" hidden="1" x14ac:dyDescent="0.2">
      <c r="A376" s="6">
        <v>44027.708333333336</v>
      </c>
      <c r="B376" s="1" t="s">
        <v>7</v>
      </c>
      <c r="C376">
        <v>3</v>
      </c>
      <c r="D376">
        <v>0</v>
      </c>
      <c r="E376">
        <v>27</v>
      </c>
      <c r="F376">
        <v>405</v>
      </c>
      <c r="G376" s="7">
        <f t="shared" si="15"/>
        <v>-1</v>
      </c>
      <c r="H376" s="4">
        <f t="shared" si="16"/>
        <v>-2.4691358024691024E-3</v>
      </c>
      <c r="I376" s="1">
        <f t="shared" si="17"/>
        <v>0</v>
      </c>
    </row>
    <row r="377" spans="1:9" hidden="1" x14ac:dyDescent="0.2">
      <c r="A377" s="6">
        <v>44028.708333333336</v>
      </c>
      <c r="B377" s="1" t="s">
        <v>7</v>
      </c>
      <c r="C377">
        <v>3</v>
      </c>
      <c r="D377">
        <v>0</v>
      </c>
      <c r="E377">
        <v>27</v>
      </c>
      <c r="F377">
        <v>405</v>
      </c>
      <c r="G377" s="7">
        <f t="shared" si="15"/>
        <v>0</v>
      </c>
      <c r="H377" s="4">
        <f t="shared" si="16"/>
        <v>0</v>
      </c>
      <c r="I377" s="1">
        <f t="shared" si="17"/>
        <v>0</v>
      </c>
    </row>
    <row r="378" spans="1:9" hidden="1" x14ac:dyDescent="0.2">
      <c r="A378" s="6">
        <v>44029.708333333336</v>
      </c>
      <c r="B378" s="1" t="s">
        <v>7</v>
      </c>
      <c r="C378">
        <v>3</v>
      </c>
      <c r="D378">
        <v>0</v>
      </c>
      <c r="E378">
        <v>27</v>
      </c>
      <c r="F378">
        <v>405</v>
      </c>
      <c r="G378" s="7">
        <f t="shared" si="15"/>
        <v>0</v>
      </c>
      <c r="H378" s="4">
        <f t="shared" si="16"/>
        <v>0</v>
      </c>
      <c r="I378" s="1">
        <f t="shared" si="17"/>
        <v>0</v>
      </c>
    </row>
    <row r="379" spans="1:9" hidden="1" x14ac:dyDescent="0.2">
      <c r="A379" s="6">
        <v>44030.708333333336</v>
      </c>
      <c r="B379" s="1" t="s">
        <v>7</v>
      </c>
      <c r="C379">
        <v>3</v>
      </c>
      <c r="D379">
        <v>0</v>
      </c>
      <c r="E379">
        <v>27</v>
      </c>
      <c r="F379">
        <v>405</v>
      </c>
      <c r="G379" s="7">
        <f t="shared" si="15"/>
        <v>0</v>
      </c>
      <c r="H379" s="4">
        <f t="shared" si="16"/>
        <v>0</v>
      </c>
      <c r="I379" s="1">
        <f t="shared" si="17"/>
        <v>0</v>
      </c>
    </row>
    <row r="380" spans="1:9" hidden="1" x14ac:dyDescent="0.2">
      <c r="A380" s="6">
        <v>44031.708333333336</v>
      </c>
      <c r="B380" s="1" t="s">
        <v>7</v>
      </c>
      <c r="C380">
        <v>2</v>
      </c>
      <c r="D380">
        <v>0</v>
      </c>
      <c r="E380">
        <v>28</v>
      </c>
      <c r="F380">
        <v>408</v>
      </c>
      <c r="G380" s="7">
        <f t="shared" si="15"/>
        <v>3</v>
      </c>
      <c r="H380" s="4">
        <f t="shared" si="16"/>
        <v>7.3529411764705621E-3</v>
      </c>
      <c r="I380" s="1">
        <f t="shared" si="17"/>
        <v>1</v>
      </c>
    </row>
    <row r="381" spans="1:9" hidden="1" x14ac:dyDescent="0.2">
      <c r="A381" s="6">
        <v>44032.708333333336</v>
      </c>
      <c r="B381" s="1" t="s">
        <v>7</v>
      </c>
      <c r="C381">
        <v>2</v>
      </c>
      <c r="D381">
        <v>0</v>
      </c>
      <c r="E381">
        <v>28</v>
      </c>
      <c r="F381">
        <v>408</v>
      </c>
      <c r="G381" s="7">
        <f t="shared" si="15"/>
        <v>0</v>
      </c>
      <c r="H381" s="4">
        <f t="shared" si="16"/>
        <v>0</v>
      </c>
      <c r="I381" s="1">
        <f t="shared" si="17"/>
        <v>0</v>
      </c>
    </row>
    <row r="382" spans="1:9" hidden="1" x14ac:dyDescent="0.2">
      <c r="A382" s="6">
        <v>44033.708333333336</v>
      </c>
      <c r="B382" s="1" t="s">
        <v>7</v>
      </c>
      <c r="C382">
        <v>2</v>
      </c>
      <c r="D382">
        <v>0</v>
      </c>
      <c r="E382">
        <v>28</v>
      </c>
      <c r="F382">
        <v>408</v>
      </c>
      <c r="G382" s="7">
        <f t="shared" si="15"/>
        <v>0</v>
      </c>
      <c r="H382" s="4">
        <f t="shared" si="16"/>
        <v>0</v>
      </c>
      <c r="I382" s="1">
        <f t="shared" si="17"/>
        <v>0</v>
      </c>
    </row>
    <row r="383" spans="1:9" hidden="1" x14ac:dyDescent="0.2">
      <c r="A383" s="6">
        <v>44034.708333333336</v>
      </c>
      <c r="B383" s="1" t="s">
        <v>7</v>
      </c>
      <c r="C383">
        <v>2</v>
      </c>
      <c r="D383">
        <v>0</v>
      </c>
      <c r="E383">
        <v>28</v>
      </c>
      <c r="F383">
        <v>444</v>
      </c>
      <c r="G383" s="7">
        <f t="shared" si="15"/>
        <v>36</v>
      </c>
      <c r="H383" s="4">
        <f t="shared" si="16"/>
        <v>8.108108108108103E-2</v>
      </c>
      <c r="I383" s="1">
        <f t="shared" si="17"/>
        <v>0</v>
      </c>
    </row>
    <row r="384" spans="1:9" hidden="1" x14ac:dyDescent="0.2">
      <c r="A384" s="6">
        <v>44035.708333333336</v>
      </c>
      <c r="B384" s="1" t="s">
        <v>7</v>
      </c>
      <c r="C384">
        <v>2</v>
      </c>
      <c r="D384">
        <v>0</v>
      </c>
      <c r="E384">
        <v>28</v>
      </c>
      <c r="F384">
        <v>447</v>
      </c>
      <c r="G384" s="7">
        <f t="shared" si="15"/>
        <v>3</v>
      </c>
      <c r="H384" s="4">
        <f t="shared" si="16"/>
        <v>6.7114093959731447E-3</v>
      </c>
      <c r="I384" s="1">
        <f t="shared" si="17"/>
        <v>0</v>
      </c>
    </row>
    <row r="385" spans="1:9" hidden="1" x14ac:dyDescent="0.2">
      <c r="A385" s="6">
        <v>44036.708333333336</v>
      </c>
      <c r="B385" s="1" t="s">
        <v>7</v>
      </c>
      <c r="C385">
        <v>2</v>
      </c>
      <c r="D385">
        <v>0</v>
      </c>
      <c r="E385">
        <v>28</v>
      </c>
      <c r="F385">
        <v>447</v>
      </c>
      <c r="G385" s="7">
        <f t="shared" si="15"/>
        <v>0</v>
      </c>
      <c r="H385" s="4">
        <f t="shared" si="16"/>
        <v>0</v>
      </c>
      <c r="I385" s="1">
        <f t="shared" si="17"/>
        <v>0</v>
      </c>
    </row>
    <row r="386" spans="1:9" hidden="1" x14ac:dyDescent="0.2">
      <c r="A386" s="6">
        <v>44037.708333333336</v>
      </c>
      <c r="B386" s="1" t="s">
        <v>7</v>
      </c>
      <c r="C386">
        <v>2</v>
      </c>
      <c r="D386">
        <v>0</v>
      </c>
      <c r="E386">
        <v>28</v>
      </c>
      <c r="F386">
        <v>448</v>
      </c>
      <c r="G386" s="7">
        <f t="shared" si="15"/>
        <v>1</v>
      </c>
      <c r="H386" s="4">
        <f t="shared" si="16"/>
        <v>2.2321428571429047E-3</v>
      </c>
      <c r="I386" s="1">
        <f t="shared" si="17"/>
        <v>0</v>
      </c>
    </row>
    <row r="387" spans="1:9" hidden="1" x14ac:dyDescent="0.2">
      <c r="A387" s="6">
        <v>44038.708333333336</v>
      </c>
      <c r="B387" s="1" t="s">
        <v>7</v>
      </c>
      <c r="C387">
        <v>2</v>
      </c>
      <c r="D387">
        <v>0</v>
      </c>
      <c r="E387">
        <v>28</v>
      </c>
      <c r="F387">
        <v>448</v>
      </c>
      <c r="G387" s="7">
        <f t="shared" ref="G387:G450" si="18">IF(AND(F387&gt;0,AND(B387=B386,F387&gt;0)),F387-F386,0)</f>
        <v>0</v>
      </c>
      <c r="H387" s="4">
        <f t="shared" ref="H387:H450" si="19">IF(AND(F386&gt;0,AND(B387=B386,F386&gt;0)),1-(F386/F387),0)</f>
        <v>0</v>
      </c>
      <c r="I387" s="1">
        <f t="shared" ref="I387:I450" si="20">IF(AND(E387&gt;0,AND(B387=B386,E387&gt;0)),E387-E386,0)</f>
        <v>0</v>
      </c>
    </row>
    <row r="388" spans="1:9" hidden="1" x14ac:dyDescent="0.2">
      <c r="A388" s="6">
        <v>44039.708333333336</v>
      </c>
      <c r="B388" s="1" t="s">
        <v>7</v>
      </c>
      <c r="C388">
        <v>2</v>
      </c>
      <c r="D388">
        <v>0</v>
      </c>
      <c r="E388">
        <v>28</v>
      </c>
      <c r="F388">
        <v>449</v>
      </c>
      <c r="G388" s="7">
        <f t="shared" si="18"/>
        <v>1</v>
      </c>
      <c r="H388" s="4">
        <f t="shared" si="19"/>
        <v>2.2271714922048602E-3</v>
      </c>
      <c r="I388" s="1">
        <f t="shared" si="20"/>
        <v>0</v>
      </c>
    </row>
    <row r="389" spans="1:9" hidden="1" x14ac:dyDescent="0.2">
      <c r="A389" s="6">
        <v>44040.708333333336</v>
      </c>
      <c r="B389" s="1" t="s">
        <v>7</v>
      </c>
      <c r="C389">
        <v>2</v>
      </c>
      <c r="D389">
        <v>0</v>
      </c>
      <c r="E389">
        <v>28</v>
      </c>
      <c r="F389">
        <v>449</v>
      </c>
      <c r="G389" s="7">
        <f t="shared" si="18"/>
        <v>0</v>
      </c>
      <c r="H389" s="4">
        <f t="shared" si="19"/>
        <v>0</v>
      </c>
      <c r="I389" s="1">
        <f t="shared" si="20"/>
        <v>0</v>
      </c>
    </row>
    <row r="390" spans="1:9" hidden="1" x14ac:dyDescent="0.2">
      <c r="A390" s="6">
        <v>44041.708333333336</v>
      </c>
      <c r="B390" s="1" t="s">
        <v>7</v>
      </c>
      <c r="C390">
        <v>2</v>
      </c>
      <c r="D390">
        <v>0</v>
      </c>
      <c r="E390">
        <v>28</v>
      </c>
      <c r="F390">
        <v>449</v>
      </c>
      <c r="G390" s="7">
        <f t="shared" si="18"/>
        <v>0</v>
      </c>
      <c r="H390" s="4">
        <f t="shared" si="19"/>
        <v>0</v>
      </c>
      <c r="I390" s="1">
        <f t="shared" si="20"/>
        <v>0</v>
      </c>
    </row>
    <row r="391" spans="1:9" hidden="1" x14ac:dyDescent="0.2">
      <c r="A391" s="6">
        <v>44042.708333333336</v>
      </c>
      <c r="B391" s="1" t="s">
        <v>7</v>
      </c>
      <c r="C391">
        <v>2</v>
      </c>
      <c r="D391">
        <v>0</v>
      </c>
      <c r="E391">
        <v>28</v>
      </c>
      <c r="F391">
        <v>449</v>
      </c>
      <c r="G391" s="7">
        <f t="shared" si="18"/>
        <v>0</v>
      </c>
      <c r="H391" s="4">
        <f t="shared" si="19"/>
        <v>0</v>
      </c>
      <c r="I391" s="1">
        <f t="shared" si="20"/>
        <v>0</v>
      </c>
    </row>
    <row r="392" spans="1:9" hidden="1" x14ac:dyDescent="0.2">
      <c r="A392" s="6">
        <v>44043.708333333336</v>
      </c>
      <c r="B392" s="1" t="s">
        <v>7</v>
      </c>
      <c r="C392">
        <v>2</v>
      </c>
      <c r="D392">
        <v>0</v>
      </c>
      <c r="E392">
        <v>28</v>
      </c>
      <c r="F392">
        <v>452</v>
      </c>
      <c r="G392" s="7">
        <f t="shared" si="18"/>
        <v>3</v>
      </c>
      <c r="H392" s="4">
        <f t="shared" si="19"/>
        <v>6.6371681415928752E-3</v>
      </c>
      <c r="I392" s="1">
        <f t="shared" si="20"/>
        <v>0</v>
      </c>
    </row>
    <row r="393" spans="1:9" hidden="1" x14ac:dyDescent="0.2">
      <c r="A393" s="6">
        <v>44044.708333333336</v>
      </c>
      <c r="B393" s="1" t="s">
        <v>7</v>
      </c>
      <c r="C393">
        <v>2</v>
      </c>
      <c r="D393">
        <v>0</v>
      </c>
      <c r="E393">
        <v>28</v>
      </c>
      <c r="F393">
        <v>452</v>
      </c>
      <c r="G393" s="7">
        <f t="shared" si="18"/>
        <v>0</v>
      </c>
      <c r="H393" s="4">
        <f t="shared" si="19"/>
        <v>0</v>
      </c>
      <c r="I393" s="1">
        <f t="shared" si="20"/>
        <v>0</v>
      </c>
    </row>
    <row r="394" spans="1:9" hidden="1" x14ac:dyDescent="0.2">
      <c r="A394" s="6">
        <v>44045.708333333336</v>
      </c>
      <c r="B394" s="1" t="s">
        <v>7</v>
      </c>
      <c r="C394">
        <v>2</v>
      </c>
      <c r="D394">
        <v>0</v>
      </c>
      <c r="E394">
        <v>28</v>
      </c>
      <c r="F394">
        <v>453</v>
      </c>
      <c r="G394" s="7">
        <f t="shared" si="18"/>
        <v>1</v>
      </c>
      <c r="H394" s="4">
        <f t="shared" si="19"/>
        <v>2.2075055187638082E-3</v>
      </c>
      <c r="I394" s="1">
        <f t="shared" si="20"/>
        <v>0</v>
      </c>
    </row>
    <row r="395" spans="1:9" hidden="1" x14ac:dyDescent="0.2">
      <c r="A395" s="6">
        <v>44046.708333333336</v>
      </c>
      <c r="B395" s="1" t="s">
        <v>7</v>
      </c>
      <c r="C395">
        <v>2</v>
      </c>
      <c r="D395">
        <v>0</v>
      </c>
      <c r="E395">
        <v>28</v>
      </c>
      <c r="F395">
        <v>453</v>
      </c>
      <c r="G395" s="7">
        <f t="shared" si="18"/>
        <v>0</v>
      </c>
      <c r="H395" s="4">
        <f t="shared" si="19"/>
        <v>0</v>
      </c>
      <c r="I395" s="1">
        <f t="shared" si="20"/>
        <v>0</v>
      </c>
    </row>
    <row r="396" spans="1:9" hidden="1" x14ac:dyDescent="0.2">
      <c r="A396" s="6">
        <v>44047.708333333336</v>
      </c>
      <c r="B396" s="1" t="s">
        <v>7</v>
      </c>
      <c r="C396">
        <v>2</v>
      </c>
      <c r="D396">
        <v>0</v>
      </c>
      <c r="E396">
        <v>28</v>
      </c>
      <c r="F396">
        <v>453</v>
      </c>
      <c r="G396" s="7">
        <f t="shared" si="18"/>
        <v>0</v>
      </c>
      <c r="H396" s="4">
        <f t="shared" si="19"/>
        <v>0</v>
      </c>
      <c r="I396" s="1">
        <f t="shared" si="20"/>
        <v>0</v>
      </c>
    </row>
    <row r="397" spans="1:9" hidden="1" x14ac:dyDescent="0.2">
      <c r="A397" s="6">
        <v>44048.708333333336</v>
      </c>
      <c r="B397" s="1" t="s">
        <v>7</v>
      </c>
      <c r="C397">
        <v>2</v>
      </c>
      <c r="D397">
        <v>0</v>
      </c>
      <c r="E397">
        <v>28</v>
      </c>
      <c r="F397">
        <v>454</v>
      </c>
      <c r="G397" s="7">
        <f t="shared" si="18"/>
        <v>1</v>
      </c>
      <c r="H397" s="4">
        <f t="shared" si="19"/>
        <v>2.2026431718061845E-3</v>
      </c>
      <c r="I397" s="1">
        <f t="shared" si="20"/>
        <v>0</v>
      </c>
    </row>
    <row r="398" spans="1:9" hidden="1" x14ac:dyDescent="0.2">
      <c r="A398" s="6">
        <v>44049.708333333336</v>
      </c>
      <c r="B398" s="1" t="s">
        <v>7</v>
      </c>
      <c r="C398">
        <v>2</v>
      </c>
      <c r="D398">
        <v>0</v>
      </c>
      <c r="E398">
        <v>28</v>
      </c>
      <c r="F398">
        <v>454</v>
      </c>
      <c r="G398" s="7">
        <f t="shared" si="18"/>
        <v>0</v>
      </c>
      <c r="H398" s="4">
        <f t="shared" si="19"/>
        <v>0</v>
      </c>
      <c r="I398" s="1">
        <f t="shared" si="20"/>
        <v>0</v>
      </c>
    </row>
    <row r="399" spans="1:9" hidden="1" x14ac:dyDescent="0.2">
      <c r="A399" s="6">
        <v>44050.708333333336</v>
      </c>
      <c r="B399" s="1" t="s">
        <v>7</v>
      </c>
      <c r="C399">
        <v>2</v>
      </c>
      <c r="D399">
        <v>0</v>
      </c>
      <c r="E399">
        <v>28</v>
      </c>
      <c r="F399">
        <v>475</v>
      </c>
      <c r="G399" s="7">
        <f t="shared" si="18"/>
        <v>21</v>
      </c>
      <c r="H399" s="4">
        <f t="shared" si="19"/>
        <v>4.4210526315789478E-2</v>
      </c>
      <c r="I399" s="1">
        <f t="shared" si="20"/>
        <v>0</v>
      </c>
    </row>
    <row r="400" spans="1:9" hidden="1" x14ac:dyDescent="0.2">
      <c r="A400" s="6">
        <v>44051.708333333336</v>
      </c>
      <c r="B400" s="1" t="s">
        <v>7</v>
      </c>
      <c r="C400">
        <v>2</v>
      </c>
      <c r="D400">
        <v>0</v>
      </c>
      <c r="E400">
        <v>28</v>
      </c>
      <c r="F400">
        <v>476</v>
      </c>
      <c r="G400" s="7">
        <f t="shared" si="18"/>
        <v>1</v>
      </c>
      <c r="H400" s="4">
        <f t="shared" si="19"/>
        <v>2.1008403361344463E-3</v>
      </c>
      <c r="I400" s="1">
        <f t="shared" si="20"/>
        <v>0</v>
      </c>
    </row>
    <row r="401" spans="1:9" hidden="1" x14ac:dyDescent="0.2">
      <c r="A401" s="6">
        <v>44052.708333333336</v>
      </c>
      <c r="B401" s="1" t="s">
        <v>7</v>
      </c>
      <c r="C401">
        <v>2</v>
      </c>
      <c r="D401">
        <v>0</v>
      </c>
      <c r="E401">
        <v>28</v>
      </c>
      <c r="F401">
        <v>476</v>
      </c>
      <c r="G401" s="7">
        <f t="shared" si="18"/>
        <v>0</v>
      </c>
      <c r="H401" s="4">
        <f t="shared" si="19"/>
        <v>0</v>
      </c>
      <c r="I401" s="1">
        <f t="shared" si="20"/>
        <v>0</v>
      </c>
    </row>
    <row r="402" spans="1:9" hidden="1" x14ac:dyDescent="0.2">
      <c r="A402" s="6">
        <v>44053.708333333336</v>
      </c>
      <c r="B402" s="1" t="s">
        <v>7</v>
      </c>
      <c r="C402">
        <v>0</v>
      </c>
      <c r="D402">
        <v>0</v>
      </c>
      <c r="E402">
        <v>28</v>
      </c>
      <c r="F402">
        <v>476</v>
      </c>
      <c r="G402" s="7">
        <f t="shared" si="18"/>
        <v>0</v>
      </c>
      <c r="H402" s="4">
        <f t="shared" si="19"/>
        <v>0</v>
      </c>
      <c r="I402" s="1">
        <f t="shared" si="20"/>
        <v>0</v>
      </c>
    </row>
    <row r="403" spans="1:9" hidden="1" x14ac:dyDescent="0.2">
      <c r="A403" s="6">
        <v>44054.708333333336</v>
      </c>
      <c r="B403" s="1" t="s">
        <v>7</v>
      </c>
      <c r="C403">
        <v>0</v>
      </c>
      <c r="D403">
        <v>0</v>
      </c>
      <c r="E403">
        <v>28</v>
      </c>
      <c r="F403">
        <v>477</v>
      </c>
      <c r="G403" s="7">
        <f t="shared" si="18"/>
        <v>1</v>
      </c>
      <c r="H403" s="4">
        <f t="shared" si="19"/>
        <v>2.0964360587002462E-3</v>
      </c>
      <c r="I403" s="1">
        <f t="shared" si="20"/>
        <v>0</v>
      </c>
    </row>
    <row r="404" spans="1:9" hidden="1" x14ac:dyDescent="0.2">
      <c r="A404" s="6">
        <v>44055.708333333336</v>
      </c>
      <c r="B404" s="1" t="s">
        <v>7</v>
      </c>
      <c r="C404">
        <v>0</v>
      </c>
      <c r="D404">
        <v>0</v>
      </c>
      <c r="E404">
        <v>28</v>
      </c>
      <c r="F404">
        <v>477</v>
      </c>
      <c r="G404" s="7">
        <f t="shared" si="18"/>
        <v>0</v>
      </c>
      <c r="H404" s="4">
        <f t="shared" si="19"/>
        <v>0</v>
      </c>
      <c r="I404" s="1">
        <f t="shared" si="20"/>
        <v>0</v>
      </c>
    </row>
    <row r="405" spans="1:9" hidden="1" x14ac:dyDescent="0.2">
      <c r="A405" s="6">
        <v>44056.708333333336</v>
      </c>
      <c r="B405" s="1" t="s">
        <v>7</v>
      </c>
      <c r="C405">
        <v>0</v>
      </c>
      <c r="D405">
        <v>0</v>
      </c>
      <c r="E405">
        <v>28</v>
      </c>
      <c r="F405">
        <v>478</v>
      </c>
      <c r="G405" s="7">
        <f t="shared" si="18"/>
        <v>1</v>
      </c>
      <c r="H405" s="4">
        <f t="shared" si="19"/>
        <v>2.0920502092049986E-3</v>
      </c>
      <c r="I405" s="1">
        <f t="shared" si="20"/>
        <v>0</v>
      </c>
    </row>
    <row r="406" spans="1:9" hidden="1" x14ac:dyDescent="0.2">
      <c r="A406" s="6">
        <v>44057.708333333336</v>
      </c>
      <c r="B406" s="1" t="s">
        <v>7</v>
      </c>
      <c r="C406">
        <v>0</v>
      </c>
      <c r="D406">
        <v>0</v>
      </c>
      <c r="E406">
        <v>28</v>
      </c>
      <c r="F406">
        <v>482</v>
      </c>
      <c r="G406" s="7">
        <f t="shared" si="18"/>
        <v>4</v>
      </c>
      <c r="H406" s="4">
        <f t="shared" si="19"/>
        <v>8.2987551867219622E-3</v>
      </c>
      <c r="I406" s="1">
        <f t="shared" si="20"/>
        <v>0</v>
      </c>
    </row>
    <row r="407" spans="1:9" hidden="1" x14ac:dyDescent="0.2">
      <c r="A407" s="6">
        <v>44058.708333333336</v>
      </c>
      <c r="B407" s="1" t="s">
        <v>7</v>
      </c>
      <c r="C407">
        <v>0</v>
      </c>
      <c r="D407">
        <v>0</v>
      </c>
      <c r="E407">
        <v>28</v>
      </c>
      <c r="F407">
        <v>486</v>
      </c>
      <c r="G407" s="7">
        <f t="shared" si="18"/>
        <v>4</v>
      </c>
      <c r="H407" s="4">
        <f t="shared" si="19"/>
        <v>8.2304526748970819E-3</v>
      </c>
      <c r="I407" s="1">
        <f t="shared" si="20"/>
        <v>0</v>
      </c>
    </row>
    <row r="408" spans="1:9" hidden="1" x14ac:dyDescent="0.2">
      <c r="A408" s="6">
        <v>44059.708333333336</v>
      </c>
      <c r="B408" s="1" t="s">
        <v>7</v>
      </c>
      <c r="C408">
        <v>0</v>
      </c>
      <c r="D408">
        <v>0</v>
      </c>
      <c r="E408">
        <v>28</v>
      </c>
      <c r="F408">
        <v>485</v>
      </c>
      <c r="G408" s="7">
        <f t="shared" si="18"/>
        <v>-1</v>
      </c>
      <c r="H408" s="4">
        <f t="shared" si="19"/>
        <v>-2.0618556701030855E-3</v>
      </c>
      <c r="I408" s="1">
        <f t="shared" si="20"/>
        <v>0</v>
      </c>
    </row>
    <row r="409" spans="1:9" hidden="1" x14ac:dyDescent="0.2">
      <c r="A409" s="6">
        <v>44060.708333333336</v>
      </c>
      <c r="B409" s="1" t="s">
        <v>7</v>
      </c>
      <c r="C409">
        <v>0</v>
      </c>
      <c r="D409">
        <v>0</v>
      </c>
      <c r="E409">
        <v>28</v>
      </c>
      <c r="F409">
        <v>485</v>
      </c>
      <c r="G409" s="7">
        <f t="shared" si="18"/>
        <v>0</v>
      </c>
      <c r="H409" s="4">
        <f t="shared" si="19"/>
        <v>0</v>
      </c>
      <c r="I409" s="1">
        <f t="shared" si="20"/>
        <v>0</v>
      </c>
    </row>
    <row r="410" spans="1:9" hidden="1" x14ac:dyDescent="0.2">
      <c r="A410" s="6">
        <v>44061.708333333336</v>
      </c>
      <c r="B410" s="1" t="s">
        <v>7</v>
      </c>
      <c r="C410">
        <v>0</v>
      </c>
      <c r="D410">
        <v>0</v>
      </c>
      <c r="E410">
        <v>28</v>
      </c>
      <c r="F410">
        <v>491</v>
      </c>
      <c r="G410" s="7">
        <f t="shared" si="18"/>
        <v>6</v>
      </c>
      <c r="H410" s="4">
        <f t="shared" si="19"/>
        <v>1.2219959266802416E-2</v>
      </c>
      <c r="I410" s="1">
        <f t="shared" si="20"/>
        <v>0</v>
      </c>
    </row>
    <row r="411" spans="1:9" hidden="1" x14ac:dyDescent="0.2">
      <c r="A411" s="6">
        <v>44062.708333333336</v>
      </c>
      <c r="B411" s="1" t="s">
        <v>7</v>
      </c>
      <c r="C411">
        <v>0</v>
      </c>
      <c r="D411">
        <v>0</v>
      </c>
      <c r="E411">
        <v>28</v>
      </c>
      <c r="F411">
        <v>492</v>
      </c>
      <c r="G411" s="7">
        <f t="shared" si="18"/>
        <v>1</v>
      </c>
      <c r="H411" s="4">
        <f t="shared" si="19"/>
        <v>2.0325203252032908E-3</v>
      </c>
      <c r="I411" s="1">
        <f t="shared" si="20"/>
        <v>0</v>
      </c>
    </row>
    <row r="412" spans="1:9" hidden="1" x14ac:dyDescent="0.2">
      <c r="A412" s="6">
        <v>44063.708333333336</v>
      </c>
      <c r="B412" s="1" t="s">
        <v>7</v>
      </c>
      <c r="C412">
        <v>0</v>
      </c>
      <c r="D412">
        <v>0</v>
      </c>
      <c r="E412">
        <v>28</v>
      </c>
      <c r="F412">
        <v>494</v>
      </c>
      <c r="G412" s="7">
        <f t="shared" si="18"/>
        <v>2</v>
      </c>
      <c r="H412" s="4">
        <f t="shared" si="19"/>
        <v>4.0485829959514552E-3</v>
      </c>
      <c r="I412" s="1">
        <f t="shared" si="20"/>
        <v>0</v>
      </c>
    </row>
    <row r="413" spans="1:9" hidden="1" x14ac:dyDescent="0.2">
      <c r="A413" s="6">
        <v>44064.708333333336</v>
      </c>
      <c r="B413" s="1" t="s">
        <v>7</v>
      </c>
      <c r="C413">
        <v>0</v>
      </c>
      <c r="D413">
        <v>0</v>
      </c>
      <c r="E413">
        <v>28</v>
      </c>
      <c r="F413">
        <v>494</v>
      </c>
      <c r="G413" s="7">
        <f t="shared" si="18"/>
        <v>0</v>
      </c>
      <c r="H413" s="4">
        <f t="shared" si="19"/>
        <v>0</v>
      </c>
      <c r="I413" s="1">
        <f t="shared" si="20"/>
        <v>0</v>
      </c>
    </row>
    <row r="414" spans="1:9" hidden="1" x14ac:dyDescent="0.2">
      <c r="A414" s="6">
        <v>44065.708333333336</v>
      </c>
      <c r="B414" s="1" t="s">
        <v>7</v>
      </c>
      <c r="C414">
        <v>0</v>
      </c>
      <c r="D414">
        <v>0</v>
      </c>
      <c r="E414">
        <v>28</v>
      </c>
      <c r="F414">
        <v>497</v>
      </c>
      <c r="G414" s="7">
        <f t="shared" si="18"/>
        <v>3</v>
      </c>
      <c r="H414" s="4">
        <f t="shared" si="19"/>
        <v>6.0362173038229772E-3</v>
      </c>
      <c r="I414" s="1">
        <f t="shared" si="20"/>
        <v>0</v>
      </c>
    </row>
    <row r="415" spans="1:9" hidden="1" x14ac:dyDescent="0.2">
      <c r="A415" s="6">
        <v>44066.708333333336</v>
      </c>
      <c r="B415" s="1" t="s">
        <v>7</v>
      </c>
      <c r="C415">
        <v>1</v>
      </c>
      <c r="D415">
        <v>0</v>
      </c>
      <c r="E415">
        <v>28</v>
      </c>
      <c r="F415">
        <v>502</v>
      </c>
      <c r="G415" s="7">
        <f t="shared" si="18"/>
        <v>5</v>
      </c>
      <c r="H415" s="4">
        <f t="shared" si="19"/>
        <v>9.960159362549792E-3</v>
      </c>
      <c r="I415" s="1">
        <f t="shared" si="20"/>
        <v>0</v>
      </c>
    </row>
    <row r="416" spans="1:9" hidden="1" x14ac:dyDescent="0.2">
      <c r="A416" s="6">
        <v>44067.708333333336</v>
      </c>
      <c r="B416" s="1" t="s">
        <v>7</v>
      </c>
      <c r="C416">
        <v>2</v>
      </c>
      <c r="D416">
        <v>0</v>
      </c>
      <c r="E416">
        <v>28</v>
      </c>
      <c r="F416">
        <v>502</v>
      </c>
      <c r="G416" s="7">
        <f t="shared" si="18"/>
        <v>0</v>
      </c>
      <c r="H416" s="4">
        <f t="shared" si="19"/>
        <v>0</v>
      </c>
      <c r="I416" s="1">
        <f t="shared" si="20"/>
        <v>0</v>
      </c>
    </row>
    <row r="417" spans="1:9" hidden="1" x14ac:dyDescent="0.2">
      <c r="A417" s="6">
        <v>44068.708333333336</v>
      </c>
      <c r="B417" s="1" t="s">
        <v>7</v>
      </c>
      <c r="C417">
        <v>2</v>
      </c>
      <c r="D417">
        <v>0</v>
      </c>
      <c r="E417">
        <v>28</v>
      </c>
      <c r="F417">
        <v>505</v>
      </c>
      <c r="G417" s="7">
        <f t="shared" si="18"/>
        <v>3</v>
      </c>
      <c r="H417" s="4">
        <f t="shared" si="19"/>
        <v>5.9405940594059459E-3</v>
      </c>
      <c r="I417" s="1">
        <f t="shared" si="20"/>
        <v>0</v>
      </c>
    </row>
    <row r="418" spans="1:9" hidden="1" x14ac:dyDescent="0.2">
      <c r="A418" s="6">
        <v>44069.708333333336</v>
      </c>
      <c r="B418" s="1" t="s">
        <v>7</v>
      </c>
      <c r="C418">
        <v>2</v>
      </c>
      <c r="D418">
        <v>0</v>
      </c>
      <c r="E418">
        <v>28</v>
      </c>
      <c r="F418">
        <v>508</v>
      </c>
      <c r="G418" s="7">
        <f t="shared" si="18"/>
        <v>3</v>
      </c>
      <c r="H418" s="4">
        <f t="shared" si="19"/>
        <v>5.9055118110236116E-3</v>
      </c>
      <c r="I418" s="1">
        <f t="shared" si="20"/>
        <v>0</v>
      </c>
    </row>
    <row r="419" spans="1:9" hidden="1" x14ac:dyDescent="0.2">
      <c r="A419" s="6">
        <v>44070.708333333336</v>
      </c>
      <c r="B419" s="1" t="s">
        <v>7</v>
      </c>
      <c r="C419">
        <v>2</v>
      </c>
      <c r="D419">
        <v>0</v>
      </c>
      <c r="E419">
        <v>28</v>
      </c>
      <c r="F419">
        <v>514</v>
      </c>
      <c r="G419" s="7">
        <f t="shared" si="18"/>
        <v>6</v>
      </c>
      <c r="H419" s="4">
        <f t="shared" si="19"/>
        <v>1.1673151750972721E-2</v>
      </c>
      <c r="I419" s="1">
        <f t="shared" si="20"/>
        <v>0</v>
      </c>
    </row>
    <row r="420" spans="1:9" hidden="1" x14ac:dyDescent="0.2">
      <c r="A420" s="6">
        <v>44071.708333333336</v>
      </c>
      <c r="B420" s="1" t="s">
        <v>7</v>
      </c>
      <c r="C420">
        <v>1</v>
      </c>
      <c r="D420">
        <v>1</v>
      </c>
      <c r="E420">
        <v>28</v>
      </c>
      <c r="F420">
        <v>518</v>
      </c>
      <c r="G420" s="7">
        <f t="shared" si="18"/>
        <v>4</v>
      </c>
      <c r="H420" s="4">
        <f t="shared" si="19"/>
        <v>7.7220077220077066E-3</v>
      </c>
      <c r="I420" s="1">
        <f t="shared" si="20"/>
        <v>0</v>
      </c>
    </row>
    <row r="421" spans="1:9" hidden="1" x14ac:dyDescent="0.2">
      <c r="A421" s="6">
        <v>44072.708333333336</v>
      </c>
      <c r="B421" s="1" t="s">
        <v>7</v>
      </c>
      <c r="C421">
        <v>1</v>
      </c>
      <c r="D421">
        <v>1</v>
      </c>
      <c r="E421">
        <v>28</v>
      </c>
      <c r="F421">
        <v>523</v>
      </c>
      <c r="G421" s="7">
        <f t="shared" si="18"/>
        <v>5</v>
      </c>
      <c r="H421" s="4">
        <f t="shared" si="19"/>
        <v>9.5602294455067183E-3</v>
      </c>
      <c r="I421" s="1">
        <f t="shared" si="20"/>
        <v>0</v>
      </c>
    </row>
    <row r="422" spans="1:9" hidden="1" x14ac:dyDescent="0.2">
      <c r="A422" s="6">
        <v>44073.708333333336</v>
      </c>
      <c r="B422" s="1" t="s">
        <v>7</v>
      </c>
      <c r="C422">
        <v>1</v>
      </c>
      <c r="D422">
        <v>1</v>
      </c>
      <c r="E422">
        <v>28</v>
      </c>
      <c r="F422">
        <v>524</v>
      </c>
      <c r="G422" s="7">
        <f t="shared" si="18"/>
        <v>1</v>
      </c>
      <c r="H422" s="4">
        <f t="shared" si="19"/>
        <v>1.9083969465648609E-3</v>
      </c>
      <c r="I422" s="1">
        <f t="shared" si="20"/>
        <v>0</v>
      </c>
    </row>
    <row r="423" spans="1:9" hidden="1" x14ac:dyDescent="0.2">
      <c r="A423" s="6">
        <v>44074.708333333336</v>
      </c>
      <c r="B423" s="1" t="s">
        <v>7</v>
      </c>
      <c r="C423">
        <v>1</v>
      </c>
      <c r="D423">
        <v>1</v>
      </c>
      <c r="E423">
        <v>28</v>
      </c>
      <c r="F423">
        <v>524</v>
      </c>
      <c r="G423" s="7">
        <f t="shared" si="18"/>
        <v>0</v>
      </c>
      <c r="H423" s="4">
        <f t="shared" si="19"/>
        <v>0</v>
      </c>
      <c r="I423" s="1">
        <f t="shared" si="20"/>
        <v>0</v>
      </c>
    </row>
    <row r="424" spans="1:9" hidden="1" x14ac:dyDescent="0.2">
      <c r="A424" s="6">
        <v>44075.708333333336</v>
      </c>
      <c r="B424" s="1" t="s">
        <v>7</v>
      </c>
      <c r="C424">
        <v>1</v>
      </c>
      <c r="D424">
        <v>1</v>
      </c>
      <c r="E424">
        <v>28</v>
      </c>
      <c r="F424">
        <v>524</v>
      </c>
      <c r="G424" s="7">
        <f t="shared" si="18"/>
        <v>0</v>
      </c>
      <c r="H424" s="4">
        <f t="shared" si="19"/>
        <v>0</v>
      </c>
      <c r="I424" s="1">
        <f t="shared" si="20"/>
        <v>0</v>
      </c>
    </row>
    <row r="425" spans="1:9" hidden="1" x14ac:dyDescent="0.2">
      <c r="A425" s="6">
        <v>44076.708333333336</v>
      </c>
      <c r="B425" s="1" t="s">
        <v>7</v>
      </c>
      <c r="C425">
        <v>1</v>
      </c>
      <c r="D425">
        <v>1</v>
      </c>
      <c r="E425">
        <v>28</v>
      </c>
      <c r="F425">
        <v>526</v>
      </c>
      <c r="G425" s="7">
        <f t="shared" si="18"/>
        <v>2</v>
      </c>
      <c r="H425" s="4">
        <f t="shared" si="19"/>
        <v>3.8022813688213253E-3</v>
      </c>
      <c r="I425" s="1">
        <f t="shared" si="20"/>
        <v>0</v>
      </c>
    </row>
    <row r="426" spans="1:9" hidden="1" x14ac:dyDescent="0.2">
      <c r="A426" s="6">
        <v>44077.708333333336</v>
      </c>
      <c r="B426" s="1" t="s">
        <v>7</v>
      </c>
      <c r="C426">
        <v>2</v>
      </c>
      <c r="D426">
        <v>1</v>
      </c>
      <c r="E426">
        <v>28</v>
      </c>
      <c r="F426">
        <v>541</v>
      </c>
      <c r="G426" s="7">
        <f t="shared" si="18"/>
        <v>15</v>
      </c>
      <c r="H426" s="4">
        <f t="shared" si="19"/>
        <v>2.7726432532347522E-2</v>
      </c>
      <c r="I426" s="1">
        <f t="shared" si="20"/>
        <v>0</v>
      </c>
    </row>
    <row r="427" spans="1:9" hidden="1" x14ac:dyDescent="0.2">
      <c r="A427" s="6">
        <v>44078.708333333336</v>
      </c>
      <c r="B427" s="1" t="s">
        <v>7</v>
      </c>
      <c r="C427">
        <v>3</v>
      </c>
      <c r="D427">
        <v>1</v>
      </c>
      <c r="E427">
        <v>28</v>
      </c>
      <c r="F427">
        <v>548</v>
      </c>
      <c r="G427" s="7">
        <f t="shared" si="18"/>
        <v>7</v>
      </c>
      <c r="H427" s="4">
        <f t="shared" si="19"/>
        <v>1.2773722627737238E-2</v>
      </c>
      <c r="I427" s="1">
        <f t="shared" si="20"/>
        <v>0</v>
      </c>
    </row>
    <row r="428" spans="1:9" hidden="1" x14ac:dyDescent="0.2">
      <c r="A428" s="6">
        <v>44079.708333333336</v>
      </c>
      <c r="B428" s="1" t="s">
        <v>7</v>
      </c>
      <c r="C428">
        <v>3</v>
      </c>
      <c r="D428">
        <v>1</v>
      </c>
      <c r="E428">
        <v>28</v>
      </c>
      <c r="F428">
        <v>555</v>
      </c>
      <c r="G428" s="7">
        <f t="shared" si="18"/>
        <v>7</v>
      </c>
      <c r="H428" s="4">
        <f t="shared" si="19"/>
        <v>1.2612612612612595E-2</v>
      </c>
      <c r="I428" s="1">
        <f t="shared" si="20"/>
        <v>0</v>
      </c>
    </row>
    <row r="429" spans="1:9" hidden="1" x14ac:dyDescent="0.2">
      <c r="A429" s="6">
        <v>44080.708333333336</v>
      </c>
      <c r="B429" s="1" t="s">
        <v>7</v>
      </c>
      <c r="C429">
        <v>4</v>
      </c>
      <c r="D429">
        <v>1</v>
      </c>
      <c r="E429">
        <v>28</v>
      </c>
      <c r="F429">
        <v>564</v>
      </c>
      <c r="G429" s="7">
        <f t="shared" si="18"/>
        <v>9</v>
      </c>
      <c r="H429" s="4">
        <f t="shared" si="19"/>
        <v>1.5957446808510634E-2</v>
      </c>
      <c r="I429" s="1">
        <f t="shared" si="20"/>
        <v>0</v>
      </c>
    </row>
    <row r="430" spans="1:9" hidden="1" x14ac:dyDescent="0.2">
      <c r="A430" s="6">
        <v>44081.708333333336</v>
      </c>
      <c r="B430" s="1" t="s">
        <v>7</v>
      </c>
      <c r="C430">
        <v>4</v>
      </c>
      <c r="D430">
        <v>1</v>
      </c>
      <c r="E430">
        <v>28</v>
      </c>
      <c r="F430">
        <v>565</v>
      </c>
      <c r="G430" s="7">
        <f t="shared" si="18"/>
        <v>1</v>
      </c>
      <c r="H430" s="4">
        <f t="shared" si="19"/>
        <v>1.7699115044247371E-3</v>
      </c>
      <c r="I430" s="1">
        <f t="shared" si="20"/>
        <v>0</v>
      </c>
    </row>
    <row r="431" spans="1:9" hidden="1" x14ac:dyDescent="0.2">
      <c r="A431" s="6">
        <v>44082.708333333336</v>
      </c>
      <c r="B431" s="1" t="s">
        <v>7</v>
      </c>
      <c r="C431">
        <v>4</v>
      </c>
      <c r="D431">
        <v>1</v>
      </c>
      <c r="E431">
        <v>28</v>
      </c>
      <c r="F431">
        <v>573</v>
      </c>
      <c r="G431" s="7">
        <f t="shared" si="18"/>
        <v>8</v>
      </c>
      <c r="H431" s="4">
        <f t="shared" si="19"/>
        <v>1.3961605584642212E-2</v>
      </c>
      <c r="I431" s="1">
        <f t="shared" si="20"/>
        <v>0</v>
      </c>
    </row>
    <row r="432" spans="1:9" hidden="1" x14ac:dyDescent="0.2">
      <c r="A432" s="6">
        <v>44083.708333333336</v>
      </c>
      <c r="B432" s="1" t="s">
        <v>7</v>
      </c>
      <c r="C432">
        <v>4</v>
      </c>
      <c r="D432">
        <v>1</v>
      </c>
      <c r="E432">
        <v>28</v>
      </c>
      <c r="F432">
        <v>587</v>
      </c>
      <c r="G432" s="7">
        <f t="shared" si="18"/>
        <v>14</v>
      </c>
      <c r="H432" s="4">
        <f t="shared" si="19"/>
        <v>2.3850085178875657E-2</v>
      </c>
      <c r="I432" s="1">
        <f t="shared" si="20"/>
        <v>0</v>
      </c>
    </row>
    <row r="433" spans="1:9" hidden="1" x14ac:dyDescent="0.2">
      <c r="A433" s="6">
        <v>44084.708333333336</v>
      </c>
      <c r="B433" s="1" t="s">
        <v>7</v>
      </c>
      <c r="C433">
        <v>4</v>
      </c>
      <c r="D433">
        <v>1</v>
      </c>
      <c r="E433">
        <v>28</v>
      </c>
      <c r="F433">
        <v>593</v>
      </c>
      <c r="G433" s="7">
        <f t="shared" si="18"/>
        <v>6</v>
      </c>
      <c r="H433" s="4">
        <f t="shared" si="19"/>
        <v>1.0118043844856706E-2</v>
      </c>
      <c r="I433" s="1">
        <f t="shared" si="20"/>
        <v>0</v>
      </c>
    </row>
    <row r="434" spans="1:9" hidden="1" x14ac:dyDescent="0.2">
      <c r="A434" s="6">
        <v>44085.708333333336</v>
      </c>
      <c r="B434" s="1" t="s">
        <v>7</v>
      </c>
      <c r="C434">
        <v>4</v>
      </c>
      <c r="D434">
        <v>1</v>
      </c>
      <c r="E434">
        <v>28</v>
      </c>
      <c r="F434">
        <v>605</v>
      </c>
      <c r="G434" s="7">
        <f t="shared" si="18"/>
        <v>12</v>
      </c>
      <c r="H434" s="4">
        <f t="shared" si="19"/>
        <v>1.9834710743801609E-2</v>
      </c>
      <c r="I434" s="1">
        <f t="shared" si="20"/>
        <v>0</v>
      </c>
    </row>
    <row r="435" spans="1:9" hidden="1" x14ac:dyDescent="0.2">
      <c r="A435" s="6">
        <v>44086.708333333336</v>
      </c>
      <c r="B435" s="1" t="s">
        <v>7</v>
      </c>
      <c r="C435">
        <v>5</v>
      </c>
      <c r="D435">
        <v>1</v>
      </c>
      <c r="E435">
        <v>28</v>
      </c>
      <c r="F435">
        <v>610</v>
      </c>
      <c r="G435" s="7">
        <f t="shared" si="18"/>
        <v>5</v>
      </c>
      <c r="H435" s="4">
        <f t="shared" si="19"/>
        <v>8.1967213114754189E-3</v>
      </c>
      <c r="I435" s="1">
        <f t="shared" si="20"/>
        <v>0</v>
      </c>
    </row>
    <row r="436" spans="1:9" hidden="1" x14ac:dyDescent="0.2">
      <c r="A436" s="6">
        <v>44087.708333333336</v>
      </c>
      <c r="B436" s="1" t="s">
        <v>7</v>
      </c>
      <c r="C436">
        <v>5</v>
      </c>
      <c r="D436">
        <v>1</v>
      </c>
      <c r="E436">
        <v>28</v>
      </c>
      <c r="F436">
        <v>613</v>
      </c>
      <c r="G436" s="7">
        <f t="shared" si="18"/>
        <v>3</v>
      </c>
      <c r="H436" s="4">
        <f t="shared" si="19"/>
        <v>4.8939641109299048E-3</v>
      </c>
      <c r="I436" s="1">
        <f t="shared" si="20"/>
        <v>0</v>
      </c>
    </row>
    <row r="437" spans="1:9" hidden="1" x14ac:dyDescent="0.2">
      <c r="A437" s="6">
        <v>44088.708333333336</v>
      </c>
      <c r="B437" s="1" t="s">
        <v>7</v>
      </c>
      <c r="C437">
        <v>5</v>
      </c>
      <c r="D437">
        <v>1</v>
      </c>
      <c r="E437">
        <v>28</v>
      </c>
      <c r="F437">
        <v>613</v>
      </c>
      <c r="G437" s="7">
        <f t="shared" si="18"/>
        <v>0</v>
      </c>
      <c r="H437" s="4">
        <f t="shared" si="19"/>
        <v>0</v>
      </c>
      <c r="I437" s="1">
        <f t="shared" si="20"/>
        <v>0</v>
      </c>
    </row>
    <row r="438" spans="1:9" hidden="1" x14ac:dyDescent="0.2">
      <c r="A438" s="6">
        <v>44089.708333333336</v>
      </c>
      <c r="B438" s="1" t="s">
        <v>7</v>
      </c>
      <c r="C438">
        <v>6</v>
      </c>
      <c r="D438">
        <v>1</v>
      </c>
      <c r="E438">
        <v>28</v>
      </c>
      <c r="F438">
        <v>618</v>
      </c>
      <c r="G438" s="7">
        <f t="shared" si="18"/>
        <v>5</v>
      </c>
      <c r="H438" s="4">
        <f t="shared" si="19"/>
        <v>8.090614886731351E-3</v>
      </c>
      <c r="I438" s="1">
        <f t="shared" si="20"/>
        <v>0</v>
      </c>
    </row>
    <row r="439" spans="1:9" hidden="1" x14ac:dyDescent="0.2">
      <c r="A439" s="6">
        <v>44090.708333333336</v>
      </c>
      <c r="B439" s="1" t="s">
        <v>7</v>
      </c>
      <c r="C439">
        <v>6</v>
      </c>
      <c r="D439">
        <v>1</v>
      </c>
      <c r="E439">
        <v>28</v>
      </c>
      <c r="F439">
        <v>623</v>
      </c>
      <c r="G439" s="7">
        <f t="shared" si="18"/>
        <v>5</v>
      </c>
      <c r="H439" s="4">
        <f t="shared" si="19"/>
        <v>8.0256821829856051E-3</v>
      </c>
      <c r="I439" s="1">
        <f t="shared" si="20"/>
        <v>0</v>
      </c>
    </row>
    <row r="440" spans="1:9" hidden="1" x14ac:dyDescent="0.2">
      <c r="A440" s="6">
        <v>44091.708333333336</v>
      </c>
      <c r="B440" s="1" t="s">
        <v>7</v>
      </c>
      <c r="C440">
        <v>6</v>
      </c>
      <c r="D440">
        <v>1</v>
      </c>
      <c r="E440">
        <v>28</v>
      </c>
      <c r="F440">
        <v>628</v>
      </c>
      <c r="G440" s="7">
        <f t="shared" si="18"/>
        <v>5</v>
      </c>
      <c r="H440" s="4">
        <f t="shared" si="19"/>
        <v>7.9617834394904996E-3</v>
      </c>
      <c r="I440" s="1">
        <f t="shared" si="20"/>
        <v>0</v>
      </c>
    </row>
    <row r="441" spans="1:9" hidden="1" x14ac:dyDescent="0.2">
      <c r="A441" s="6">
        <v>44092.708333333336</v>
      </c>
      <c r="B441" s="1" t="s">
        <v>7</v>
      </c>
      <c r="C441">
        <v>6</v>
      </c>
      <c r="D441">
        <v>1</v>
      </c>
      <c r="E441">
        <v>28</v>
      </c>
      <c r="F441">
        <v>628</v>
      </c>
      <c r="G441" s="7">
        <f t="shared" si="18"/>
        <v>0</v>
      </c>
      <c r="H441" s="4">
        <f t="shared" si="19"/>
        <v>0</v>
      </c>
      <c r="I441" s="1">
        <f t="shared" si="20"/>
        <v>0</v>
      </c>
    </row>
    <row r="442" spans="1:9" hidden="1" x14ac:dyDescent="0.2">
      <c r="A442" s="6">
        <v>44093.708333333336</v>
      </c>
      <c r="B442" s="1" t="s">
        <v>7</v>
      </c>
      <c r="C442">
        <v>6</v>
      </c>
      <c r="D442">
        <v>1</v>
      </c>
      <c r="E442">
        <v>28</v>
      </c>
      <c r="F442">
        <v>631</v>
      </c>
      <c r="G442" s="7">
        <f t="shared" si="18"/>
        <v>3</v>
      </c>
      <c r="H442" s="4">
        <f t="shared" si="19"/>
        <v>4.7543581616481534E-3</v>
      </c>
      <c r="I442" s="1">
        <f t="shared" si="20"/>
        <v>0</v>
      </c>
    </row>
    <row r="443" spans="1:9" hidden="1" x14ac:dyDescent="0.2">
      <c r="A443" s="6">
        <v>44094.708333333336</v>
      </c>
      <c r="B443" s="1" t="s">
        <v>7</v>
      </c>
      <c r="C443">
        <v>6</v>
      </c>
      <c r="D443">
        <v>1</v>
      </c>
      <c r="E443">
        <v>28</v>
      </c>
      <c r="F443">
        <v>637</v>
      </c>
      <c r="G443" s="7">
        <f t="shared" si="18"/>
        <v>6</v>
      </c>
      <c r="H443" s="4">
        <f t="shared" si="19"/>
        <v>9.4191522762950841E-3</v>
      </c>
      <c r="I443" s="1">
        <f t="shared" si="20"/>
        <v>0</v>
      </c>
    </row>
    <row r="444" spans="1:9" hidden="1" x14ac:dyDescent="0.2">
      <c r="A444" s="6">
        <v>44095.708333333336</v>
      </c>
      <c r="B444" s="1" t="s">
        <v>7</v>
      </c>
      <c r="C444">
        <v>7</v>
      </c>
      <c r="D444">
        <v>1</v>
      </c>
      <c r="E444">
        <v>28</v>
      </c>
      <c r="F444">
        <v>638</v>
      </c>
      <c r="G444" s="7">
        <f t="shared" si="18"/>
        <v>1</v>
      </c>
      <c r="H444" s="4">
        <f t="shared" si="19"/>
        <v>1.5673981191222097E-3</v>
      </c>
      <c r="I444" s="1">
        <f t="shared" si="20"/>
        <v>0</v>
      </c>
    </row>
    <row r="445" spans="1:9" hidden="1" x14ac:dyDescent="0.2">
      <c r="A445" s="6">
        <v>44096.708333333336</v>
      </c>
      <c r="B445" s="1" t="s">
        <v>7</v>
      </c>
      <c r="C445">
        <v>10</v>
      </c>
      <c r="D445">
        <v>1</v>
      </c>
      <c r="E445">
        <v>28</v>
      </c>
      <c r="F445">
        <v>652</v>
      </c>
      <c r="G445" s="7">
        <f t="shared" si="18"/>
        <v>14</v>
      </c>
      <c r="H445" s="4">
        <f t="shared" si="19"/>
        <v>2.1472392638036797E-2</v>
      </c>
      <c r="I445" s="1">
        <f t="shared" si="20"/>
        <v>0</v>
      </c>
    </row>
    <row r="446" spans="1:9" hidden="1" x14ac:dyDescent="0.2">
      <c r="A446" s="6">
        <v>44097.708333333336</v>
      </c>
      <c r="B446" s="1" t="s">
        <v>7</v>
      </c>
      <c r="C446">
        <v>12</v>
      </c>
      <c r="D446">
        <v>1</v>
      </c>
      <c r="E446">
        <v>28</v>
      </c>
      <c r="F446">
        <v>669</v>
      </c>
      <c r="G446" s="7">
        <f t="shared" si="18"/>
        <v>17</v>
      </c>
      <c r="H446" s="4">
        <f t="shared" si="19"/>
        <v>2.5411061285500747E-2</v>
      </c>
      <c r="I446" s="1">
        <f t="shared" si="20"/>
        <v>0</v>
      </c>
    </row>
    <row r="447" spans="1:9" hidden="1" x14ac:dyDescent="0.2">
      <c r="A447" s="6">
        <v>44098.708333333336</v>
      </c>
      <c r="B447" s="1" t="s">
        <v>7</v>
      </c>
      <c r="C447">
        <v>13</v>
      </c>
      <c r="D447">
        <v>1</v>
      </c>
      <c r="E447">
        <v>28</v>
      </c>
      <c r="F447">
        <v>678</v>
      </c>
      <c r="G447" s="7">
        <f t="shared" si="18"/>
        <v>9</v>
      </c>
      <c r="H447" s="4">
        <f t="shared" si="19"/>
        <v>1.3274336283185861E-2</v>
      </c>
      <c r="I447" s="1">
        <f t="shared" si="20"/>
        <v>0</v>
      </c>
    </row>
    <row r="448" spans="1:9" hidden="1" x14ac:dyDescent="0.2">
      <c r="A448" s="6">
        <v>44099.708333333336</v>
      </c>
      <c r="B448" s="1" t="s">
        <v>7</v>
      </c>
      <c r="C448">
        <v>13</v>
      </c>
      <c r="D448">
        <v>1</v>
      </c>
      <c r="E448">
        <v>28</v>
      </c>
      <c r="F448">
        <v>691</v>
      </c>
      <c r="G448" s="7">
        <f t="shared" si="18"/>
        <v>13</v>
      </c>
      <c r="H448" s="4">
        <f t="shared" si="19"/>
        <v>1.8813314037626649E-2</v>
      </c>
      <c r="I448" s="1">
        <f t="shared" si="20"/>
        <v>0</v>
      </c>
    </row>
    <row r="449" spans="1:17" hidden="1" x14ac:dyDescent="0.2">
      <c r="A449" s="6">
        <v>44100.708333333336</v>
      </c>
      <c r="B449" s="1" t="s">
        <v>7</v>
      </c>
      <c r="C449">
        <v>14</v>
      </c>
      <c r="D449">
        <v>1</v>
      </c>
      <c r="E449">
        <v>28</v>
      </c>
      <c r="F449">
        <v>716</v>
      </c>
      <c r="G449" s="7">
        <f t="shared" si="18"/>
        <v>25</v>
      </c>
      <c r="H449" s="4">
        <f t="shared" si="19"/>
        <v>3.4916201117318413E-2</v>
      </c>
      <c r="I449" s="1">
        <f t="shared" si="20"/>
        <v>0</v>
      </c>
    </row>
    <row r="450" spans="1:17" hidden="1" x14ac:dyDescent="0.2">
      <c r="A450" s="6">
        <v>44101.708333333336</v>
      </c>
      <c r="B450" s="1" t="s">
        <v>7</v>
      </c>
      <c r="C450">
        <v>13</v>
      </c>
      <c r="D450">
        <v>1</v>
      </c>
      <c r="E450">
        <v>29</v>
      </c>
      <c r="F450">
        <v>763</v>
      </c>
      <c r="G450" s="7">
        <f t="shared" si="18"/>
        <v>47</v>
      </c>
      <c r="H450" s="4">
        <f t="shared" si="19"/>
        <v>6.1598951507208399E-2</v>
      </c>
      <c r="I450" s="1">
        <f t="shared" si="20"/>
        <v>1</v>
      </c>
    </row>
    <row r="451" spans="1:17" hidden="1" x14ac:dyDescent="0.2">
      <c r="A451" s="6">
        <v>44102.708333333336</v>
      </c>
      <c r="B451" s="1" t="s">
        <v>7</v>
      </c>
      <c r="C451">
        <v>13</v>
      </c>
      <c r="D451">
        <v>1</v>
      </c>
      <c r="E451">
        <v>29</v>
      </c>
      <c r="F451">
        <v>770</v>
      </c>
      <c r="G451" s="7">
        <f t="shared" ref="G451:G514" si="21">IF(AND(F451&gt;0,AND(B451=B450,F451&gt;0)),F451-F450,0)</f>
        <v>7</v>
      </c>
      <c r="H451" s="4">
        <f t="shared" ref="H451:H514" si="22">IF(AND(F450&gt;0,AND(B451=B450,F450&gt;0)),1-(F450/F451),0)</f>
        <v>9.0909090909090384E-3</v>
      </c>
      <c r="I451" s="1">
        <f t="shared" ref="I451:I514" si="23">IF(AND(E451&gt;0,AND(B451=B450,E451&gt;0)),E451-E450,0)</f>
        <v>0</v>
      </c>
    </row>
    <row r="452" spans="1:17" hidden="1" x14ac:dyDescent="0.2">
      <c r="A452" s="6">
        <v>44103.708333333336</v>
      </c>
      <c r="B452" s="1" t="s">
        <v>7</v>
      </c>
      <c r="C452">
        <v>13</v>
      </c>
      <c r="D452">
        <v>1</v>
      </c>
      <c r="E452">
        <v>29</v>
      </c>
      <c r="F452">
        <v>776</v>
      </c>
      <c r="G452" s="7">
        <f t="shared" si="21"/>
        <v>6</v>
      </c>
      <c r="H452" s="4">
        <f t="shared" si="22"/>
        <v>7.7319587628865705E-3</v>
      </c>
      <c r="I452" s="1">
        <f t="shared" si="23"/>
        <v>0</v>
      </c>
    </row>
    <row r="453" spans="1:17" hidden="1" x14ac:dyDescent="0.2">
      <c r="A453" s="6">
        <v>44104.708333333336</v>
      </c>
      <c r="B453" s="1" t="s">
        <v>7</v>
      </c>
      <c r="C453">
        <v>11</v>
      </c>
      <c r="D453">
        <v>2</v>
      </c>
      <c r="E453">
        <v>29</v>
      </c>
      <c r="F453">
        <v>808</v>
      </c>
      <c r="G453" s="7">
        <f t="shared" si="21"/>
        <v>32</v>
      </c>
      <c r="H453" s="4">
        <f t="shared" si="22"/>
        <v>3.9603960396039639E-2</v>
      </c>
      <c r="I453" s="1">
        <f t="shared" si="23"/>
        <v>0</v>
      </c>
    </row>
    <row r="454" spans="1:17" hidden="1" x14ac:dyDescent="0.2">
      <c r="A454" s="6">
        <v>44105.708333333336</v>
      </c>
      <c r="B454" s="1" t="s">
        <v>7</v>
      </c>
      <c r="C454">
        <v>11</v>
      </c>
      <c r="D454">
        <v>2</v>
      </c>
      <c r="E454">
        <v>29</v>
      </c>
      <c r="F454">
        <v>841</v>
      </c>
      <c r="G454" s="7">
        <f t="shared" si="21"/>
        <v>33</v>
      </c>
      <c r="H454" s="4">
        <f t="shared" si="22"/>
        <v>3.9239001189060652E-2</v>
      </c>
      <c r="I454" s="1">
        <f t="shared" si="23"/>
        <v>0</v>
      </c>
      <c r="Q454" t="s">
        <v>43</v>
      </c>
    </row>
    <row r="455" spans="1:17" hidden="1" x14ac:dyDescent="0.2">
      <c r="A455" s="6">
        <v>44106.708333333336</v>
      </c>
      <c r="B455" s="1" t="s">
        <v>7</v>
      </c>
      <c r="C455">
        <v>11</v>
      </c>
      <c r="D455">
        <v>2</v>
      </c>
      <c r="E455">
        <v>30</v>
      </c>
      <c r="F455">
        <v>857</v>
      </c>
      <c r="G455" s="7">
        <f t="shared" si="21"/>
        <v>16</v>
      </c>
      <c r="H455" s="4">
        <f t="shared" si="22"/>
        <v>1.8669778296382722E-2</v>
      </c>
      <c r="I455" s="1">
        <f t="shared" si="23"/>
        <v>1</v>
      </c>
    </row>
    <row r="456" spans="1:17" hidden="1" x14ac:dyDescent="0.2">
      <c r="A456" s="6">
        <v>44107.708333333336</v>
      </c>
      <c r="B456" s="1" t="s">
        <v>7</v>
      </c>
      <c r="C456">
        <v>15</v>
      </c>
      <c r="D456">
        <v>2</v>
      </c>
      <c r="E456">
        <v>33</v>
      </c>
      <c r="F456">
        <v>906</v>
      </c>
      <c r="G456" s="7">
        <f t="shared" si="21"/>
        <v>49</v>
      </c>
      <c r="H456" s="4">
        <f t="shared" si="22"/>
        <v>5.4083885209713078E-2</v>
      </c>
      <c r="I456" s="1">
        <f t="shared" si="23"/>
        <v>3</v>
      </c>
    </row>
    <row r="457" spans="1:17" hidden="1" x14ac:dyDescent="0.2">
      <c r="A457" s="6">
        <v>44108.708333333336</v>
      </c>
      <c r="B457" s="1" t="s">
        <v>7</v>
      </c>
      <c r="C457">
        <v>15</v>
      </c>
      <c r="D457">
        <v>2</v>
      </c>
      <c r="E457">
        <v>33</v>
      </c>
      <c r="F457">
        <v>920</v>
      </c>
      <c r="G457" s="7">
        <f t="shared" si="21"/>
        <v>14</v>
      </c>
      <c r="H457" s="4">
        <f t="shared" si="22"/>
        <v>1.5217391304347849E-2</v>
      </c>
      <c r="I457" s="1">
        <f t="shared" si="23"/>
        <v>0</v>
      </c>
    </row>
    <row r="458" spans="1:17" hidden="1" x14ac:dyDescent="0.2">
      <c r="A458" s="6">
        <v>44109.708333333336</v>
      </c>
      <c r="B458" s="1" t="s">
        <v>7</v>
      </c>
      <c r="C458">
        <v>30</v>
      </c>
      <c r="D458">
        <v>2</v>
      </c>
      <c r="E458">
        <v>33</v>
      </c>
      <c r="F458">
        <v>934</v>
      </c>
      <c r="G458" s="7">
        <f t="shared" si="21"/>
        <v>14</v>
      </c>
      <c r="H458" s="4">
        <f t="shared" si="22"/>
        <v>1.498929336188437E-2</v>
      </c>
      <c r="I458" s="1">
        <f t="shared" si="23"/>
        <v>0</v>
      </c>
    </row>
    <row r="459" spans="1:17" hidden="1" x14ac:dyDescent="0.2">
      <c r="A459" s="6">
        <v>44110.708333333336</v>
      </c>
      <c r="B459" s="1" t="s">
        <v>7</v>
      </c>
      <c r="C459">
        <v>30</v>
      </c>
      <c r="D459">
        <v>2</v>
      </c>
      <c r="E459">
        <v>33</v>
      </c>
      <c r="F459">
        <v>938</v>
      </c>
      <c r="G459" s="7">
        <f t="shared" si="21"/>
        <v>4</v>
      </c>
      <c r="H459" s="4">
        <f t="shared" si="22"/>
        <v>4.2643923240938131E-3</v>
      </c>
      <c r="I459" s="1">
        <f t="shared" si="23"/>
        <v>0</v>
      </c>
    </row>
    <row r="460" spans="1:17" hidden="1" x14ac:dyDescent="0.2">
      <c r="A460" s="6">
        <v>44111.708333333336</v>
      </c>
      <c r="B460" s="1" t="s">
        <v>7</v>
      </c>
      <c r="C460">
        <v>35</v>
      </c>
      <c r="D460">
        <v>0</v>
      </c>
      <c r="E460">
        <v>35</v>
      </c>
      <c r="F460">
        <v>953</v>
      </c>
      <c r="G460" s="7">
        <f t="shared" si="21"/>
        <v>15</v>
      </c>
      <c r="H460" s="4">
        <f t="shared" si="22"/>
        <v>1.5739769150052485E-2</v>
      </c>
      <c r="I460" s="1">
        <f t="shared" si="23"/>
        <v>2</v>
      </c>
    </row>
    <row r="461" spans="1:17" hidden="1" x14ac:dyDescent="0.2">
      <c r="A461" s="6">
        <v>44112.708333333336</v>
      </c>
      <c r="B461" s="1" t="s">
        <v>7</v>
      </c>
      <c r="C461">
        <v>35</v>
      </c>
      <c r="D461">
        <v>0</v>
      </c>
      <c r="E461">
        <v>35</v>
      </c>
      <c r="F461">
        <v>975</v>
      </c>
      <c r="G461" s="7">
        <f t="shared" si="21"/>
        <v>22</v>
      </c>
      <c r="H461" s="4">
        <f t="shared" si="22"/>
        <v>2.2564102564102573E-2</v>
      </c>
      <c r="I461" s="1">
        <f t="shared" si="23"/>
        <v>0</v>
      </c>
    </row>
    <row r="462" spans="1:17" hidden="1" x14ac:dyDescent="0.2">
      <c r="A462" s="6">
        <v>44113.708333333336</v>
      </c>
      <c r="B462" s="1" t="s">
        <v>7</v>
      </c>
      <c r="C462">
        <v>35</v>
      </c>
      <c r="D462">
        <v>0</v>
      </c>
      <c r="E462">
        <v>35</v>
      </c>
      <c r="F462">
        <v>997</v>
      </c>
      <c r="G462" s="7">
        <f t="shared" si="21"/>
        <v>22</v>
      </c>
      <c r="H462" s="4">
        <f t="shared" si="22"/>
        <v>2.2066198595787401E-2</v>
      </c>
      <c r="I462" s="1">
        <f t="shared" si="23"/>
        <v>0</v>
      </c>
    </row>
    <row r="463" spans="1:17" hidden="1" x14ac:dyDescent="0.2">
      <c r="A463" s="6">
        <v>44114.708333333336</v>
      </c>
      <c r="B463" s="1" t="s">
        <v>7</v>
      </c>
      <c r="C463">
        <v>36</v>
      </c>
      <c r="D463">
        <v>0</v>
      </c>
      <c r="E463">
        <v>35</v>
      </c>
      <c r="F463">
        <v>1034</v>
      </c>
      <c r="G463" s="7">
        <f t="shared" si="21"/>
        <v>37</v>
      </c>
      <c r="H463" s="4">
        <f t="shared" si="22"/>
        <v>3.5783365570599579E-2</v>
      </c>
      <c r="I463" s="1">
        <f t="shared" si="23"/>
        <v>0</v>
      </c>
    </row>
    <row r="464" spans="1:17" hidden="1" x14ac:dyDescent="0.2">
      <c r="A464" s="6">
        <v>44115.708333333336</v>
      </c>
      <c r="B464" s="1" t="s">
        <v>7</v>
      </c>
      <c r="C464">
        <v>36</v>
      </c>
      <c r="D464">
        <v>0</v>
      </c>
      <c r="E464">
        <v>35</v>
      </c>
      <c r="F464">
        <v>1047</v>
      </c>
      <c r="G464" s="7">
        <f t="shared" si="21"/>
        <v>13</v>
      </c>
      <c r="H464" s="4">
        <f t="shared" si="22"/>
        <v>1.2416427889207271E-2</v>
      </c>
      <c r="I464" s="1">
        <f t="shared" si="23"/>
        <v>0</v>
      </c>
    </row>
    <row r="465" spans="1:9" x14ac:dyDescent="0.2">
      <c r="A465" s="6">
        <v>43885.75</v>
      </c>
      <c r="B465" s="1" t="s">
        <v>8</v>
      </c>
      <c r="C465">
        <v>0</v>
      </c>
      <c r="D465">
        <v>0</v>
      </c>
      <c r="E465">
        <v>0</v>
      </c>
      <c r="F465">
        <v>0</v>
      </c>
      <c r="G465" s="7">
        <f t="shared" si="21"/>
        <v>0</v>
      </c>
      <c r="H465" s="4">
        <f t="shared" si="22"/>
        <v>0</v>
      </c>
      <c r="I465" s="1">
        <f t="shared" si="23"/>
        <v>0</v>
      </c>
    </row>
    <row r="466" spans="1:9" x14ac:dyDescent="0.2">
      <c r="A466" s="6">
        <v>43886.75</v>
      </c>
      <c r="B466" s="1" t="s">
        <v>8</v>
      </c>
      <c r="C466">
        <v>0</v>
      </c>
      <c r="D466">
        <v>0</v>
      </c>
      <c r="E466">
        <v>0</v>
      </c>
      <c r="F466">
        <v>0</v>
      </c>
      <c r="G466" s="7">
        <f t="shared" si="21"/>
        <v>0</v>
      </c>
      <c r="H466" s="4">
        <f t="shared" si="22"/>
        <v>0</v>
      </c>
      <c r="I466" s="1">
        <f t="shared" si="23"/>
        <v>0</v>
      </c>
    </row>
    <row r="467" spans="1:9" x14ac:dyDescent="0.2">
      <c r="A467" s="6">
        <v>43887.75</v>
      </c>
      <c r="B467" s="1" t="s">
        <v>8</v>
      </c>
      <c r="C467">
        <v>0</v>
      </c>
      <c r="D467">
        <v>0</v>
      </c>
      <c r="E467">
        <v>0</v>
      </c>
      <c r="F467">
        <v>0</v>
      </c>
      <c r="G467" s="7">
        <f t="shared" si="21"/>
        <v>0</v>
      </c>
      <c r="H467" s="4">
        <f t="shared" si="22"/>
        <v>0</v>
      </c>
      <c r="I467" s="1">
        <f t="shared" si="23"/>
        <v>0</v>
      </c>
    </row>
    <row r="468" spans="1:9" x14ac:dyDescent="0.2">
      <c r="A468" s="6">
        <v>43888.75</v>
      </c>
      <c r="B468" s="1" t="s">
        <v>8</v>
      </c>
      <c r="C468">
        <v>0</v>
      </c>
      <c r="D468">
        <v>0</v>
      </c>
      <c r="E468">
        <v>0</v>
      </c>
      <c r="F468">
        <v>0</v>
      </c>
      <c r="G468" s="7">
        <f t="shared" si="21"/>
        <v>0</v>
      </c>
      <c r="H468" s="4">
        <f t="shared" si="22"/>
        <v>0</v>
      </c>
      <c r="I468" s="1">
        <f t="shared" si="23"/>
        <v>0</v>
      </c>
    </row>
    <row r="469" spans="1:9" x14ac:dyDescent="0.2">
      <c r="A469" s="6">
        <v>43889.75</v>
      </c>
      <c r="B469" s="1" t="s">
        <v>8</v>
      </c>
      <c r="C469">
        <v>0</v>
      </c>
      <c r="D469">
        <v>0</v>
      </c>
      <c r="E469">
        <v>0</v>
      </c>
      <c r="F469">
        <v>1</v>
      </c>
      <c r="G469" s="7">
        <f t="shared" si="21"/>
        <v>1</v>
      </c>
      <c r="H469" s="4">
        <f t="shared" si="22"/>
        <v>0</v>
      </c>
      <c r="I469" s="1">
        <f t="shared" si="23"/>
        <v>0</v>
      </c>
    </row>
    <row r="470" spans="1:9" x14ac:dyDescent="0.2">
      <c r="A470" s="6">
        <v>43890.708333333336</v>
      </c>
      <c r="B470" s="1" t="s">
        <v>8</v>
      </c>
      <c r="C470">
        <v>0</v>
      </c>
      <c r="D470">
        <v>0</v>
      </c>
      <c r="E470">
        <v>0</v>
      </c>
      <c r="F470">
        <v>1</v>
      </c>
      <c r="G470" s="7">
        <f t="shared" si="21"/>
        <v>0</v>
      </c>
      <c r="H470" s="4">
        <f t="shared" si="22"/>
        <v>0</v>
      </c>
      <c r="I470" s="1">
        <f t="shared" si="23"/>
        <v>0</v>
      </c>
    </row>
    <row r="471" spans="1:9" x14ac:dyDescent="0.2">
      <c r="A471" s="6">
        <v>43891.708333333336</v>
      </c>
      <c r="B471" s="1" t="s">
        <v>8</v>
      </c>
      <c r="C471">
        <v>0</v>
      </c>
      <c r="D471">
        <v>0</v>
      </c>
      <c r="E471">
        <v>0</v>
      </c>
      <c r="F471">
        <v>1</v>
      </c>
      <c r="G471" s="7">
        <f t="shared" si="21"/>
        <v>0</v>
      </c>
      <c r="H471" s="4">
        <f t="shared" si="22"/>
        <v>0</v>
      </c>
      <c r="I471" s="1">
        <f t="shared" si="23"/>
        <v>0</v>
      </c>
    </row>
    <row r="472" spans="1:9" x14ac:dyDescent="0.2">
      <c r="A472" s="6">
        <v>43892.75</v>
      </c>
      <c r="B472" s="1" t="s">
        <v>8</v>
      </c>
      <c r="C472">
        <v>0</v>
      </c>
      <c r="D472">
        <v>0</v>
      </c>
      <c r="E472">
        <v>0</v>
      </c>
      <c r="F472">
        <v>1</v>
      </c>
      <c r="G472" s="7">
        <f t="shared" si="21"/>
        <v>0</v>
      </c>
      <c r="H472" s="4">
        <f t="shared" si="22"/>
        <v>0</v>
      </c>
      <c r="I472" s="1">
        <f t="shared" si="23"/>
        <v>0</v>
      </c>
    </row>
    <row r="473" spans="1:9" x14ac:dyDescent="0.2">
      <c r="A473" s="6">
        <v>43893.75</v>
      </c>
      <c r="B473" s="1" t="s">
        <v>8</v>
      </c>
      <c r="C473">
        <v>0</v>
      </c>
      <c r="D473">
        <v>0</v>
      </c>
      <c r="E473">
        <v>0</v>
      </c>
      <c r="F473">
        <v>1</v>
      </c>
      <c r="G473" s="7">
        <f t="shared" si="21"/>
        <v>0</v>
      </c>
      <c r="H473" s="4">
        <f t="shared" si="22"/>
        <v>0</v>
      </c>
      <c r="I473" s="1">
        <f t="shared" si="23"/>
        <v>0</v>
      </c>
    </row>
    <row r="474" spans="1:9" x14ac:dyDescent="0.2">
      <c r="A474" s="6">
        <v>43894.708333333336</v>
      </c>
      <c r="B474" s="1" t="s">
        <v>8</v>
      </c>
      <c r="C474">
        <v>0</v>
      </c>
      <c r="D474">
        <v>0</v>
      </c>
      <c r="E474">
        <v>0</v>
      </c>
      <c r="F474">
        <v>1</v>
      </c>
      <c r="G474" s="7">
        <f t="shared" si="21"/>
        <v>0</v>
      </c>
      <c r="H474" s="4">
        <f t="shared" si="22"/>
        <v>0</v>
      </c>
      <c r="I474" s="1">
        <f t="shared" si="23"/>
        <v>0</v>
      </c>
    </row>
    <row r="475" spans="1:9" x14ac:dyDescent="0.2">
      <c r="A475" s="6">
        <v>43895.708333333336</v>
      </c>
      <c r="B475" s="1" t="s">
        <v>8</v>
      </c>
      <c r="C475">
        <v>1</v>
      </c>
      <c r="D475">
        <v>0</v>
      </c>
      <c r="E475">
        <v>0</v>
      </c>
      <c r="F475">
        <v>2</v>
      </c>
      <c r="G475" s="7">
        <f t="shared" si="21"/>
        <v>1</v>
      </c>
      <c r="H475" s="4">
        <f t="shared" si="22"/>
        <v>0.5</v>
      </c>
      <c r="I475" s="1">
        <f t="shared" si="23"/>
        <v>0</v>
      </c>
    </row>
    <row r="476" spans="1:9" x14ac:dyDescent="0.2">
      <c r="A476" s="6">
        <v>43896.708333333336</v>
      </c>
      <c r="B476" s="1" t="s">
        <v>8</v>
      </c>
      <c r="C476">
        <v>2</v>
      </c>
      <c r="D476">
        <v>0</v>
      </c>
      <c r="E476">
        <v>0</v>
      </c>
      <c r="F476">
        <v>4</v>
      </c>
      <c r="G476" s="7">
        <f t="shared" si="21"/>
        <v>2</v>
      </c>
      <c r="H476" s="4">
        <f t="shared" si="22"/>
        <v>0.5</v>
      </c>
      <c r="I476" s="1">
        <f t="shared" si="23"/>
        <v>0</v>
      </c>
    </row>
    <row r="477" spans="1:9" x14ac:dyDescent="0.2">
      <c r="A477" s="6">
        <v>43897.75</v>
      </c>
      <c r="B477" s="1" t="s">
        <v>8</v>
      </c>
      <c r="C477">
        <v>2</v>
      </c>
      <c r="D477">
        <v>0</v>
      </c>
      <c r="E477">
        <v>0</v>
      </c>
      <c r="F477">
        <v>4</v>
      </c>
      <c r="G477" s="7">
        <f t="shared" si="21"/>
        <v>0</v>
      </c>
      <c r="H477" s="4">
        <f t="shared" si="22"/>
        <v>0</v>
      </c>
      <c r="I477" s="1">
        <f t="shared" si="23"/>
        <v>0</v>
      </c>
    </row>
    <row r="478" spans="1:9" x14ac:dyDescent="0.2">
      <c r="A478" s="6">
        <v>43898.75</v>
      </c>
      <c r="B478" s="1" t="s">
        <v>8</v>
      </c>
      <c r="C478">
        <v>5</v>
      </c>
      <c r="D478">
        <v>0</v>
      </c>
      <c r="E478">
        <v>0</v>
      </c>
      <c r="F478">
        <v>9</v>
      </c>
      <c r="G478" s="7">
        <f t="shared" si="21"/>
        <v>5</v>
      </c>
      <c r="H478" s="4">
        <f t="shared" si="22"/>
        <v>0.55555555555555558</v>
      </c>
      <c r="I478" s="1">
        <f t="shared" si="23"/>
        <v>0</v>
      </c>
    </row>
    <row r="479" spans="1:9" x14ac:dyDescent="0.2">
      <c r="A479" s="6">
        <v>43899.75</v>
      </c>
      <c r="B479" s="1" t="s">
        <v>8</v>
      </c>
      <c r="C479">
        <v>8</v>
      </c>
      <c r="D479">
        <v>0</v>
      </c>
      <c r="E479">
        <v>0</v>
      </c>
      <c r="F479">
        <v>11</v>
      </c>
      <c r="G479" s="7">
        <f t="shared" si="21"/>
        <v>2</v>
      </c>
      <c r="H479" s="4">
        <f t="shared" si="22"/>
        <v>0.18181818181818177</v>
      </c>
      <c r="I479" s="1">
        <f t="shared" si="23"/>
        <v>0</v>
      </c>
    </row>
    <row r="480" spans="1:9" x14ac:dyDescent="0.2">
      <c r="A480" s="6">
        <v>43900.75</v>
      </c>
      <c r="B480" s="1" t="s">
        <v>8</v>
      </c>
      <c r="C480">
        <v>8</v>
      </c>
      <c r="D480">
        <v>2</v>
      </c>
      <c r="E480">
        <v>0</v>
      </c>
      <c r="F480">
        <v>13</v>
      </c>
      <c r="G480" s="7">
        <f t="shared" si="21"/>
        <v>2</v>
      </c>
      <c r="H480" s="4">
        <f t="shared" si="22"/>
        <v>0.15384615384615385</v>
      </c>
      <c r="I480" s="1">
        <f t="shared" si="23"/>
        <v>0</v>
      </c>
    </row>
    <row r="481" spans="1:9" x14ac:dyDescent="0.2">
      <c r="A481" s="6">
        <v>43901.708333333336</v>
      </c>
      <c r="B481" s="1" t="s">
        <v>8</v>
      </c>
      <c r="C481">
        <v>10</v>
      </c>
      <c r="D481">
        <v>2</v>
      </c>
      <c r="E481">
        <v>0</v>
      </c>
      <c r="F481">
        <v>19</v>
      </c>
      <c r="G481" s="7">
        <f t="shared" si="21"/>
        <v>6</v>
      </c>
      <c r="H481" s="4">
        <f t="shared" si="22"/>
        <v>0.31578947368421051</v>
      </c>
      <c r="I481" s="1">
        <f t="shared" si="23"/>
        <v>0</v>
      </c>
    </row>
    <row r="482" spans="1:9" x14ac:dyDescent="0.2">
      <c r="A482" s="6">
        <v>43902.708333333336</v>
      </c>
      <c r="B482" s="1" t="s">
        <v>8</v>
      </c>
      <c r="C482">
        <v>14</v>
      </c>
      <c r="D482">
        <v>2</v>
      </c>
      <c r="E482">
        <v>0</v>
      </c>
      <c r="F482">
        <v>33</v>
      </c>
      <c r="G482" s="7">
        <f t="shared" si="21"/>
        <v>14</v>
      </c>
      <c r="H482" s="4">
        <f t="shared" si="22"/>
        <v>0.4242424242424242</v>
      </c>
      <c r="I482" s="1">
        <f t="shared" si="23"/>
        <v>0</v>
      </c>
    </row>
    <row r="483" spans="1:9" x14ac:dyDescent="0.2">
      <c r="A483" s="6">
        <v>43903.708333333336</v>
      </c>
      <c r="B483" s="1" t="s">
        <v>8</v>
      </c>
      <c r="C483">
        <v>18</v>
      </c>
      <c r="D483">
        <v>3</v>
      </c>
      <c r="E483">
        <v>0</v>
      </c>
      <c r="F483">
        <v>38</v>
      </c>
      <c r="G483" s="7">
        <f t="shared" si="21"/>
        <v>5</v>
      </c>
      <c r="H483" s="4">
        <f t="shared" si="22"/>
        <v>0.13157894736842102</v>
      </c>
      <c r="I483" s="1">
        <f t="shared" si="23"/>
        <v>0</v>
      </c>
    </row>
    <row r="484" spans="1:9" x14ac:dyDescent="0.2">
      <c r="A484" s="6">
        <v>43904.708333333336</v>
      </c>
      <c r="B484" s="1" t="s">
        <v>8</v>
      </c>
      <c r="C484">
        <v>22</v>
      </c>
      <c r="D484">
        <v>4</v>
      </c>
      <c r="E484">
        <v>0</v>
      </c>
      <c r="F484">
        <v>60</v>
      </c>
      <c r="G484" s="7">
        <f t="shared" si="21"/>
        <v>22</v>
      </c>
      <c r="H484" s="4">
        <f t="shared" si="22"/>
        <v>0.3666666666666667</v>
      </c>
      <c r="I484" s="1">
        <f t="shared" si="23"/>
        <v>0</v>
      </c>
    </row>
    <row r="485" spans="1:9" x14ac:dyDescent="0.2">
      <c r="A485" s="6">
        <v>43905.708333333336</v>
      </c>
      <c r="B485" s="1" t="s">
        <v>8</v>
      </c>
      <c r="C485">
        <v>32</v>
      </c>
      <c r="D485">
        <v>6</v>
      </c>
      <c r="E485">
        <v>1</v>
      </c>
      <c r="F485">
        <v>68</v>
      </c>
      <c r="G485" s="7">
        <f t="shared" si="21"/>
        <v>8</v>
      </c>
      <c r="H485" s="4">
        <f t="shared" si="22"/>
        <v>0.11764705882352944</v>
      </c>
      <c r="I485" s="1">
        <f t="shared" si="23"/>
        <v>1</v>
      </c>
    </row>
    <row r="486" spans="1:9" x14ac:dyDescent="0.2">
      <c r="A486" s="6">
        <v>43906.708333333336</v>
      </c>
      <c r="B486" s="1" t="s">
        <v>8</v>
      </c>
      <c r="C486">
        <v>36</v>
      </c>
      <c r="D486">
        <v>7</v>
      </c>
      <c r="E486">
        <v>1</v>
      </c>
      <c r="F486">
        <v>89</v>
      </c>
      <c r="G486" s="7">
        <f t="shared" si="21"/>
        <v>21</v>
      </c>
      <c r="H486" s="4">
        <f t="shared" si="22"/>
        <v>0.2359550561797753</v>
      </c>
      <c r="I486" s="1">
        <f t="shared" si="23"/>
        <v>0</v>
      </c>
    </row>
    <row r="487" spans="1:9" x14ac:dyDescent="0.2">
      <c r="A487" s="6">
        <v>43907.708333333336</v>
      </c>
      <c r="B487" s="1" t="s">
        <v>8</v>
      </c>
      <c r="C487">
        <v>45</v>
      </c>
      <c r="D487">
        <v>10</v>
      </c>
      <c r="E487">
        <v>1</v>
      </c>
      <c r="F487">
        <v>114</v>
      </c>
      <c r="G487" s="7">
        <f t="shared" si="21"/>
        <v>25</v>
      </c>
      <c r="H487" s="4">
        <f t="shared" si="22"/>
        <v>0.2192982456140351</v>
      </c>
      <c r="I487" s="1">
        <f t="shared" si="23"/>
        <v>0</v>
      </c>
    </row>
    <row r="488" spans="1:9" x14ac:dyDescent="0.2">
      <c r="A488" s="6">
        <v>43908.708333333336</v>
      </c>
      <c r="B488" s="1" t="s">
        <v>8</v>
      </c>
      <c r="C488">
        <v>45</v>
      </c>
      <c r="D488">
        <v>11</v>
      </c>
      <c r="E488">
        <v>1</v>
      </c>
      <c r="F488">
        <v>129</v>
      </c>
      <c r="G488" s="7">
        <f t="shared" si="21"/>
        <v>15</v>
      </c>
      <c r="H488" s="4">
        <f t="shared" si="22"/>
        <v>0.11627906976744184</v>
      </c>
      <c r="I488" s="1">
        <f t="shared" si="23"/>
        <v>0</v>
      </c>
    </row>
    <row r="489" spans="1:9" x14ac:dyDescent="0.2">
      <c r="A489" s="6">
        <v>43909.708333333336</v>
      </c>
      <c r="B489" s="1" t="s">
        <v>8</v>
      </c>
      <c r="C489">
        <v>60</v>
      </c>
      <c r="D489">
        <v>13</v>
      </c>
      <c r="E489">
        <v>3</v>
      </c>
      <c r="F489">
        <v>169</v>
      </c>
      <c r="G489" s="7">
        <f t="shared" si="21"/>
        <v>40</v>
      </c>
      <c r="H489" s="4">
        <f t="shared" si="22"/>
        <v>0.23668639053254437</v>
      </c>
      <c r="I489" s="1">
        <f t="shared" si="23"/>
        <v>2</v>
      </c>
    </row>
    <row r="490" spans="1:9" x14ac:dyDescent="0.2">
      <c r="A490" s="6">
        <v>43910.708333333336</v>
      </c>
      <c r="B490" s="1" t="s">
        <v>8</v>
      </c>
      <c r="C490">
        <v>71</v>
      </c>
      <c r="D490">
        <v>16</v>
      </c>
      <c r="E490">
        <v>4</v>
      </c>
      <c r="F490">
        <v>207</v>
      </c>
      <c r="G490" s="7">
        <f t="shared" si="21"/>
        <v>38</v>
      </c>
      <c r="H490" s="4">
        <f t="shared" si="22"/>
        <v>0.18357487922705318</v>
      </c>
      <c r="I490" s="1">
        <f t="shared" si="23"/>
        <v>1</v>
      </c>
    </row>
    <row r="491" spans="1:9" x14ac:dyDescent="0.2">
      <c r="A491" s="6">
        <v>43911.708333333336</v>
      </c>
      <c r="B491" s="1" t="s">
        <v>8</v>
      </c>
      <c r="C491">
        <v>73</v>
      </c>
      <c r="D491">
        <v>16</v>
      </c>
      <c r="E491">
        <v>5</v>
      </c>
      <c r="F491">
        <v>235</v>
      </c>
      <c r="G491" s="7">
        <f t="shared" si="21"/>
        <v>28</v>
      </c>
      <c r="H491" s="4">
        <f t="shared" si="22"/>
        <v>0.11914893617021272</v>
      </c>
      <c r="I491" s="1">
        <f t="shared" si="23"/>
        <v>1</v>
      </c>
    </row>
    <row r="492" spans="1:9" x14ac:dyDescent="0.2">
      <c r="A492" s="6">
        <v>43912.708333333336</v>
      </c>
      <c r="B492" s="1" t="s">
        <v>8</v>
      </c>
      <c r="C492">
        <v>77</v>
      </c>
      <c r="D492">
        <v>17</v>
      </c>
      <c r="E492">
        <v>8</v>
      </c>
      <c r="F492">
        <v>273</v>
      </c>
      <c r="G492" s="7">
        <f t="shared" si="21"/>
        <v>38</v>
      </c>
      <c r="H492" s="4">
        <f t="shared" si="22"/>
        <v>0.13919413919413914</v>
      </c>
      <c r="I492" s="1">
        <f t="shared" si="23"/>
        <v>3</v>
      </c>
    </row>
    <row r="493" spans="1:9" x14ac:dyDescent="0.2">
      <c r="A493" s="6">
        <v>43913.708333333336</v>
      </c>
      <c r="B493" s="1" t="s">
        <v>8</v>
      </c>
      <c r="C493">
        <v>82</v>
      </c>
      <c r="D493">
        <v>20</v>
      </c>
      <c r="E493">
        <v>7</v>
      </c>
      <c r="F493">
        <v>292</v>
      </c>
      <c r="G493" s="7">
        <f t="shared" si="21"/>
        <v>19</v>
      </c>
      <c r="H493" s="4">
        <f t="shared" si="22"/>
        <v>6.506849315068497E-2</v>
      </c>
      <c r="I493" s="1">
        <f t="shared" si="23"/>
        <v>-1</v>
      </c>
    </row>
    <row r="494" spans="1:9" x14ac:dyDescent="0.2">
      <c r="A494" s="6">
        <v>43914.708333333336</v>
      </c>
      <c r="B494" s="1" t="s">
        <v>8</v>
      </c>
      <c r="C494">
        <v>88</v>
      </c>
      <c r="D494">
        <v>21</v>
      </c>
      <c r="E494">
        <v>10</v>
      </c>
      <c r="F494">
        <v>319</v>
      </c>
      <c r="G494" s="7">
        <f t="shared" si="21"/>
        <v>27</v>
      </c>
      <c r="H494" s="4">
        <f t="shared" si="22"/>
        <v>8.4639498432601878E-2</v>
      </c>
      <c r="I494" s="1">
        <f t="shared" si="23"/>
        <v>3</v>
      </c>
    </row>
    <row r="495" spans="1:9" x14ac:dyDescent="0.2">
      <c r="A495" s="6">
        <v>43915.708333333336</v>
      </c>
      <c r="B495" s="1" t="s">
        <v>8</v>
      </c>
      <c r="C495">
        <v>93</v>
      </c>
      <c r="D495">
        <v>23</v>
      </c>
      <c r="E495">
        <v>11</v>
      </c>
      <c r="F495">
        <v>351</v>
      </c>
      <c r="G495" s="7">
        <f t="shared" si="21"/>
        <v>32</v>
      </c>
      <c r="H495" s="4">
        <f t="shared" si="22"/>
        <v>9.1168091168091214E-2</v>
      </c>
      <c r="I495" s="1">
        <f t="shared" si="23"/>
        <v>1</v>
      </c>
    </row>
    <row r="496" spans="1:9" x14ac:dyDescent="0.2">
      <c r="A496" s="6">
        <v>43916.708333333336</v>
      </c>
      <c r="B496" s="1" t="s">
        <v>8</v>
      </c>
      <c r="C496">
        <v>101</v>
      </c>
      <c r="D496">
        <v>23</v>
      </c>
      <c r="E496">
        <v>14</v>
      </c>
      <c r="F496">
        <v>393</v>
      </c>
      <c r="G496" s="7">
        <f t="shared" si="21"/>
        <v>42</v>
      </c>
      <c r="H496" s="4">
        <f t="shared" si="22"/>
        <v>0.10687022900763354</v>
      </c>
      <c r="I496" s="1">
        <f t="shared" si="23"/>
        <v>3</v>
      </c>
    </row>
    <row r="497" spans="1:9" x14ac:dyDescent="0.2">
      <c r="A497" s="6">
        <v>43917.708333333336</v>
      </c>
      <c r="B497" s="1" t="s">
        <v>8</v>
      </c>
      <c r="C497">
        <v>103</v>
      </c>
      <c r="D497">
        <v>22</v>
      </c>
      <c r="E497">
        <v>18</v>
      </c>
      <c r="F497">
        <v>494</v>
      </c>
      <c r="G497" s="7">
        <f t="shared" si="21"/>
        <v>101</v>
      </c>
      <c r="H497" s="4">
        <f t="shared" si="22"/>
        <v>0.20445344129554655</v>
      </c>
      <c r="I497" s="1">
        <f t="shared" si="23"/>
        <v>4</v>
      </c>
    </row>
    <row r="498" spans="1:9" x14ac:dyDescent="0.2">
      <c r="A498" s="6">
        <v>43918.708333333336</v>
      </c>
      <c r="B498" s="1" t="s">
        <v>8</v>
      </c>
      <c r="C498">
        <v>107</v>
      </c>
      <c r="D498">
        <v>22</v>
      </c>
      <c r="E498">
        <v>21</v>
      </c>
      <c r="F498">
        <v>555</v>
      </c>
      <c r="G498" s="7">
        <f t="shared" si="21"/>
        <v>61</v>
      </c>
      <c r="H498" s="4">
        <f t="shared" si="22"/>
        <v>0.1099099099099099</v>
      </c>
      <c r="I498" s="1">
        <f t="shared" si="23"/>
        <v>3</v>
      </c>
    </row>
    <row r="499" spans="1:9" x14ac:dyDescent="0.2">
      <c r="A499" s="6">
        <v>43919.708333333336</v>
      </c>
      <c r="B499" s="1" t="s">
        <v>8</v>
      </c>
      <c r="C499">
        <v>124</v>
      </c>
      <c r="D499">
        <v>19</v>
      </c>
      <c r="E499">
        <v>25</v>
      </c>
      <c r="F499">
        <v>614</v>
      </c>
      <c r="G499" s="7">
        <f t="shared" si="21"/>
        <v>59</v>
      </c>
      <c r="H499" s="4">
        <f t="shared" si="22"/>
        <v>9.6091205211726427E-2</v>
      </c>
      <c r="I499" s="1">
        <f t="shared" si="23"/>
        <v>4</v>
      </c>
    </row>
    <row r="500" spans="1:9" x14ac:dyDescent="0.2">
      <c r="A500" s="6">
        <v>43920.708333333336</v>
      </c>
      <c r="B500" s="1" t="s">
        <v>8</v>
      </c>
      <c r="C500">
        <v>130</v>
      </c>
      <c r="D500">
        <v>18</v>
      </c>
      <c r="E500">
        <v>31</v>
      </c>
      <c r="F500">
        <v>647</v>
      </c>
      <c r="G500" s="7">
        <f t="shared" si="21"/>
        <v>33</v>
      </c>
      <c r="H500" s="4">
        <f t="shared" si="22"/>
        <v>5.1004636785162316E-2</v>
      </c>
      <c r="I500" s="1">
        <f t="shared" si="23"/>
        <v>6</v>
      </c>
    </row>
    <row r="501" spans="1:9" x14ac:dyDescent="0.2">
      <c r="A501" s="6">
        <v>43921.708333333336</v>
      </c>
      <c r="B501" s="1" t="s">
        <v>8</v>
      </c>
      <c r="C501">
        <v>132</v>
      </c>
      <c r="D501">
        <v>17</v>
      </c>
      <c r="E501">
        <v>36</v>
      </c>
      <c r="F501">
        <v>659</v>
      </c>
      <c r="G501" s="7">
        <f t="shared" si="21"/>
        <v>12</v>
      </c>
      <c r="H501" s="4">
        <f t="shared" si="22"/>
        <v>1.8209408194233667E-2</v>
      </c>
      <c r="I501" s="1">
        <f t="shared" si="23"/>
        <v>5</v>
      </c>
    </row>
    <row r="502" spans="1:9" x14ac:dyDescent="0.2">
      <c r="A502" s="6">
        <v>43922.708333333336</v>
      </c>
      <c r="B502" s="1" t="s">
        <v>8</v>
      </c>
      <c r="C502">
        <v>144</v>
      </c>
      <c r="D502">
        <v>16</v>
      </c>
      <c r="E502">
        <v>38</v>
      </c>
      <c r="F502">
        <v>669</v>
      </c>
      <c r="G502" s="7">
        <f t="shared" si="21"/>
        <v>10</v>
      </c>
      <c r="H502" s="4">
        <f t="shared" si="22"/>
        <v>1.4947683109118093E-2</v>
      </c>
      <c r="I502" s="1">
        <f t="shared" si="23"/>
        <v>2</v>
      </c>
    </row>
    <row r="503" spans="1:9" x14ac:dyDescent="0.2">
      <c r="A503" s="6">
        <v>43923.708333333336</v>
      </c>
      <c r="B503" s="1" t="s">
        <v>8</v>
      </c>
      <c r="C503">
        <v>163</v>
      </c>
      <c r="D503">
        <v>19</v>
      </c>
      <c r="E503">
        <v>41</v>
      </c>
      <c r="F503">
        <v>691</v>
      </c>
      <c r="G503" s="7">
        <f t="shared" si="21"/>
        <v>22</v>
      </c>
      <c r="H503" s="4">
        <f t="shared" si="22"/>
        <v>3.1837916063675809E-2</v>
      </c>
      <c r="I503" s="1">
        <f t="shared" si="23"/>
        <v>3</v>
      </c>
    </row>
    <row r="504" spans="1:9" x14ac:dyDescent="0.2">
      <c r="A504" s="6">
        <v>43924.708333333336</v>
      </c>
      <c r="B504" s="1" t="s">
        <v>8</v>
      </c>
      <c r="C504">
        <v>183</v>
      </c>
      <c r="D504">
        <v>17</v>
      </c>
      <c r="E504">
        <v>45</v>
      </c>
      <c r="F504">
        <v>733</v>
      </c>
      <c r="G504" s="7">
        <f t="shared" si="21"/>
        <v>42</v>
      </c>
      <c r="H504" s="4">
        <f t="shared" si="22"/>
        <v>5.7298772169167789E-2</v>
      </c>
      <c r="I504" s="1">
        <f t="shared" si="23"/>
        <v>4</v>
      </c>
    </row>
    <row r="505" spans="1:9" x14ac:dyDescent="0.2">
      <c r="A505" s="6">
        <v>43925.708333333336</v>
      </c>
      <c r="B505" s="1" t="s">
        <v>8</v>
      </c>
      <c r="C505">
        <v>178</v>
      </c>
      <c r="D505">
        <v>15</v>
      </c>
      <c r="E505">
        <v>49</v>
      </c>
      <c r="F505">
        <v>741</v>
      </c>
      <c r="G505" s="7">
        <f t="shared" si="21"/>
        <v>8</v>
      </c>
      <c r="H505" s="4">
        <f t="shared" si="22"/>
        <v>1.0796221322537103E-2</v>
      </c>
      <c r="I505" s="1">
        <f t="shared" si="23"/>
        <v>4</v>
      </c>
    </row>
    <row r="506" spans="1:9" x14ac:dyDescent="0.2">
      <c r="A506" s="6">
        <v>43926.708333333336</v>
      </c>
      <c r="B506" s="1" t="s">
        <v>8</v>
      </c>
      <c r="C506">
        <v>174</v>
      </c>
      <c r="D506">
        <v>13</v>
      </c>
      <c r="E506">
        <v>56</v>
      </c>
      <c r="F506">
        <v>795</v>
      </c>
      <c r="G506" s="7">
        <f t="shared" si="21"/>
        <v>54</v>
      </c>
      <c r="H506" s="4">
        <f t="shared" si="22"/>
        <v>6.7924528301886777E-2</v>
      </c>
      <c r="I506" s="1">
        <f t="shared" si="23"/>
        <v>7</v>
      </c>
    </row>
    <row r="507" spans="1:9" x14ac:dyDescent="0.2">
      <c r="A507" s="6">
        <v>43927.708333333336</v>
      </c>
      <c r="B507" s="1" t="s">
        <v>8</v>
      </c>
      <c r="C507">
        <v>170</v>
      </c>
      <c r="D507">
        <v>14</v>
      </c>
      <c r="E507">
        <v>58</v>
      </c>
      <c r="F507">
        <v>817</v>
      </c>
      <c r="G507" s="7">
        <f t="shared" si="21"/>
        <v>22</v>
      </c>
      <c r="H507" s="4">
        <f t="shared" si="22"/>
        <v>2.6927784577723379E-2</v>
      </c>
      <c r="I507" s="1">
        <f t="shared" si="23"/>
        <v>2</v>
      </c>
    </row>
    <row r="508" spans="1:9" x14ac:dyDescent="0.2">
      <c r="A508" s="6">
        <v>43928.708333333336</v>
      </c>
      <c r="B508" s="1" t="s">
        <v>8</v>
      </c>
      <c r="C508">
        <v>169</v>
      </c>
      <c r="D508">
        <v>14</v>
      </c>
      <c r="E508">
        <v>60</v>
      </c>
      <c r="F508">
        <v>833</v>
      </c>
      <c r="G508" s="7">
        <f t="shared" si="21"/>
        <v>16</v>
      </c>
      <c r="H508" s="4">
        <f t="shared" si="22"/>
        <v>1.9207683073229287E-2</v>
      </c>
      <c r="I508" s="1">
        <f t="shared" si="23"/>
        <v>2</v>
      </c>
    </row>
    <row r="509" spans="1:9" x14ac:dyDescent="0.2">
      <c r="A509" s="6">
        <v>43929.708333333336</v>
      </c>
      <c r="B509" s="1" t="s">
        <v>8</v>
      </c>
      <c r="C509">
        <v>170</v>
      </c>
      <c r="D509">
        <v>15</v>
      </c>
      <c r="E509">
        <v>60</v>
      </c>
      <c r="F509">
        <v>859</v>
      </c>
      <c r="G509" s="7">
        <f t="shared" si="21"/>
        <v>26</v>
      </c>
      <c r="H509" s="4">
        <f t="shared" si="22"/>
        <v>3.0267753201396963E-2</v>
      </c>
      <c r="I509" s="1">
        <f t="shared" si="23"/>
        <v>0</v>
      </c>
    </row>
    <row r="510" spans="1:9" x14ac:dyDescent="0.2">
      <c r="A510" s="6">
        <v>43930.708333333336</v>
      </c>
      <c r="B510" s="1" t="s">
        <v>8</v>
      </c>
      <c r="C510">
        <v>168</v>
      </c>
      <c r="D510">
        <v>15</v>
      </c>
      <c r="E510">
        <v>61</v>
      </c>
      <c r="F510">
        <v>874</v>
      </c>
      <c r="G510" s="7">
        <f t="shared" si="21"/>
        <v>15</v>
      </c>
      <c r="H510" s="4">
        <f t="shared" si="22"/>
        <v>1.7162471395881007E-2</v>
      </c>
      <c r="I510" s="1">
        <f t="shared" si="23"/>
        <v>1</v>
      </c>
    </row>
    <row r="511" spans="1:9" x14ac:dyDescent="0.2">
      <c r="A511" s="6">
        <v>43931.708333333336</v>
      </c>
      <c r="B511" s="1" t="s">
        <v>8</v>
      </c>
      <c r="C511">
        <v>168</v>
      </c>
      <c r="D511">
        <v>14</v>
      </c>
      <c r="E511">
        <v>65</v>
      </c>
      <c r="F511">
        <v>901</v>
      </c>
      <c r="G511" s="7">
        <f t="shared" si="21"/>
        <v>27</v>
      </c>
      <c r="H511" s="4">
        <f t="shared" si="22"/>
        <v>2.9966703662597127E-2</v>
      </c>
      <c r="I511" s="1">
        <f t="shared" si="23"/>
        <v>4</v>
      </c>
    </row>
    <row r="512" spans="1:9" x14ac:dyDescent="0.2">
      <c r="A512" s="6">
        <v>43932.708333333336</v>
      </c>
      <c r="B512" s="1" t="s">
        <v>8</v>
      </c>
      <c r="C512">
        <v>169</v>
      </c>
      <c r="D512">
        <v>15</v>
      </c>
      <c r="E512">
        <v>66</v>
      </c>
      <c r="F512">
        <v>915</v>
      </c>
      <c r="G512" s="7">
        <f t="shared" si="21"/>
        <v>14</v>
      </c>
      <c r="H512" s="4">
        <f t="shared" si="22"/>
        <v>1.5300546448087426E-2</v>
      </c>
      <c r="I512" s="1">
        <f t="shared" si="23"/>
        <v>1</v>
      </c>
    </row>
    <row r="513" spans="1:9" x14ac:dyDescent="0.2">
      <c r="A513" s="6">
        <v>43933.708333333336</v>
      </c>
      <c r="B513" s="1" t="s">
        <v>8</v>
      </c>
      <c r="C513">
        <v>165</v>
      </c>
      <c r="D513">
        <v>14</v>
      </c>
      <c r="E513">
        <v>66</v>
      </c>
      <c r="F513">
        <v>923</v>
      </c>
      <c r="G513" s="7">
        <f t="shared" si="21"/>
        <v>8</v>
      </c>
      <c r="H513" s="4">
        <f t="shared" si="22"/>
        <v>8.6673889490790357E-3</v>
      </c>
      <c r="I513" s="1">
        <f t="shared" si="23"/>
        <v>0</v>
      </c>
    </row>
    <row r="514" spans="1:9" x14ac:dyDescent="0.2">
      <c r="A514" s="6">
        <v>43934.708333333336</v>
      </c>
      <c r="B514" s="1" t="s">
        <v>8</v>
      </c>
      <c r="C514">
        <v>160</v>
      </c>
      <c r="D514">
        <v>12</v>
      </c>
      <c r="E514">
        <v>67</v>
      </c>
      <c r="F514">
        <v>928</v>
      </c>
      <c r="G514" s="7">
        <f t="shared" si="21"/>
        <v>5</v>
      </c>
      <c r="H514" s="4">
        <f t="shared" si="22"/>
        <v>5.3879310344827624E-3</v>
      </c>
      <c r="I514" s="1">
        <f t="shared" si="23"/>
        <v>1</v>
      </c>
    </row>
    <row r="515" spans="1:9" x14ac:dyDescent="0.2">
      <c r="A515" s="6">
        <v>43935.708333333336</v>
      </c>
      <c r="B515" s="1" t="s">
        <v>8</v>
      </c>
      <c r="C515">
        <v>161</v>
      </c>
      <c r="D515">
        <v>12</v>
      </c>
      <c r="E515">
        <v>68</v>
      </c>
      <c r="F515">
        <v>956</v>
      </c>
      <c r="G515" s="7">
        <f t="shared" ref="G515:G578" si="24">IF(AND(F515&gt;0,AND(B515=B514,F515&gt;0)),F515-F514,0)</f>
        <v>28</v>
      </c>
      <c r="H515" s="4">
        <f t="shared" ref="H515:H578" si="25">IF(AND(F514&gt;0,AND(B515=B514,F514&gt;0)),1-(F514/F515),0)</f>
        <v>2.9288702928870314E-2</v>
      </c>
      <c r="I515" s="1">
        <f t="shared" ref="I515:I578" si="26">IF(AND(E515&gt;0,AND(B515=B514,E515&gt;0)),E515-E514,0)</f>
        <v>1</v>
      </c>
    </row>
    <row r="516" spans="1:9" x14ac:dyDescent="0.2">
      <c r="A516" s="6">
        <v>43936.708333333336</v>
      </c>
      <c r="B516" s="1" t="s">
        <v>8</v>
      </c>
      <c r="C516">
        <v>156</v>
      </c>
      <c r="D516">
        <v>11</v>
      </c>
      <c r="E516">
        <v>71</v>
      </c>
      <c r="F516">
        <v>971</v>
      </c>
      <c r="G516" s="7">
        <f t="shared" si="24"/>
        <v>15</v>
      </c>
      <c r="H516" s="4">
        <f t="shared" si="25"/>
        <v>1.5447991761071034E-2</v>
      </c>
      <c r="I516" s="1">
        <f t="shared" si="26"/>
        <v>3</v>
      </c>
    </row>
    <row r="517" spans="1:9" x14ac:dyDescent="0.2">
      <c r="A517" s="6">
        <v>43937.708333333336</v>
      </c>
      <c r="B517" s="1" t="s">
        <v>8</v>
      </c>
      <c r="C517">
        <v>157</v>
      </c>
      <c r="D517">
        <v>9</v>
      </c>
      <c r="E517">
        <v>72</v>
      </c>
      <c r="F517">
        <v>1009</v>
      </c>
      <c r="G517" s="7">
        <f t="shared" si="24"/>
        <v>38</v>
      </c>
      <c r="H517" s="4">
        <f t="shared" si="25"/>
        <v>3.7661050545094166E-2</v>
      </c>
      <c r="I517" s="1">
        <f t="shared" si="26"/>
        <v>1</v>
      </c>
    </row>
    <row r="518" spans="1:9" x14ac:dyDescent="0.2">
      <c r="A518" s="6">
        <v>43938.708333333336</v>
      </c>
      <c r="B518" s="1" t="s">
        <v>8</v>
      </c>
      <c r="C518">
        <v>154</v>
      </c>
      <c r="D518">
        <v>7</v>
      </c>
      <c r="E518">
        <v>73</v>
      </c>
      <c r="F518">
        <v>991</v>
      </c>
      <c r="G518" s="7">
        <f t="shared" si="24"/>
        <v>-18</v>
      </c>
      <c r="H518" s="4">
        <f t="shared" si="25"/>
        <v>-1.8163471241170459E-2</v>
      </c>
      <c r="I518" s="1">
        <f t="shared" si="26"/>
        <v>1</v>
      </c>
    </row>
    <row r="519" spans="1:9" x14ac:dyDescent="0.2">
      <c r="A519" s="6">
        <v>43939.708333333336</v>
      </c>
      <c r="B519" s="1" t="s">
        <v>8</v>
      </c>
      <c r="C519">
        <v>152</v>
      </c>
      <c r="D519">
        <v>7</v>
      </c>
      <c r="E519">
        <v>73</v>
      </c>
      <c r="F519">
        <v>1011</v>
      </c>
      <c r="G519" s="7">
        <f t="shared" si="24"/>
        <v>20</v>
      </c>
      <c r="H519" s="4">
        <f t="shared" si="25"/>
        <v>1.978239366963408E-2</v>
      </c>
      <c r="I519" s="1">
        <f t="shared" si="26"/>
        <v>0</v>
      </c>
    </row>
    <row r="520" spans="1:9" x14ac:dyDescent="0.2">
      <c r="A520" s="6">
        <v>43940.708333333336</v>
      </c>
      <c r="B520" s="1" t="s">
        <v>8</v>
      </c>
      <c r="C520">
        <v>142</v>
      </c>
      <c r="D520">
        <v>6</v>
      </c>
      <c r="E520">
        <v>75</v>
      </c>
      <c r="F520">
        <v>1035</v>
      </c>
      <c r="G520" s="7">
        <f t="shared" si="24"/>
        <v>24</v>
      </c>
      <c r="H520" s="4">
        <f t="shared" si="25"/>
        <v>2.3188405797101463E-2</v>
      </c>
      <c r="I520" s="1">
        <f t="shared" si="26"/>
        <v>2</v>
      </c>
    </row>
    <row r="521" spans="1:9" x14ac:dyDescent="0.2">
      <c r="A521" s="6">
        <v>43941.708333333336</v>
      </c>
      <c r="B521" s="1" t="s">
        <v>8</v>
      </c>
      <c r="C521">
        <v>140</v>
      </c>
      <c r="D521">
        <v>7</v>
      </c>
      <c r="E521">
        <v>75</v>
      </c>
      <c r="F521">
        <v>1038</v>
      </c>
      <c r="G521" s="7">
        <f t="shared" si="24"/>
        <v>3</v>
      </c>
      <c r="H521" s="4">
        <f t="shared" si="25"/>
        <v>2.8901734104046506E-3</v>
      </c>
      <c r="I521" s="1">
        <f t="shared" si="26"/>
        <v>0</v>
      </c>
    </row>
    <row r="522" spans="1:9" x14ac:dyDescent="0.2">
      <c r="A522" s="6">
        <v>43942.708333333336</v>
      </c>
      <c r="B522" s="1" t="s">
        <v>8</v>
      </c>
      <c r="C522">
        <v>133</v>
      </c>
      <c r="D522">
        <v>7</v>
      </c>
      <c r="E522">
        <v>76</v>
      </c>
      <c r="F522">
        <v>1047</v>
      </c>
      <c r="G522" s="7">
        <f t="shared" si="24"/>
        <v>9</v>
      </c>
      <c r="H522" s="4">
        <f t="shared" si="25"/>
        <v>8.5959885386819312E-3</v>
      </c>
      <c r="I522" s="1">
        <f t="shared" si="26"/>
        <v>1</v>
      </c>
    </row>
    <row r="523" spans="1:9" x14ac:dyDescent="0.2">
      <c r="A523" s="6">
        <v>43943.708333333336</v>
      </c>
      <c r="B523" s="1" t="s">
        <v>8</v>
      </c>
      <c r="C523">
        <v>128</v>
      </c>
      <c r="D523">
        <v>7</v>
      </c>
      <c r="E523">
        <v>76</v>
      </c>
      <c r="F523">
        <v>1060</v>
      </c>
      <c r="G523" s="7">
        <f t="shared" si="24"/>
        <v>13</v>
      </c>
      <c r="H523" s="4">
        <f t="shared" si="25"/>
        <v>1.2264150943396279E-2</v>
      </c>
      <c r="I523" s="1">
        <f t="shared" si="26"/>
        <v>0</v>
      </c>
    </row>
    <row r="524" spans="1:9" x14ac:dyDescent="0.2">
      <c r="A524" s="6">
        <v>43944.708333333336</v>
      </c>
      <c r="B524" s="1" t="s">
        <v>8</v>
      </c>
      <c r="C524">
        <v>129</v>
      </c>
      <c r="D524">
        <v>7</v>
      </c>
      <c r="E524">
        <v>76</v>
      </c>
      <c r="F524">
        <v>1069</v>
      </c>
      <c r="G524" s="7">
        <f t="shared" si="24"/>
        <v>9</v>
      </c>
      <c r="H524" s="4">
        <f t="shared" si="25"/>
        <v>8.4190832553788786E-3</v>
      </c>
      <c r="I524" s="1">
        <f t="shared" si="26"/>
        <v>0</v>
      </c>
    </row>
    <row r="525" spans="1:9" x14ac:dyDescent="0.2">
      <c r="A525" s="6">
        <v>43945.708333333336</v>
      </c>
      <c r="B525" s="1" t="s">
        <v>8</v>
      </c>
      <c r="C525">
        <v>123</v>
      </c>
      <c r="D525">
        <v>7</v>
      </c>
      <c r="E525">
        <v>80</v>
      </c>
      <c r="F525">
        <v>1079</v>
      </c>
      <c r="G525" s="7">
        <f t="shared" si="24"/>
        <v>10</v>
      </c>
      <c r="H525" s="4">
        <f t="shared" si="25"/>
        <v>9.2678405931417851E-3</v>
      </c>
      <c r="I525" s="1">
        <f t="shared" si="26"/>
        <v>4</v>
      </c>
    </row>
    <row r="526" spans="1:9" x14ac:dyDescent="0.2">
      <c r="A526" s="6">
        <v>43946.708333333336</v>
      </c>
      <c r="B526" s="1" t="s">
        <v>8</v>
      </c>
      <c r="C526">
        <v>125</v>
      </c>
      <c r="D526">
        <v>7</v>
      </c>
      <c r="E526">
        <v>80</v>
      </c>
      <c r="F526">
        <v>1088</v>
      </c>
      <c r="G526" s="7">
        <f t="shared" si="24"/>
        <v>9</v>
      </c>
      <c r="H526" s="4">
        <f t="shared" si="25"/>
        <v>8.2720588235294379E-3</v>
      </c>
      <c r="I526" s="1">
        <f t="shared" si="26"/>
        <v>0</v>
      </c>
    </row>
    <row r="527" spans="1:9" x14ac:dyDescent="0.2">
      <c r="A527" s="6">
        <v>43947.708333333336</v>
      </c>
      <c r="B527" s="1" t="s">
        <v>8</v>
      </c>
      <c r="C527">
        <v>118</v>
      </c>
      <c r="D527">
        <v>8</v>
      </c>
      <c r="E527">
        <v>80</v>
      </c>
      <c r="F527">
        <v>1089</v>
      </c>
      <c r="G527" s="7">
        <f t="shared" si="24"/>
        <v>1</v>
      </c>
      <c r="H527" s="4">
        <f t="shared" si="25"/>
        <v>9.182736455464191E-4</v>
      </c>
      <c r="I527" s="1">
        <f t="shared" si="26"/>
        <v>0</v>
      </c>
    </row>
    <row r="528" spans="1:9" x14ac:dyDescent="0.2">
      <c r="A528" s="6">
        <v>43948.708333333336</v>
      </c>
      <c r="B528" s="1" t="s">
        <v>8</v>
      </c>
      <c r="C528">
        <v>114</v>
      </c>
      <c r="D528">
        <v>6</v>
      </c>
      <c r="E528">
        <v>83</v>
      </c>
      <c r="F528">
        <v>1096</v>
      </c>
      <c r="G528" s="3">
        <f t="shared" si="24"/>
        <v>7</v>
      </c>
      <c r="H528" s="4">
        <f t="shared" si="25"/>
        <v>6.3868613138685637E-3</v>
      </c>
      <c r="I528" s="1">
        <f t="shared" si="26"/>
        <v>3</v>
      </c>
    </row>
    <row r="529" spans="1:9" x14ac:dyDescent="0.2">
      <c r="A529" s="6">
        <v>43949.708333333336</v>
      </c>
      <c r="B529" s="1" t="s">
        <v>8</v>
      </c>
      <c r="C529">
        <v>113</v>
      </c>
      <c r="D529">
        <v>6</v>
      </c>
      <c r="E529">
        <v>85</v>
      </c>
      <c r="F529">
        <v>1097</v>
      </c>
      <c r="G529" s="3">
        <f t="shared" si="24"/>
        <v>1</v>
      </c>
      <c r="H529" s="4">
        <f t="shared" si="25"/>
        <v>9.1157702825883646E-4</v>
      </c>
      <c r="I529" s="1">
        <f t="shared" si="26"/>
        <v>2</v>
      </c>
    </row>
    <row r="530" spans="1:9" x14ac:dyDescent="0.2">
      <c r="A530" s="6">
        <v>43950.708333333336</v>
      </c>
      <c r="B530" s="1" t="s">
        <v>8</v>
      </c>
      <c r="C530">
        <v>107</v>
      </c>
      <c r="D530">
        <v>6</v>
      </c>
      <c r="E530">
        <v>86</v>
      </c>
      <c r="F530">
        <v>1102</v>
      </c>
      <c r="G530" s="3">
        <f t="shared" si="24"/>
        <v>5</v>
      </c>
      <c r="H530" s="4">
        <f t="shared" si="25"/>
        <v>4.5372050816696596E-3</v>
      </c>
      <c r="I530" s="1">
        <f t="shared" si="26"/>
        <v>1</v>
      </c>
    </row>
    <row r="531" spans="1:9" x14ac:dyDescent="0.2">
      <c r="A531" s="6">
        <v>43951.708333333336</v>
      </c>
      <c r="B531" s="1" t="s">
        <v>8</v>
      </c>
      <c r="C531">
        <v>105</v>
      </c>
      <c r="D531">
        <v>6</v>
      </c>
      <c r="E531">
        <v>86</v>
      </c>
      <c r="F531">
        <v>1108</v>
      </c>
      <c r="G531" s="3">
        <f t="shared" si="24"/>
        <v>6</v>
      </c>
      <c r="H531" s="4">
        <f t="shared" si="25"/>
        <v>5.4151624548736121E-3</v>
      </c>
      <c r="I531" s="1">
        <f t="shared" si="26"/>
        <v>0</v>
      </c>
    </row>
    <row r="532" spans="1:9" x14ac:dyDescent="0.2">
      <c r="A532" s="6">
        <v>43952.708333333336</v>
      </c>
      <c r="B532" s="1" t="s">
        <v>8</v>
      </c>
      <c r="C532">
        <v>105</v>
      </c>
      <c r="D532">
        <v>3</v>
      </c>
      <c r="E532">
        <v>86</v>
      </c>
      <c r="F532">
        <v>1112</v>
      </c>
      <c r="G532" s="3">
        <f t="shared" si="24"/>
        <v>4</v>
      </c>
      <c r="H532" s="4">
        <f t="shared" si="25"/>
        <v>3.597122302158251E-3</v>
      </c>
      <c r="I532" s="1">
        <f t="shared" si="26"/>
        <v>0</v>
      </c>
    </row>
    <row r="533" spans="1:9" x14ac:dyDescent="0.2">
      <c r="A533" s="6">
        <v>43953.708333333336</v>
      </c>
      <c r="B533" s="1" t="s">
        <v>8</v>
      </c>
      <c r="C533">
        <v>100</v>
      </c>
      <c r="D533">
        <v>4</v>
      </c>
      <c r="E533">
        <v>88</v>
      </c>
      <c r="F533">
        <v>1112</v>
      </c>
      <c r="G533" s="3">
        <f t="shared" si="24"/>
        <v>0</v>
      </c>
      <c r="H533" s="4">
        <f t="shared" si="25"/>
        <v>0</v>
      </c>
      <c r="I533" s="1">
        <f t="shared" si="26"/>
        <v>2</v>
      </c>
    </row>
    <row r="534" spans="1:9" x14ac:dyDescent="0.2">
      <c r="A534" s="6">
        <v>43954.708333333336</v>
      </c>
      <c r="B534" s="1" t="s">
        <v>8</v>
      </c>
      <c r="C534">
        <v>95</v>
      </c>
      <c r="D534">
        <v>4</v>
      </c>
      <c r="E534">
        <v>88</v>
      </c>
      <c r="F534">
        <v>1114</v>
      </c>
      <c r="G534" s="3">
        <f t="shared" si="24"/>
        <v>2</v>
      </c>
      <c r="H534" s="4">
        <f t="shared" si="25"/>
        <v>1.7953321364452268E-3</v>
      </c>
      <c r="I534" s="1">
        <f t="shared" si="26"/>
        <v>0</v>
      </c>
    </row>
    <row r="535" spans="1:9" x14ac:dyDescent="0.2">
      <c r="A535" s="6">
        <v>43955.708333333336</v>
      </c>
      <c r="B535" s="1" t="s">
        <v>8</v>
      </c>
      <c r="C535">
        <v>93</v>
      </c>
      <c r="D535">
        <v>4</v>
      </c>
      <c r="E535">
        <v>88</v>
      </c>
      <c r="F535">
        <v>1118</v>
      </c>
      <c r="G535" s="3">
        <f t="shared" si="24"/>
        <v>4</v>
      </c>
      <c r="H535" s="4">
        <f t="shared" si="25"/>
        <v>3.5778175313059268E-3</v>
      </c>
      <c r="I535" s="1">
        <f t="shared" si="26"/>
        <v>0</v>
      </c>
    </row>
    <row r="536" spans="1:9" x14ac:dyDescent="0.2">
      <c r="A536" s="6">
        <v>43956.708333333336</v>
      </c>
      <c r="B536" s="1" t="s">
        <v>8</v>
      </c>
      <c r="C536">
        <v>92</v>
      </c>
      <c r="D536">
        <v>4</v>
      </c>
      <c r="E536">
        <v>88</v>
      </c>
      <c r="F536">
        <v>1119</v>
      </c>
      <c r="G536" s="3">
        <f t="shared" si="24"/>
        <v>1</v>
      </c>
      <c r="H536" s="4">
        <f t="shared" si="25"/>
        <v>8.9365504915106531E-4</v>
      </c>
      <c r="I536" s="1">
        <f t="shared" si="26"/>
        <v>0</v>
      </c>
    </row>
    <row r="537" spans="1:9" x14ac:dyDescent="0.2">
      <c r="A537" s="6">
        <v>43957.708333333336</v>
      </c>
      <c r="B537" s="1" t="s">
        <v>8</v>
      </c>
      <c r="C537">
        <v>87</v>
      </c>
      <c r="D537">
        <v>3</v>
      </c>
      <c r="E537">
        <v>89</v>
      </c>
      <c r="F537">
        <v>1122</v>
      </c>
      <c r="G537" s="3">
        <f t="shared" si="24"/>
        <v>3</v>
      </c>
      <c r="H537" s="4">
        <f t="shared" si="25"/>
        <v>2.673796791443861E-3</v>
      </c>
      <c r="I537" s="1">
        <f t="shared" si="26"/>
        <v>1</v>
      </c>
    </row>
    <row r="538" spans="1:9" x14ac:dyDescent="0.2">
      <c r="A538" s="6">
        <v>43958.708333333336</v>
      </c>
      <c r="B538" s="1" t="s">
        <v>8</v>
      </c>
      <c r="C538">
        <v>81</v>
      </c>
      <c r="D538">
        <v>2</v>
      </c>
      <c r="E538">
        <v>89</v>
      </c>
      <c r="F538">
        <v>1125</v>
      </c>
      <c r="G538" s="3">
        <f t="shared" si="24"/>
        <v>3</v>
      </c>
      <c r="H538" s="4">
        <f t="shared" si="25"/>
        <v>2.666666666666706E-3</v>
      </c>
      <c r="I538" s="1">
        <f t="shared" si="26"/>
        <v>0</v>
      </c>
    </row>
    <row r="539" spans="1:9" x14ac:dyDescent="0.2">
      <c r="A539" s="6">
        <v>43959.708333333336</v>
      </c>
      <c r="B539" s="1" t="s">
        <v>8</v>
      </c>
      <c r="C539">
        <v>73</v>
      </c>
      <c r="D539">
        <v>2</v>
      </c>
      <c r="E539">
        <v>90</v>
      </c>
      <c r="F539">
        <v>1126</v>
      </c>
      <c r="G539" s="3">
        <f t="shared" si="24"/>
        <v>1</v>
      </c>
      <c r="H539" s="4">
        <f t="shared" si="25"/>
        <v>8.8809946714030197E-4</v>
      </c>
      <c r="I539" s="1">
        <f t="shared" si="26"/>
        <v>1</v>
      </c>
    </row>
    <row r="540" spans="1:9" x14ac:dyDescent="0.2">
      <c r="A540" s="6">
        <v>43960.708333333336</v>
      </c>
      <c r="B540" s="1" t="s">
        <v>8</v>
      </c>
      <c r="C540">
        <v>68</v>
      </c>
      <c r="D540">
        <v>2</v>
      </c>
      <c r="E540">
        <v>90</v>
      </c>
      <c r="F540">
        <v>1129</v>
      </c>
      <c r="G540" s="3">
        <f t="shared" si="24"/>
        <v>3</v>
      </c>
      <c r="H540" s="4">
        <f t="shared" si="25"/>
        <v>2.6572187776793266E-3</v>
      </c>
      <c r="I540" s="1">
        <f t="shared" si="26"/>
        <v>0</v>
      </c>
    </row>
    <row r="541" spans="1:9" x14ac:dyDescent="0.2">
      <c r="A541" s="6">
        <v>43961.708333333336</v>
      </c>
      <c r="B541" s="1" t="s">
        <v>8</v>
      </c>
      <c r="C541">
        <v>66</v>
      </c>
      <c r="D541">
        <v>2</v>
      </c>
      <c r="E541">
        <v>91</v>
      </c>
      <c r="F541">
        <v>1132</v>
      </c>
      <c r="G541" s="3">
        <f t="shared" si="24"/>
        <v>3</v>
      </c>
      <c r="H541" s="4">
        <f t="shared" si="25"/>
        <v>2.6501766784452485E-3</v>
      </c>
      <c r="I541" s="1">
        <f t="shared" si="26"/>
        <v>1</v>
      </c>
    </row>
    <row r="542" spans="1:9" x14ac:dyDescent="0.2">
      <c r="A542" s="6">
        <v>43962.708333333336</v>
      </c>
      <c r="B542" s="1" t="s">
        <v>8</v>
      </c>
      <c r="C542">
        <v>64</v>
      </c>
      <c r="D542">
        <v>1</v>
      </c>
      <c r="E542">
        <v>93</v>
      </c>
      <c r="F542">
        <v>1134</v>
      </c>
      <c r="G542" s="3">
        <f t="shared" si="24"/>
        <v>2</v>
      </c>
      <c r="H542" s="4">
        <f t="shared" si="25"/>
        <v>1.7636684303351524E-3</v>
      </c>
      <c r="I542" s="1">
        <f t="shared" si="26"/>
        <v>2</v>
      </c>
    </row>
    <row r="543" spans="1:9" x14ac:dyDescent="0.2">
      <c r="A543" s="6">
        <v>43963.708333333336</v>
      </c>
      <c r="B543" s="1" t="s">
        <v>8</v>
      </c>
      <c r="C543">
        <v>65</v>
      </c>
      <c r="D543">
        <v>1</v>
      </c>
      <c r="E543">
        <v>93</v>
      </c>
      <c r="F543">
        <v>1138</v>
      </c>
      <c r="G543" s="3">
        <f t="shared" si="24"/>
        <v>4</v>
      </c>
      <c r="H543" s="4">
        <f t="shared" si="25"/>
        <v>3.5149384885764245E-3</v>
      </c>
      <c r="I543" s="1">
        <f t="shared" si="26"/>
        <v>0</v>
      </c>
    </row>
    <row r="544" spans="1:9" x14ac:dyDescent="0.2">
      <c r="A544" s="6">
        <v>43964.708333333336</v>
      </c>
      <c r="B544" s="1" t="s">
        <v>8</v>
      </c>
      <c r="C544">
        <v>64</v>
      </c>
      <c r="D544">
        <v>1</v>
      </c>
      <c r="E544">
        <v>93</v>
      </c>
      <c r="F544">
        <v>1140</v>
      </c>
      <c r="G544" s="3">
        <f t="shared" si="24"/>
        <v>2</v>
      </c>
      <c r="H544" s="4">
        <f t="shared" si="25"/>
        <v>1.7543859649122862E-3</v>
      </c>
      <c r="I544" s="1">
        <f t="shared" si="26"/>
        <v>0</v>
      </c>
    </row>
    <row r="545" spans="1:9" x14ac:dyDescent="0.2">
      <c r="A545" s="6">
        <v>43965.708333333336</v>
      </c>
      <c r="B545" s="1" t="s">
        <v>8</v>
      </c>
      <c r="C545">
        <v>59</v>
      </c>
      <c r="D545">
        <v>2</v>
      </c>
      <c r="E545">
        <v>95</v>
      </c>
      <c r="F545">
        <v>1143</v>
      </c>
      <c r="G545" s="3">
        <f t="shared" si="24"/>
        <v>3</v>
      </c>
      <c r="H545" s="4">
        <f t="shared" si="25"/>
        <v>2.624671916010457E-3</v>
      </c>
      <c r="I545" s="1">
        <f t="shared" si="26"/>
        <v>2</v>
      </c>
    </row>
    <row r="546" spans="1:9" x14ac:dyDescent="0.2">
      <c r="A546" s="6">
        <v>43966.708333333336</v>
      </c>
      <c r="B546" s="1" t="s">
        <v>8</v>
      </c>
      <c r="C546">
        <v>56</v>
      </c>
      <c r="D546">
        <v>2</v>
      </c>
      <c r="E546">
        <v>95</v>
      </c>
      <c r="F546">
        <v>1144</v>
      </c>
      <c r="G546" s="3">
        <f t="shared" si="24"/>
        <v>1</v>
      </c>
      <c r="H546" s="4">
        <f t="shared" si="25"/>
        <v>8.7412587412583065E-4</v>
      </c>
      <c r="I546" s="1">
        <f t="shared" si="26"/>
        <v>0</v>
      </c>
    </row>
    <row r="547" spans="1:9" x14ac:dyDescent="0.2">
      <c r="A547" s="6">
        <v>43967.708333333336</v>
      </c>
      <c r="B547" s="1" t="s">
        <v>8</v>
      </c>
      <c r="C547">
        <v>56</v>
      </c>
      <c r="D547">
        <v>2</v>
      </c>
      <c r="E547">
        <v>95</v>
      </c>
      <c r="F547">
        <v>1151</v>
      </c>
      <c r="G547" s="3">
        <f t="shared" si="24"/>
        <v>7</v>
      </c>
      <c r="H547" s="4">
        <f t="shared" si="25"/>
        <v>6.0816681146829144E-3</v>
      </c>
      <c r="I547" s="1">
        <f t="shared" si="26"/>
        <v>0</v>
      </c>
    </row>
    <row r="548" spans="1:9" x14ac:dyDescent="0.2">
      <c r="A548" s="6">
        <v>43968.708333333336</v>
      </c>
      <c r="B548" s="1" t="s">
        <v>8</v>
      </c>
      <c r="C548">
        <v>56</v>
      </c>
      <c r="D548">
        <v>2</v>
      </c>
      <c r="E548">
        <v>95</v>
      </c>
      <c r="F548">
        <v>1151</v>
      </c>
      <c r="G548" s="3">
        <f t="shared" si="24"/>
        <v>0</v>
      </c>
      <c r="H548" s="4">
        <f t="shared" si="25"/>
        <v>0</v>
      </c>
      <c r="I548" s="1">
        <f t="shared" si="26"/>
        <v>0</v>
      </c>
    </row>
    <row r="549" spans="1:9" x14ac:dyDescent="0.2">
      <c r="A549" s="6">
        <v>43969.708333333336</v>
      </c>
      <c r="B549" s="1" t="s">
        <v>8</v>
      </c>
      <c r="C549">
        <v>53</v>
      </c>
      <c r="D549">
        <v>2</v>
      </c>
      <c r="E549">
        <v>95</v>
      </c>
      <c r="F549">
        <v>1151</v>
      </c>
      <c r="G549" s="3">
        <f t="shared" si="24"/>
        <v>0</v>
      </c>
      <c r="H549" s="4">
        <f t="shared" si="25"/>
        <v>0</v>
      </c>
      <c r="I549" s="1">
        <f t="shared" si="26"/>
        <v>0</v>
      </c>
    </row>
    <row r="550" spans="1:9" x14ac:dyDescent="0.2">
      <c r="A550" s="6">
        <v>43970.708333333336</v>
      </c>
      <c r="B550" s="1" t="s">
        <v>8</v>
      </c>
      <c r="C550">
        <v>50</v>
      </c>
      <c r="D550">
        <v>2</v>
      </c>
      <c r="E550">
        <v>95</v>
      </c>
      <c r="F550">
        <v>1153</v>
      </c>
      <c r="G550" s="3">
        <f t="shared" si="24"/>
        <v>2</v>
      </c>
      <c r="H550" s="4">
        <f t="shared" si="25"/>
        <v>1.7346053772766545E-3</v>
      </c>
      <c r="I550" s="1">
        <f t="shared" si="26"/>
        <v>0</v>
      </c>
    </row>
    <row r="551" spans="1:9" x14ac:dyDescent="0.2">
      <c r="A551" s="6">
        <v>43971.708333333336</v>
      </c>
      <c r="B551" s="1" t="s">
        <v>8</v>
      </c>
      <c r="C551">
        <v>49</v>
      </c>
      <c r="D551">
        <v>1</v>
      </c>
      <c r="E551">
        <v>96</v>
      </c>
      <c r="F551">
        <v>1156</v>
      </c>
      <c r="G551" s="3">
        <f t="shared" si="24"/>
        <v>3</v>
      </c>
      <c r="H551" s="4">
        <f t="shared" si="25"/>
        <v>2.5951557093425448E-3</v>
      </c>
      <c r="I551" s="1">
        <f t="shared" si="26"/>
        <v>1</v>
      </c>
    </row>
    <row r="552" spans="1:9" x14ac:dyDescent="0.2">
      <c r="A552" s="6">
        <v>43972.708333333336</v>
      </c>
      <c r="B552" s="1" t="s">
        <v>8</v>
      </c>
      <c r="C552">
        <v>47</v>
      </c>
      <c r="D552">
        <v>1</v>
      </c>
      <c r="E552">
        <v>96</v>
      </c>
      <c r="F552">
        <v>1156</v>
      </c>
      <c r="G552" s="3">
        <f t="shared" si="24"/>
        <v>0</v>
      </c>
      <c r="H552" s="4">
        <f t="shared" si="25"/>
        <v>0</v>
      </c>
      <c r="I552" s="1">
        <f t="shared" si="26"/>
        <v>0</v>
      </c>
    </row>
    <row r="553" spans="1:9" x14ac:dyDescent="0.2">
      <c r="A553" s="6">
        <v>43973.708333333336</v>
      </c>
      <c r="B553" s="1" t="s">
        <v>8</v>
      </c>
      <c r="C553">
        <v>47</v>
      </c>
      <c r="D553">
        <v>1</v>
      </c>
      <c r="E553">
        <v>96</v>
      </c>
      <c r="F553">
        <v>1157</v>
      </c>
      <c r="G553" s="3">
        <f t="shared" si="24"/>
        <v>1</v>
      </c>
      <c r="H553" s="4">
        <f t="shared" si="25"/>
        <v>8.643042350907626E-4</v>
      </c>
      <c r="I553" s="1">
        <f t="shared" si="26"/>
        <v>0</v>
      </c>
    </row>
    <row r="554" spans="1:9" x14ac:dyDescent="0.2">
      <c r="A554" s="6">
        <v>43974.708333333336</v>
      </c>
      <c r="B554" s="1" t="s">
        <v>8</v>
      </c>
      <c r="C554">
        <v>43</v>
      </c>
      <c r="D554">
        <v>1</v>
      </c>
      <c r="E554">
        <v>96</v>
      </c>
      <c r="F554">
        <v>1157</v>
      </c>
      <c r="G554" s="3">
        <f t="shared" si="24"/>
        <v>0</v>
      </c>
      <c r="H554" s="4">
        <f t="shared" si="25"/>
        <v>0</v>
      </c>
      <c r="I554" s="1">
        <f t="shared" si="26"/>
        <v>0</v>
      </c>
    </row>
    <row r="555" spans="1:9" x14ac:dyDescent="0.2">
      <c r="A555" s="6">
        <v>43975.708333333336</v>
      </c>
      <c r="B555" s="1" t="s">
        <v>8</v>
      </c>
      <c r="C555">
        <v>43</v>
      </c>
      <c r="D555">
        <v>1</v>
      </c>
      <c r="E555">
        <v>96</v>
      </c>
      <c r="F555">
        <v>1157</v>
      </c>
      <c r="G555" s="3">
        <f t="shared" si="24"/>
        <v>0</v>
      </c>
      <c r="H555" s="4">
        <f t="shared" si="25"/>
        <v>0</v>
      </c>
      <c r="I555" s="1">
        <f t="shared" si="26"/>
        <v>0</v>
      </c>
    </row>
    <row r="556" spans="1:9" x14ac:dyDescent="0.2">
      <c r="A556" s="6">
        <v>43976.708333333336</v>
      </c>
      <c r="B556" s="1" t="s">
        <v>8</v>
      </c>
      <c r="C556">
        <v>42</v>
      </c>
      <c r="D556">
        <v>1</v>
      </c>
      <c r="E556">
        <v>96</v>
      </c>
      <c r="F556">
        <v>1157</v>
      </c>
      <c r="G556" s="3">
        <f t="shared" si="24"/>
        <v>0</v>
      </c>
      <c r="H556" s="4">
        <f t="shared" si="25"/>
        <v>0</v>
      </c>
      <c r="I556" s="1">
        <f t="shared" si="26"/>
        <v>0</v>
      </c>
    </row>
    <row r="557" spans="1:9" x14ac:dyDescent="0.2">
      <c r="A557" s="6">
        <v>43977.708333333336</v>
      </c>
      <c r="B557" s="1" t="s">
        <v>8</v>
      </c>
      <c r="C557">
        <v>41</v>
      </c>
      <c r="D557">
        <v>1</v>
      </c>
      <c r="E557">
        <v>96</v>
      </c>
      <c r="F557">
        <v>1157</v>
      </c>
      <c r="G557" s="3">
        <f t="shared" si="24"/>
        <v>0</v>
      </c>
      <c r="H557" s="4">
        <f t="shared" si="25"/>
        <v>0</v>
      </c>
      <c r="I557" s="1">
        <f t="shared" si="26"/>
        <v>0</v>
      </c>
    </row>
    <row r="558" spans="1:9" x14ac:dyDescent="0.2">
      <c r="A558" s="6">
        <v>43978.708333333336</v>
      </c>
      <c r="B558" s="1" t="s">
        <v>8</v>
      </c>
      <c r="C558">
        <v>35</v>
      </c>
      <c r="D558">
        <v>1</v>
      </c>
      <c r="E558">
        <v>96</v>
      </c>
      <c r="F558">
        <v>1158</v>
      </c>
      <c r="G558" s="3">
        <f t="shared" si="24"/>
        <v>1</v>
      </c>
      <c r="H558" s="4">
        <f t="shared" si="25"/>
        <v>8.635578583765513E-4</v>
      </c>
      <c r="I558" s="1">
        <f t="shared" si="26"/>
        <v>0</v>
      </c>
    </row>
    <row r="559" spans="1:9" x14ac:dyDescent="0.2">
      <c r="A559" s="6">
        <v>43979.708333333336</v>
      </c>
      <c r="B559" s="1" t="s">
        <v>8</v>
      </c>
      <c r="C559">
        <v>31</v>
      </c>
      <c r="D559">
        <v>1</v>
      </c>
      <c r="E559">
        <v>96</v>
      </c>
      <c r="F559">
        <v>1158</v>
      </c>
      <c r="G559" s="3">
        <f t="shared" si="24"/>
        <v>0</v>
      </c>
      <c r="H559" s="4">
        <f t="shared" si="25"/>
        <v>0</v>
      </c>
      <c r="I559" s="1">
        <f t="shared" si="26"/>
        <v>0</v>
      </c>
    </row>
    <row r="560" spans="1:9" x14ac:dyDescent="0.2">
      <c r="A560" s="6">
        <v>43980.708333333336</v>
      </c>
      <c r="B560" s="1" t="s">
        <v>8</v>
      </c>
      <c r="C560">
        <v>25</v>
      </c>
      <c r="D560">
        <v>1</v>
      </c>
      <c r="E560">
        <v>97</v>
      </c>
      <c r="F560">
        <v>1158</v>
      </c>
      <c r="G560" s="3">
        <f t="shared" si="24"/>
        <v>0</v>
      </c>
      <c r="H560" s="4">
        <f t="shared" si="25"/>
        <v>0</v>
      </c>
      <c r="I560" s="1">
        <f t="shared" si="26"/>
        <v>1</v>
      </c>
    </row>
    <row r="561" spans="1:9" x14ac:dyDescent="0.2">
      <c r="A561" s="6">
        <v>43981.708333333336</v>
      </c>
      <c r="B561" s="1" t="s">
        <v>8</v>
      </c>
      <c r="C561">
        <v>23</v>
      </c>
      <c r="D561">
        <v>1</v>
      </c>
      <c r="E561">
        <v>97</v>
      </c>
      <c r="F561">
        <v>1158</v>
      </c>
      <c r="G561" s="3">
        <f t="shared" si="24"/>
        <v>0</v>
      </c>
      <c r="H561" s="4">
        <f t="shared" si="25"/>
        <v>0</v>
      </c>
      <c r="I561" s="1">
        <f t="shared" si="26"/>
        <v>0</v>
      </c>
    </row>
    <row r="562" spans="1:9" x14ac:dyDescent="0.2">
      <c r="A562" s="6">
        <v>43982.708333333336</v>
      </c>
      <c r="B562" s="1" t="s">
        <v>8</v>
      </c>
      <c r="C562">
        <v>22</v>
      </c>
      <c r="D562">
        <v>1</v>
      </c>
      <c r="E562">
        <v>97</v>
      </c>
      <c r="F562">
        <v>1158</v>
      </c>
      <c r="G562" s="3">
        <f t="shared" si="24"/>
        <v>0</v>
      </c>
      <c r="H562" s="4">
        <f t="shared" si="25"/>
        <v>0</v>
      </c>
      <c r="I562" s="1">
        <f t="shared" si="26"/>
        <v>0</v>
      </c>
    </row>
    <row r="563" spans="1:9" x14ac:dyDescent="0.2">
      <c r="A563" s="6">
        <v>43983.708333333336</v>
      </c>
      <c r="B563" s="1" t="s">
        <v>8</v>
      </c>
      <c r="C563">
        <v>20</v>
      </c>
      <c r="D563">
        <v>1</v>
      </c>
      <c r="E563">
        <v>97</v>
      </c>
      <c r="F563">
        <v>1158</v>
      </c>
      <c r="G563" s="3">
        <f t="shared" si="24"/>
        <v>0</v>
      </c>
      <c r="H563" s="4">
        <f t="shared" si="25"/>
        <v>0</v>
      </c>
      <c r="I563" s="1">
        <f t="shared" si="26"/>
        <v>0</v>
      </c>
    </row>
    <row r="564" spans="1:9" x14ac:dyDescent="0.2">
      <c r="A564" s="6">
        <v>43984.708333333336</v>
      </c>
      <c r="B564" s="1" t="s">
        <v>8</v>
      </c>
      <c r="C564">
        <v>20</v>
      </c>
      <c r="D564">
        <v>1</v>
      </c>
      <c r="E564">
        <v>97</v>
      </c>
      <c r="F564">
        <v>1158</v>
      </c>
      <c r="G564" s="3">
        <f t="shared" si="24"/>
        <v>0</v>
      </c>
      <c r="H564" s="4">
        <f t="shared" si="25"/>
        <v>0</v>
      </c>
      <c r="I564" s="1">
        <f t="shared" si="26"/>
        <v>0</v>
      </c>
    </row>
    <row r="565" spans="1:9" x14ac:dyDescent="0.2">
      <c r="A565" s="6">
        <v>43985.708333333336</v>
      </c>
      <c r="B565" s="1" t="s">
        <v>8</v>
      </c>
      <c r="C565">
        <v>20</v>
      </c>
      <c r="D565">
        <v>0</v>
      </c>
      <c r="E565">
        <v>97</v>
      </c>
      <c r="F565">
        <v>1158</v>
      </c>
      <c r="G565" s="3">
        <f t="shared" si="24"/>
        <v>0</v>
      </c>
      <c r="H565" s="4">
        <f t="shared" si="25"/>
        <v>0</v>
      </c>
      <c r="I565" s="1">
        <f t="shared" si="26"/>
        <v>0</v>
      </c>
    </row>
    <row r="566" spans="1:9" x14ac:dyDescent="0.2">
      <c r="A566" s="6">
        <v>43986.708333333336</v>
      </c>
      <c r="B566" s="1" t="s">
        <v>8</v>
      </c>
      <c r="C566">
        <v>19</v>
      </c>
      <c r="D566">
        <v>0</v>
      </c>
      <c r="E566">
        <v>97</v>
      </c>
      <c r="F566">
        <v>1158</v>
      </c>
      <c r="G566" s="3">
        <f t="shared" si="24"/>
        <v>0</v>
      </c>
      <c r="H566" s="4">
        <f t="shared" si="25"/>
        <v>0</v>
      </c>
      <c r="I566" s="1">
        <f t="shared" si="26"/>
        <v>0</v>
      </c>
    </row>
    <row r="567" spans="1:9" x14ac:dyDescent="0.2">
      <c r="A567" s="6">
        <v>43987.708333333336</v>
      </c>
      <c r="B567" s="1" t="s">
        <v>8</v>
      </c>
      <c r="C567">
        <v>18</v>
      </c>
      <c r="D567">
        <v>0</v>
      </c>
      <c r="E567">
        <v>97</v>
      </c>
      <c r="F567">
        <v>1159</v>
      </c>
      <c r="G567" s="3">
        <f t="shared" si="24"/>
        <v>1</v>
      </c>
      <c r="H567" s="4">
        <f t="shared" si="25"/>
        <v>8.6281276962896225E-4</v>
      </c>
      <c r="I567" s="1">
        <f t="shared" si="26"/>
        <v>0</v>
      </c>
    </row>
    <row r="568" spans="1:9" x14ac:dyDescent="0.2">
      <c r="A568" s="6">
        <v>43988.708333333336</v>
      </c>
      <c r="B568" s="1" t="s">
        <v>8</v>
      </c>
      <c r="C568">
        <v>18</v>
      </c>
      <c r="D568">
        <v>0</v>
      </c>
      <c r="E568">
        <v>97</v>
      </c>
      <c r="F568">
        <v>1159</v>
      </c>
      <c r="G568" s="3">
        <f t="shared" si="24"/>
        <v>0</v>
      </c>
      <c r="H568" s="4">
        <f t="shared" si="25"/>
        <v>0</v>
      </c>
      <c r="I568" s="1">
        <f t="shared" si="26"/>
        <v>0</v>
      </c>
    </row>
    <row r="569" spans="1:9" x14ac:dyDescent="0.2">
      <c r="A569" s="6">
        <v>43989.708333333336</v>
      </c>
      <c r="B569" s="1" t="s">
        <v>8</v>
      </c>
      <c r="C569">
        <v>18</v>
      </c>
      <c r="D569">
        <v>0</v>
      </c>
      <c r="E569">
        <v>97</v>
      </c>
      <c r="F569">
        <v>1159</v>
      </c>
      <c r="G569" s="3">
        <f t="shared" si="24"/>
        <v>0</v>
      </c>
      <c r="H569" s="4">
        <f t="shared" si="25"/>
        <v>0</v>
      </c>
      <c r="I569" s="1">
        <f t="shared" si="26"/>
        <v>0</v>
      </c>
    </row>
    <row r="570" spans="1:9" x14ac:dyDescent="0.2">
      <c r="A570" s="6">
        <v>43990.708333333336</v>
      </c>
      <c r="B570" s="1" t="s">
        <v>8</v>
      </c>
      <c r="C570">
        <v>18</v>
      </c>
      <c r="D570">
        <v>0</v>
      </c>
      <c r="E570">
        <v>97</v>
      </c>
      <c r="F570">
        <v>1159</v>
      </c>
      <c r="G570" s="3">
        <f t="shared" si="24"/>
        <v>0</v>
      </c>
      <c r="H570" s="4">
        <f t="shared" si="25"/>
        <v>0</v>
      </c>
      <c r="I570" s="1">
        <f t="shared" si="26"/>
        <v>0</v>
      </c>
    </row>
    <row r="571" spans="1:9" x14ac:dyDescent="0.2">
      <c r="A571" s="6">
        <v>43991.708333333336</v>
      </c>
      <c r="B571" s="1" t="s">
        <v>8</v>
      </c>
      <c r="C571">
        <v>18</v>
      </c>
      <c r="D571">
        <v>0</v>
      </c>
      <c r="E571">
        <v>97</v>
      </c>
      <c r="F571">
        <v>1159</v>
      </c>
      <c r="G571" s="3">
        <f t="shared" si="24"/>
        <v>0</v>
      </c>
      <c r="H571" s="4">
        <f t="shared" si="25"/>
        <v>0</v>
      </c>
      <c r="I571" s="1">
        <f t="shared" si="26"/>
        <v>0</v>
      </c>
    </row>
    <row r="572" spans="1:9" x14ac:dyDescent="0.2">
      <c r="A572" s="6">
        <v>43992.708333333336</v>
      </c>
      <c r="B572" s="1" t="s">
        <v>8</v>
      </c>
      <c r="C572">
        <v>18</v>
      </c>
      <c r="D572">
        <v>0</v>
      </c>
      <c r="E572">
        <v>97</v>
      </c>
      <c r="F572">
        <v>1159</v>
      </c>
      <c r="G572" s="3">
        <f t="shared" si="24"/>
        <v>0</v>
      </c>
      <c r="H572" s="4">
        <f t="shared" si="25"/>
        <v>0</v>
      </c>
      <c r="I572" s="1">
        <f t="shared" si="26"/>
        <v>0</v>
      </c>
    </row>
    <row r="573" spans="1:9" x14ac:dyDescent="0.2">
      <c r="A573" s="6">
        <v>43993.708333333336</v>
      </c>
      <c r="B573" s="1" t="s">
        <v>8</v>
      </c>
      <c r="C573">
        <v>16</v>
      </c>
      <c r="D573">
        <v>1</v>
      </c>
      <c r="E573">
        <v>97</v>
      </c>
      <c r="F573">
        <v>1161</v>
      </c>
      <c r="G573" s="3">
        <f t="shared" si="24"/>
        <v>2</v>
      </c>
      <c r="H573" s="4">
        <f t="shared" si="25"/>
        <v>1.7226528854435985E-3</v>
      </c>
      <c r="I573" s="1">
        <f t="shared" si="26"/>
        <v>0</v>
      </c>
    </row>
    <row r="574" spans="1:9" x14ac:dyDescent="0.2">
      <c r="A574" s="6">
        <v>43994.708333333336</v>
      </c>
      <c r="B574" s="1" t="s">
        <v>8</v>
      </c>
      <c r="C574">
        <v>16</v>
      </c>
      <c r="D574">
        <v>1</v>
      </c>
      <c r="E574">
        <v>97</v>
      </c>
      <c r="F574">
        <v>1161</v>
      </c>
      <c r="G574" s="3">
        <f t="shared" si="24"/>
        <v>0</v>
      </c>
      <c r="H574" s="4">
        <f t="shared" si="25"/>
        <v>0</v>
      </c>
      <c r="I574" s="1">
        <f t="shared" si="26"/>
        <v>0</v>
      </c>
    </row>
    <row r="575" spans="1:9" x14ac:dyDescent="0.2">
      <c r="A575" s="6">
        <v>43995.708333333336</v>
      </c>
      <c r="B575" s="1" t="s">
        <v>8</v>
      </c>
      <c r="C575">
        <v>15</v>
      </c>
      <c r="D575">
        <v>1</v>
      </c>
      <c r="E575">
        <v>97</v>
      </c>
      <c r="F575">
        <v>1162</v>
      </c>
      <c r="G575" s="3">
        <f t="shared" si="24"/>
        <v>1</v>
      </c>
      <c r="H575" s="4">
        <f t="shared" si="25"/>
        <v>8.6058519793463795E-4</v>
      </c>
      <c r="I575" s="1">
        <f t="shared" si="26"/>
        <v>0</v>
      </c>
    </row>
    <row r="576" spans="1:9" x14ac:dyDescent="0.2">
      <c r="A576" s="6">
        <v>43996.708333333336</v>
      </c>
      <c r="B576" s="1" t="s">
        <v>8</v>
      </c>
      <c r="C576">
        <v>15</v>
      </c>
      <c r="D576">
        <v>1</v>
      </c>
      <c r="E576">
        <v>97</v>
      </c>
      <c r="F576">
        <v>1162</v>
      </c>
      <c r="G576" s="3">
        <f t="shared" si="24"/>
        <v>0</v>
      </c>
      <c r="H576" s="4">
        <f t="shared" si="25"/>
        <v>0</v>
      </c>
      <c r="I576" s="1">
        <f t="shared" si="26"/>
        <v>0</v>
      </c>
    </row>
    <row r="577" spans="1:9" x14ac:dyDescent="0.2">
      <c r="A577" s="6">
        <v>43997.708333333336</v>
      </c>
      <c r="B577" s="1" t="s">
        <v>8</v>
      </c>
      <c r="C577">
        <v>17</v>
      </c>
      <c r="D577">
        <v>1</v>
      </c>
      <c r="E577">
        <v>97</v>
      </c>
      <c r="F577">
        <v>1162</v>
      </c>
      <c r="G577" s="3">
        <f t="shared" si="24"/>
        <v>0</v>
      </c>
      <c r="H577" s="4">
        <f t="shared" si="25"/>
        <v>0</v>
      </c>
      <c r="I577" s="1">
        <f t="shared" si="26"/>
        <v>0</v>
      </c>
    </row>
    <row r="578" spans="1:9" x14ac:dyDescent="0.2">
      <c r="A578" s="6">
        <v>43998.708333333336</v>
      </c>
      <c r="B578" s="1" t="s">
        <v>8</v>
      </c>
      <c r="C578">
        <v>18</v>
      </c>
      <c r="D578">
        <v>0</v>
      </c>
      <c r="E578">
        <v>97</v>
      </c>
      <c r="F578">
        <v>1162</v>
      </c>
      <c r="G578" s="3">
        <f t="shared" si="24"/>
        <v>0</v>
      </c>
      <c r="H578" s="4">
        <f t="shared" si="25"/>
        <v>0</v>
      </c>
      <c r="I578" s="1">
        <f t="shared" si="26"/>
        <v>0</v>
      </c>
    </row>
    <row r="579" spans="1:9" x14ac:dyDescent="0.2">
      <c r="A579" s="6">
        <v>43999.708333333336</v>
      </c>
      <c r="B579" s="1" t="s">
        <v>8</v>
      </c>
      <c r="C579">
        <v>18</v>
      </c>
      <c r="D579">
        <v>0</v>
      </c>
      <c r="E579">
        <v>97</v>
      </c>
      <c r="F579">
        <v>1162</v>
      </c>
      <c r="G579" s="3">
        <f t="shared" ref="G579:G642" si="27">IF(AND(F579&gt;0,AND(B579=B578,F579&gt;0)),F579-F578,0)</f>
        <v>0</v>
      </c>
      <c r="H579" s="4">
        <f t="shared" ref="H579:H642" si="28">IF(AND(F578&gt;0,AND(B579=B578,F578&gt;0)),1-(F578/F579),0)</f>
        <v>0</v>
      </c>
      <c r="I579" s="1">
        <f t="shared" ref="I579:I642" si="29">IF(AND(E579&gt;0,AND(B579=B578,E579&gt;0)),E579-E578,0)</f>
        <v>0</v>
      </c>
    </row>
    <row r="580" spans="1:9" x14ac:dyDescent="0.2">
      <c r="A580" s="6">
        <v>44000.708333333336</v>
      </c>
      <c r="B580" s="1" t="s">
        <v>8</v>
      </c>
      <c r="C580">
        <v>18</v>
      </c>
      <c r="D580">
        <v>0</v>
      </c>
      <c r="E580">
        <v>97</v>
      </c>
      <c r="F580">
        <v>1165</v>
      </c>
      <c r="G580" s="3">
        <f t="shared" si="27"/>
        <v>3</v>
      </c>
      <c r="H580" s="4">
        <f t="shared" si="28"/>
        <v>2.5751072961373023E-3</v>
      </c>
      <c r="I580" s="1">
        <f t="shared" si="29"/>
        <v>0</v>
      </c>
    </row>
    <row r="581" spans="1:9" x14ac:dyDescent="0.2">
      <c r="A581" s="6">
        <v>44001.708333333336</v>
      </c>
      <c r="B581" s="1" t="s">
        <v>8</v>
      </c>
      <c r="C581">
        <v>18</v>
      </c>
      <c r="D581">
        <v>0</v>
      </c>
      <c r="E581">
        <v>97</v>
      </c>
      <c r="F581">
        <v>1165</v>
      </c>
      <c r="G581" s="3">
        <f t="shared" si="27"/>
        <v>0</v>
      </c>
      <c r="H581" s="4">
        <f t="shared" si="28"/>
        <v>0</v>
      </c>
      <c r="I581" s="1">
        <f t="shared" si="29"/>
        <v>0</v>
      </c>
    </row>
    <row r="582" spans="1:9" x14ac:dyDescent="0.2">
      <c r="A582" s="6">
        <v>44002.708333333336</v>
      </c>
      <c r="B582" s="1" t="s">
        <v>8</v>
      </c>
      <c r="C582">
        <v>18</v>
      </c>
      <c r="D582">
        <v>0</v>
      </c>
      <c r="E582">
        <v>97</v>
      </c>
      <c r="F582">
        <v>1167</v>
      </c>
      <c r="G582" s="3">
        <f t="shared" si="27"/>
        <v>2</v>
      </c>
      <c r="H582" s="4">
        <f t="shared" si="28"/>
        <v>1.7137960582690459E-3</v>
      </c>
      <c r="I582" s="1">
        <f t="shared" si="29"/>
        <v>0</v>
      </c>
    </row>
    <row r="583" spans="1:9" x14ac:dyDescent="0.2">
      <c r="A583" s="6">
        <v>44003.708333333336</v>
      </c>
      <c r="B583" s="1" t="s">
        <v>8</v>
      </c>
      <c r="C583">
        <v>17</v>
      </c>
      <c r="D583">
        <v>0</v>
      </c>
      <c r="E583">
        <v>97</v>
      </c>
      <c r="F583">
        <v>1173</v>
      </c>
      <c r="G583" s="3">
        <f t="shared" si="27"/>
        <v>6</v>
      </c>
      <c r="H583" s="4">
        <f t="shared" si="28"/>
        <v>5.1150895140664732E-3</v>
      </c>
      <c r="I583" s="1">
        <f t="shared" si="29"/>
        <v>0</v>
      </c>
    </row>
    <row r="584" spans="1:9" x14ac:dyDescent="0.2">
      <c r="A584" s="6">
        <v>44004.708333333336</v>
      </c>
      <c r="B584" s="1" t="s">
        <v>8</v>
      </c>
      <c r="C584">
        <v>15</v>
      </c>
      <c r="D584">
        <v>0</v>
      </c>
      <c r="E584">
        <v>97</v>
      </c>
      <c r="F584">
        <v>1174</v>
      </c>
      <c r="G584" s="3">
        <f t="shared" si="27"/>
        <v>1</v>
      </c>
      <c r="H584" s="4">
        <f t="shared" si="28"/>
        <v>8.5178875638836082E-4</v>
      </c>
      <c r="I584" s="1">
        <f t="shared" si="29"/>
        <v>0</v>
      </c>
    </row>
    <row r="585" spans="1:9" x14ac:dyDescent="0.2">
      <c r="A585" s="6">
        <v>44005.708333333336</v>
      </c>
      <c r="B585" s="1" t="s">
        <v>8</v>
      </c>
      <c r="C585">
        <v>9</v>
      </c>
      <c r="D585">
        <v>0</v>
      </c>
      <c r="E585">
        <v>97</v>
      </c>
      <c r="F585">
        <v>1175</v>
      </c>
      <c r="G585" s="3">
        <f t="shared" si="27"/>
        <v>1</v>
      </c>
      <c r="H585" s="4">
        <f t="shared" si="28"/>
        <v>8.5106382978727968E-4</v>
      </c>
      <c r="I585" s="1">
        <f t="shared" si="29"/>
        <v>0</v>
      </c>
    </row>
    <row r="586" spans="1:9" x14ac:dyDescent="0.2">
      <c r="A586" s="6">
        <v>44006.708333333336</v>
      </c>
      <c r="B586" s="1" t="s">
        <v>8</v>
      </c>
      <c r="C586">
        <v>9</v>
      </c>
      <c r="D586">
        <v>0</v>
      </c>
      <c r="E586">
        <v>97</v>
      </c>
      <c r="F586">
        <v>1175</v>
      </c>
      <c r="G586" s="3">
        <f t="shared" si="27"/>
        <v>0</v>
      </c>
      <c r="H586" s="4">
        <f t="shared" si="28"/>
        <v>0</v>
      </c>
      <c r="I586" s="1">
        <f t="shared" si="29"/>
        <v>0</v>
      </c>
    </row>
    <row r="587" spans="1:9" x14ac:dyDescent="0.2">
      <c r="A587" s="6">
        <v>44007.708333333336</v>
      </c>
      <c r="B587" s="1" t="s">
        <v>8</v>
      </c>
      <c r="C587">
        <v>10</v>
      </c>
      <c r="D587">
        <v>0</v>
      </c>
      <c r="E587">
        <v>97</v>
      </c>
      <c r="F587">
        <v>1175</v>
      </c>
      <c r="G587" s="3">
        <f t="shared" si="27"/>
        <v>0</v>
      </c>
      <c r="H587" s="4">
        <f t="shared" si="28"/>
        <v>0</v>
      </c>
      <c r="I587" s="1">
        <f t="shared" si="29"/>
        <v>0</v>
      </c>
    </row>
    <row r="588" spans="1:9" x14ac:dyDescent="0.2">
      <c r="A588" s="6">
        <v>44008.708333333336</v>
      </c>
      <c r="B588" s="1" t="s">
        <v>8</v>
      </c>
      <c r="C588">
        <v>9</v>
      </c>
      <c r="D588">
        <v>0</v>
      </c>
      <c r="E588">
        <v>97</v>
      </c>
      <c r="F588">
        <v>1178</v>
      </c>
      <c r="G588" s="3">
        <f t="shared" si="27"/>
        <v>3</v>
      </c>
      <c r="H588" s="4">
        <f t="shared" si="28"/>
        <v>2.5466893039048921E-3</v>
      </c>
      <c r="I588" s="1">
        <f t="shared" si="29"/>
        <v>0</v>
      </c>
    </row>
    <row r="589" spans="1:9" x14ac:dyDescent="0.2">
      <c r="A589" s="6">
        <v>44009.708333333336</v>
      </c>
      <c r="B589" s="1" t="s">
        <v>8</v>
      </c>
      <c r="C589">
        <v>9</v>
      </c>
      <c r="D589">
        <v>0</v>
      </c>
      <c r="E589">
        <v>97</v>
      </c>
      <c r="F589">
        <v>1179</v>
      </c>
      <c r="G589" s="3">
        <f t="shared" si="27"/>
        <v>1</v>
      </c>
      <c r="H589" s="4">
        <f t="shared" si="28"/>
        <v>8.4817642069545673E-4</v>
      </c>
      <c r="I589" s="1">
        <f t="shared" si="29"/>
        <v>0</v>
      </c>
    </row>
    <row r="590" spans="1:9" x14ac:dyDescent="0.2">
      <c r="A590" s="6">
        <v>44010.708333333336</v>
      </c>
      <c r="B590" s="1" t="s">
        <v>8</v>
      </c>
      <c r="C590">
        <v>4</v>
      </c>
      <c r="D590">
        <v>0</v>
      </c>
      <c r="E590">
        <v>97</v>
      </c>
      <c r="F590">
        <v>1180</v>
      </c>
      <c r="G590" s="3">
        <f t="shared" si="27"/>
        <v>1</v>
      </c>
      <c r="H590" s="4">
        <f t="shared" si="28"/>
        <v>8.4745762711868622E-4</v>
      </c>
      <c r="I590" s="1">
        <f t="shared" si="29"/>
        <v>0</v>
      </c>
    </row>
    <row r="591" spans="1:9" x14ac:dyDescent="0.2">
      <c r="A591" s="6">
        <v>44011.708333333336</v>
      </c>
      <c r="B591" s="1" t="s">
        <v>8</v>
      </c>
      <c r="C591">
        <v>4</v>
      </c>
      <c r="D591">
        <v>0</v>
      </c>
      <c r="E591">
        <v>97</v>
      </c>
      <c r="F591">
        <v>1180</v>
      </c>
      <c r="G591" s="3">
        <f t="shared" si="27"/>
        <v>0</v>
      </c>
      <c r="H591" s="4">
        <f t="shared" si="28"/>
        <v>0</v>
      </c>
      <c r="I591" s="1">
        <f t="shared" si="29"/>
        <v>0</v>
      </c>
    </row>
    <row r="592" spans="1:9" x14ac:dyDescent="0.2">
      <c r="A592" s="6">
        <v>44012.708333333336</v>
      </c>
      <c r="B592" s="1" t="s">
        <v>8</v>
      </c>
      <c r="C592">
        <v>4</v>
      </c>
      <c r="D592">
        <v>0</v>
      </c>
      <c r="E592">
        <v>97</v>
      </c>
      <c r="F592">
        <v>1181</v>
      </c>
      <c r="G592" s="3">
        <f t="shared" si="27"/>
        <v>1</v>
      </c>
      <c r="H592" s="4">
        <f t="shared" si="28"/>
        <v>8.4674005080442871E-4</v>
      </c>
      <c r="I592" s="1">
        <f t="shared" si="29"/>
        <v>0</v>
      </c>
    </row>
    <row r="593" spans="1:9" x14ac:dyDescent="0.2">
      <c r="A593" s="6">
        <v>44013.708333333336</v>
      </c>
      <c r="B593" s="1" t="s">
        <v>8</v>
      </c>
      <c r="C593">
        <v>4</v>
      </c>
      <c r="D593">
        <v>0</v>
      </c>
      <c r="E593">
        <v>97</v>
      </c>
      <c r="F593">
        <v>1181</v>
      </c>
      <c r="G593" s="3">
        <f t="shared" si="27"/>
        <v>0</v>
      </c>
      <c r="H593" s="4">
        <f t="shared" si="28"/>
        <v>0</v>
      </c>
      <c r="I593" s="1">
        <f t="shared" si="29"/>
        <v>0</v>
      </c>
    </row>
    <row r="594" spans="1:9" x14ac:dyDescent="0.2">
      <c r="A594" s="6">
        <v>44014.708333333336</v>
      </c>
      <c r="B594" s="1" t="s">
        <v>8</v>
      </c>
      <c r="C594">
        <v>4</v>
      </c>
      <c r="D594">
        <v>0</v>
      </c>
      <c r="E594">
        <v>97</v>
      </c>
      <c r="F594">
        <v>1181</v>
      </c>
      <c r="G594" s="3">
        <f t="shared" si="27"/>
        <v>0</v>
      </c>
      <c r="H594" s="4">
        <f t="shared" si="28"/>
        <v>0</v>
      </c>
      <c r="I594" s="1">
        <f t="shared" si="29"/>
        <v>0</v>
      </c>
    </row>
    <row r="595" spans="1:9" x14ac:dyDescent="0.2">
      <c r="A595" s="6">
        <v>44015.708333333336</v>
      </c>
      <c r="B595" s="1" t="s">
        <v>8</v>
      </c>
      <c r="C595">
        <v>4</v>
      </c>
      <c r="D595">
        <v>0</v>
      </c>
      <c r="E595">
        <v>97</v>
      </c>
      <c r="F595">
        <v>1182</v>
      </c>
      <c r="G595" s="3">
        <f t="shared" si="27"/>
        <v>1</v>
      </c>
      <c r="H595" s="4">
        <f t="shared" si="28"/>
        <v>8.460236886632666E-4</v>
      </c>
      <c r="I595" s="1">
        <f t="shared" si="29"/>
        <v>0</v>
      </c>
    </row>
    <row r="596" spans="1:9" x14ac:dyDescent="0.2">
      <c r="A596" s="6">
        <v>44016.708333333336</v>
      </c>
      <c r="B596" s="1" t="s">
        <v>8</v>
      </c>
      <c r="C596">
        <v>3</v>
      </c>
      <c r="D596">
        <v>0</v>
      </c>
      <c r="E596">
        <v>97</v>
      </c>
      <c r="F596">
        <v>1183</v>
      </c>
      <c r="G596" s="3">
        <f t="shared" si="27"/>
        <v>1</v>
      </c>
      <c r="H596" s="4">
        <f t="shared" si="28"/>
        <v>8.4530853761621838E-4</v>
      </c>
      <c r="I596" s="1">
        <f t="shared" si="29"/>
        <v>0</v>
      </c>
    </row>
    <row r="597" spans="1:9" x14ac:dyDescent="0.2">
      <c r="A597" s="6">
        <v>44017.708333333336</v>
      </c>
      <c r="B597" s="1" t="s">
        <v>8</v>
      </c>
      <c r="C597">
        <v>3</v>
      </c>
      <c r="D597">
        <v>0</v>
      </c>
      <c r="E597">
        <v>97</v>
      </c>
      <c r="F597">
        <v>1183</v>
      </c>
      <c r="G597" s="3">
        <f t="shared" si="27"/>
        <v>0</v>
      </c>
      <c r="H597" s="4">
        <f t="shared" si="28"/>
        <v>0</v>
      </c>
      <c r="I597" s="1">
        <f t="shared" si="29"/>
        <v>0</v>
      </c>
    </row>
    <row r="598" spans="1:9" x14ac:dyDescent="0.2">
      <c r="A598" s="6">
        <v>44018.708333333336</v>
      </c>
      <c r="B598" s="1" t="s">
        <v>8</v>
      </c>
      <c r="C598">
        <v>4</v>
      </c>
      <c r="D598">
        <v>0</v>
      </c>
      <c r="E598">
        <v>97</v>
      </c>
      <c r="F598">
        <v>1183</v>
      </c>
      <c r="G598" s="3">
        <f t="shared" si="27"/>
        <v>0</v>
      </c>
      <c r="H598" s="4">
        <f t="shared" si="28"/>
        <v>0</v>
      </c>
      <c r="I598" s="1">
        <f t="shared" si="29"/>
        <v>0</v>
      </c>
    </row>
    <row r="599" spans="1:9" x14ac:dyDescent="0.2">
      <c r="A599" s="6">
        <v>44019.708333333336</v>
      </c>
      <c r="B599" s="1" t="s">
        <v>8</v>
      </c>
      <c r="C599">
        <v>4</v>
      </c>
      <c r="D599">
        <v>0</v>
      </c>
      <c r="E599">
        <v>97</v>
      </c>
      <c r="F599">
        <v>1184</v>
      </c>
      <c r="G599" s="3">
        <f t="shared" si="27"/>
        <v>1</v>
      </c>
      <c r="H599" s="4">
        <f t="shared" si="28"/>
        <v>8.445945945946276E-4</v>
      </c>
      <c r="I599" s="1">
        <f t="shared" si="29"/>
        <v>0</v>
      </c>
    </row>
    <row r="600" spans="1:9" x14ac:dyDescent="0.2">
      <c r="A600" s="6">
        <v>44020.708333333336</v>
      </c>
      <c r="B600" s="1" t="s">
        <v>8</v>
      </c>
      <c r="C600">
        <v>4</v>
      </c>
      <c r="D600">
        <v>0</v>
      </c>
      <c r="E600">
        <v>97</v>
      </c>
      <c r="F600">
        <v>1185</v>
      </c>
      <c r="G600" s="3">
        <f t="shared" si="27"/>
        <v>1</v>
      </c>
      <c r="H600" s="4">
        <f t="shared" si="28"/>
        <v>8.4388185654005188E-4</v>
      </c>
      <c r="I600" s="1">
        <f t="shared" si="29"/>
        <v>0</v>
      </c>
    </row>
    <row r="601" spans="1:9" x14ac:dyDescent="0.2">
      <c r="A601" s="6">
        <v>44021.708333333336</v>
      </c>
      <c r="B601" s="1" t="s">
        <v>8</v>
      </c>
      <c r="C601">
        <v>4</v>
      </c>
      <c r="D601">
        <v>0</v>
      </c>
      <c r="E601">
        <v>97</v>
      </c>
      <c r="F601">
        <v>1185</v>
      </c>
      <c r="G601" s="3">
        <f t="shared" si="27"/>
        <v>0</v>
      </c>
      <c r="H601" s="4">
        <f t="shared" si="28"/>
        <v>0</v>
      </c>
      <c r="I601" s="1">
        <f t="shared" si="29"/>
        <v>0</v>
      </c>
    </row>
    <row r="602" spans="1:9" x14ac:dyDescent="0.2">
      <c r="A602" s="6">
        <v>44022.708333333336</v>
      </c>
      <c r="B602" s="1" t="s">
        <v>8</v>
      </c>
      <c r="C602">
        <v>4</v>
      </c>
      <c r="D602">
        <v>0</v>
      </c>
      <c r="E602">
        <v>97</v>
      </c>
      <c r="F602">
        <v>1186</v>
      </c>
      <c r="G602" s="3">
        <f t="shared" si="27"/>
        <v>1</v>
      </c>
      <c r="H602" s="4">
        <f t="shared" si="28"/>
        <v>8.4317032040470696E-4</v>
      </c>
      <c r="I602" s="1">
        <f t="shared" si="29"/>
        <v>0</v>
      </c>
    </row>
    <row r="603" spans="1:9" x14ac:dyDescent="0.2">
      <c r="A603" s="6">
        <v>44023.708333333336</v>
      </c>
      <c r="B603" s="1" t="s">
        <v>8</v>
      </c>
      <c r="C603">
        <v>4</v>
      </c>
      <c r="D603">
        <v>0</v>
      </c>
      <c r="E603">
        <v>97</v>
      </c>
      <c r="F603">
        <v>1188</v>
      </c>
      <c r="G603" s="3">
        <f t="shared" si="27"/>
        <v>2</v>
      </c>
      <c r="H603" s="4">
        <f t="shared" si="28"/>
        <v>1.6835016835017313E-3</v>
      </c>
      <c r="I603" s="1">
        <f t="shared" si="29"/>
        <v>0</v>
      </c>
    </row>
    <row r="604" spans="1:9" x14ac:dyDescent="0.2">
      <c r="A604" s="6">
        <v>44024.708333333336</v>
      </c>
      <c r="B604" s="1" t="s">
        <v>8</v>
      </c>
      <c r="C604">
        <v>4</v>
      </c>
      <c r="D604">
        <v>0</v>
      </c>
      <c r="E604">
        <v>97</v>
      </c>
      <c r="F604">
        <v>1216</v>
      </c>
      <c r="G604" s="3">
        <f t="shared" si="27"/>
        <v>28</v>
      </c>
      <c r="H604" s="4">
        <f t="shared" si="28"/>
        <v>2.3026315789473673E-2</v>
      </c>
      <c r="I604" s="1">
        <f t="shared" si="29"/>
        <v>0</v>
      </c>
    </row>
    <row r="605" spans="1:9" x14ac:dyDescent="0.2">
      <c r="A605" s="6">
        <v>44025.708333333336</v>
      </c>
      <c r="B605" s="1" t="s">
        <v>8</v>
      </c>
      <c r="C605">
        <v>4</v>
      </c>
      <c r="D605">
        <v>0</v>
      </c>
      <c r="E605">
        <v>97</v>
      </c>
      <c r="F605">
        <v>1216</v>
      </c>
      <c r="G605" s="3">
        <f t="shared" si="27"/>
        <v>0</v>
      </c>
      <c r="H605" s="4">
        <f t="shared" si="28"/>
        <v>0</v>
      </c>
      <c r="I605" s="1">
        <f t="shared" si="29"/>
        <v>0</v>
      </c>
    </row>
    <row r="606" spans="1:9" x14ac:dyDescent="0.2">
      <c r="A606" s="6">
        <v>44026.708333333336</v>
      </c>
      <c r="B606" s="1" t="s">
        <v>8</v>
      </c>
      <c r="C606">
        <v>5</v>
      </c>
      <c r="D606">
        <v>0</v>
      </c>
      <c r="E606">
        <v>97</v>
      </c>
      <c r="F606">
        <v>1216</v>
      </c>
      <c r="G606" s="3">
        <f t="shared" si="27"/>
        <v>0</v>
      </c>
      <c r="H606" s="4">
        <f t="shared" si="28"/>
        <v>0</v>
      </c>
      <c r="I606" s="1">
        <f t="shared" si="29"/>
        <v>0</v>
      </c>
    </row>
    <row r="607" spans="1:9" x14ac:dyDescent="0.2">
      <c r="A607" s="6">
        <v>44027.708333333336</v>
      </c>
      <c r="B607" s="1" t="s">
        <v>8</v>
      </c>
      <c r="C607">
        <v>5</v>
      </c>
      <c r="D607">
        <v>0</v>
      </c>
      <c r="E607">
        <v>97</v>
      </c>
      <c r="F607">
        <v>1218</v>
      </c>
      <c r="G607" s="3">
        <f t="shared" si="27"/>
        <v>2</v>
      </c>
      <c r="H607" s="4">
        <f t="shared" si="28"/>
        <v>1.6420361247947435E-3</v>
      </c>
      <c r="I607" s="1">
        <f t="shared" si="29"/>
        <v>0</v>
      </c>
    </row>
    <row r="608" spans="1:9" x14ac:dyDescent="0.2">
      <c r="A608" s="6">
        <v>44028.708333333336</v>
      </c>
      <c r="B608" s="1" t="s">
        <v>8</v>
      </c>
      <c r="C608">
        <v>5</v>
      </c>
      <c r="D608">
        <v>0</v>
      </c>
      <c r="E608">
        <v>97</v>
      </c>
      <c r="F608">
        <v>1226</v>
      </c>
      <c r="G608" s="3">
        <f t="shared" si="27"/>
        <v>8</v>
      </c>
      <c r="H608" s="4">
        <f t="shared" si="28"/>
        <v>6.525285481239762E-3</v>
      </c>
      <c r="I608" s="1">
        <f t="shared" si="29"/>
        <v>0</v>
      </c>
    </row>
    <row r="609" spans="1:9" x14ac:dyDescent="0.2">
      <c r="A609" s="6">
        <v>44029.708333333336</v>
      </c>
      <c r="B609" s="1" t="s">
        <v>8</v>
      </c>
      <c r="C609">
        <v>6</v>
      </c>
      <c r="D609">
        <v>0</v>
      </c>
      <c r="E609">
        <v>97</v>
      </c>
      <c r="F609">
        <v>1231</v>
      </c>
      <c r="G609" s="3">
        <f t="shared" si="27"/>
        <v>5</v>
      </c>
      <c r="H609" s="4">
        <f t="shared" si="28"/>
        <v>4.0617384240454468E-3</v>
      </c>
      <c r="I609" s="1">
        <f t="shared" si="29"/>
        <v>0</v>
      </c>
    </row>
    <row r="610" spans="1:9" x14ac:dyDescent="0.2">
      <c r="A610" s="6">
        <v>44030.708333333336</v>
      </c>
      <c r="B610" s="1" t="s">
        <v>8</v>
      </c>
      <c r="C610">
        <v>5</v>
      </c>
      <c r="D610">
        <v>0</v>
      </c>
      <c r="E610">
        <v>97</v>
      </c>
      <c r="F610">
        <v>1238</v>
      </c>
      <c r="G610" s="3">
        <f t="shared" si="27"/>
        <v>7</v>
      </c>
      <c r="H610" s="4">
        <f t="shared" si="28"/>
        <v>5.6542810985460434E-3</v>
      </c>
      <c r="I610" s="1">
        <f t="shared" si="29"/>
        <v>0</v>
      </c>
    </row>
    <row r="611" spans="1:9" x14ac:dyDescent="0.2">
      <c r="A611" s="6">
        <v>44031.708333333336</v>
      </c>
      <c r="B611" s="1" t="s">
        <v>8</v>
      </c>
      <c r="C611">
        <v>4</v>
      </c>
      <c r="D611">
        <v>0</v>
      </c>
      <c r="E611">
        <v>97</v>
      </c>
      <c r="F611">
        <v>1239</v>
      </c>
      <c r="G611" s="3">
        <f t="shared" si="27"/>
        <v>1</v>
      </c>
      <c r="H611" s="4">
        <f t="shared" si="28"/>
        <v>8.0710250201776468E-4</v>
      </c>
      <c r="I611" s="1">
        <f t="shared" si="29"/>
        <v>0</v>
      </c>
    </row>
    <row r="612" spans="1:9" x14ac:dyDescent="0.2">
      <c r="A612" s="6">
        <v>44032.708333333336</v>
      </c>
      <c r="B612" s="1" t="s">
        <v>8</v>
      </c>
      <c r="C612">
        <v>3</v>
      </c>
      <c r="D612">
        <v>0</v>
      </c>
      <c r="E612">
        <v>97</v>
      </c>
      <c r="F612">
        <v>1239</v>
      </c>
      <c r="G612" s="3">
        <f t="shared" si="27"/>
        <v>0</v>
      </c>
      <c r="H612" s="4">
        <f t="shared" si="28"/>
        <v>0</v>
      </c>
      <c r="I612" s="1">
        <f t="shared" si="29"/>
        <v>0</v>
      </c>
    </row>
    <row r="613" spans="1:9" x14ac:dyDescent="0.2">
      <c r="A613" s="6">
        <v>44033.708333333336</v>
      </c>
      <c r="B613" s="1" t="s">
        <v>8</v>
      </c>
      <c r="C613">
        <v>3</v>
      </c>
      <c r="D613">
        <v>0</v>
      </c>
      <c r="E613">
        <v>97</v>
      </c>
      <c r="F613">
        <v>1239</v>
      </c>
      <c r="G613" s="3">
        <f t="shared" si="27"/>
        <v>0</v>
      </c>
      <c r="H613" s="4">
        <f t="shared" si="28"/>
        <v>0</v>
      </c>
      <c r="I613" s="1">
        <f t="shared" si="29"/>
        <v>0</v>
      </c>
    </row>
    <row r="614" spans="1:9" x14ac:dyDescent="0.2">
      <c r="A614" s="6">
        <v>44034.708333333336</v>
      </c>
      <c r="B614" s="1" t="s">
        <v>8</v>
      </c>
      <c r="C614">
        <v>3</v>
      </c>
      <c r="D614">
        <v>0</v>
      </c>
      <c r="E614">
        <v>97</v>
      </c>
      <c r="F614">
        <v>1243</v>
      </c>
      <c r="G614" s="3">
        <f t="shared" si="27"/>
        <v>4</v>
      </c>
      <c r="H614" s="4">
        <f t="shared" si="28"/>
        <v>3.2180209171359664E-3</v>
      </c>
      <c r="I614" s="1">
        <f t="shared" si="29"/>
        <v>0</v>
      </c>
    </row>
    <row r="615" spans="1:9" x14ac:dyDescent="0.2">
      <c r="A615" s="6">
        <v>44035.708333333336</v>
      </c>
      <c r="B615" s="1" t="s">
        <v>8</v>
      </c>
      <c r="C615">
        <v>3</v>
      </c>
      <c r="D615">
        <v>0</v>
      </c>
      <c r="E615">
        <v>97</v>
      </c>
      <c r="F615">
        <v>1245</v>
      </c>
      <c r="G615" s="3">
        <f t="shared" si="27"/>
        <v>2</v>
      </c>
      <c r="H615" s="4">
        <f t="shared" si="28"/>
        <v>1.6064257028112205E-3</v>
      </c>
      <c r="I615" s="1">
        <f t="shared" si="29"/>
        <v>0</v>
      </c>
    </row>
    <row r="616" spans="1:9" x14ac:dyDescent="0.2">
      <c r="A616" s="6">
        <v>44036.708333333336</v>
      </c>
      <c r="B616" s="1" t="s">
        <v>8</v>
      </c>
      <c r="C616">
        <v>3</v>
      </c>
      <c r="D616">
        <v>0</v>
      </c>
      <c r="E616">
        <v>97</v>
      </c>
      <c r="F616">
        <v>1246</v>
      </c>
      <c r="G616" s="3">
        <f t="shared" si="27"/>
        <v>1</v>
      </c>
      <c r="H616" s="4">
        <f t="shared" si="28"/>
        <v>8.0256821829860492E-4</v>
      </c>
      <c r="I616" s="1">
        <f t="shared" si="29"/>
        <v>0</v>
      </c>
    </row>
    <row r="617" spans="1:9" x14ac:dyDescent="0.2">
      <c r="A617" s="6">
        <v>44037.708333333336</v>
      </c>
      <c r="B617" s="1" t="s">
        <v>8</v>
      </c>
      <c r="C617">
        <v>3</v>
      </c>
      <c r="D617">
        <v>0</v>
      </c>
      <c r="E617">
        <v>97</v>
      </c>
      <c r="F617">
        <v>1247</v>
      </c>
      <c r="G617" s="3">
        <f t="shared" si="27"/>
        <v>1</v>
      </c>
      <c r="H617" s="4">
        <f t="shared" si="28"/>
        <v>8.0192461908579205E-4</v>
      </c>
      <c r="I617" s="1">
        <f t="shared" si="29"/>
        <v>0</v>
      </c>
    </row>
    <row r="618" spans="1:9" x14ac:dyDescent="0.2">
      <c r="A618" s="6">
        <v>44038.708333333336</v>
      </c>
      <c r="B618" s="1" t="s">
        <v>8</v>
      </c>
      <c r="C618">
        <v>3</v>
      </c>
      <c r="D618">
        <v>0</v>
      </c>
      <c r="E618">
        <v>97</v>
      </c>
      <c r="F618">
        <v>1247</v>
      </c>
      <c r="G618" s="3">
        <f t="shared" si="27"/>
        <v>0</v>
      </c>
      <c r="H618" s="4">
        <f t="shared" si="28"/>
        <v>0</v>
      </c>
      <c r="I618" s="1">
        <f t="shared" si="29"/>
        <v>0</v>
      </c>
    </row>
    <row r="619" spans="1:9" x14ac:dyDescent="0.2">
      <c r="A619" s="6">
        <v>44039.708333333336</v>
      </c>
      <c r="B619" s="1" t="s">
        <v>8</v>
      </c>
      <c r="C619">
        <v>3</v>
      </c>
      <c r="D619">
        <v>0</v>
      </c>
      <c r="E619">
        <v>97</v>
      </c>
      <c r="F619">
        <v>1247</v>
      </c>
      <c r="G619" s="3">
        <f t="shared" si="27"/>
        <v>0</v>
      </c>
      <c r="H619" s="4">
        <f t="shared" si="28"/>
        <v>0</v>
      </c>
      <c r="I619" s="1">
        <f t="shared" si="29"/>
        <v>0</v>
      </c>
    </row>
    <row r="620" spans="1:9" x14ac:dyDescent="0.2">
      <c r="A620" s="6">
        <v>44040.708333333336</v>
      </c>
      <c r="B620" s="1" t="s">
        <v>8</v>
      </c>
      <c r="C620">
        <v>3</v>
      </c>
      <c r="D620">
        <v>0</v>
      </c>
      <c r="E620">
        <v>97</v>
      </c>
      <c r="F620">
        <v>1252</v>
      </c>
      <c r="G620" s="3">
        <f t="shared" si="27"/>
        <v>5</v>
      </c>
      <c r="H620" s="4">
        <f t="shared" si="28"/>
        <v>3.9936102236421966E-3</v>
      </c>
      <c r="I620" s="1">
        <f t="shared" si="29"/>
        <v>0</v>
      </c>
    </row>
    <row r="621" spans="1:9" x14ac:dyDescent="0.2">
      <c r="A621" s="6">
        <v>44041.708333333336</v>
      </c>
      <c r="B621" s="1" t="s">
        <v>8</v>
      </c>
      <c r="C621">
        <v>3</v>
      </c>
      <c r="D621">
        <v>0</v>
      </c>
      <c r="E621">
        <v>97</v>
      </c>
      <c r="F621">
        <v>1255</v>
      </c>
      <c r="G621" s="3">
        <f t="shared" si="27"/>
        <v>3</v>
      </c>
      <c r="H621" s="4">
        <f t="shared" si="28"/>
        <v>2.3904382470119057E-3</v>
      </c>
      <c r="I621" s="1">
        <f t="shared" si="29"/>
        <v>0</v>
      </c>
    </row>
    <row r="622" spans="1:9" x14ac:dyDescent="0.2">
      <c r="A622" s="6">
        <v>44042.708333333336</v>
      </c>
      <c r="B622" s="1" t="s">
        <v>8</v>
      </c>
      <c r="C622">
        <v>3</v>
      </c>
      <c r="D622">
        <v>1</v>
      </c>
      <c r="E622">
        <v>97</v>
      </c>
      <c r="F622">
        <v>1262</v>
      </c>
      <c r="G622" s="3">
        <f t="shared" si="27"/>
        <v>7</v>
      </c>
      <c r="H622" s="4">
        <f t="shared" si="28"/>
        <v>5.5467511885894938E-3</v>
      </c>
      <c r="I622" s="1">
        <f t="shared" si="29"/>
        <v>0</v>
      </c>
    </row>
    <row r="623" spans="1:9" x14ac:dyDescent="0.2">
      <c r="A623" s="6">
        <v>44043.708333333336</v>
      </c>
      <c r="B623" s="1" t="s">
        <v>8</v>
      </c>
      <c r="C623">
        <v>3</v>
      </c>
      <c r="D623">
        <v>1</v>
      </c>
      <c r="E623">
        <v>97</v>
      </c>
      <c r="F623">
        <v>1266</v>
      </c>
      <c r="G623" s="3">
        <f t="shared" si="27"/>
        <v>4</v>
      </c>
      <c r="H623" s="4">
        <f t="shared" si="28"/>
        <v>3.1595576619273258E-3</v>
      </c>
      <c r="I623" s="1">
        <f t="shared" si="29"/>
        <v>0</v>
      </c>
    </row>
    <row r="624" spans="1:9" x14ac:dyDescent="0.2">
      <c r="A624" s="6">
        <v>44044.708333333336</v>
      </c>
      <c r="B624" s="1" t="s">
        <v>8</v>
      </c>
      <c r="C624">
        <v>4</v>
      </c>
      <c r="D624">
        <v>1</v>
      </c>
      <c r="E624">
        <v>97</v>
      </c>
      <c r="F624">
        <v>1269</v>
      </c>
      <c r="G624" s="3">
        <f t="shared" si="27"/>
        <v>3</v>
      </c>
      <c r="H624" s="4">
        <f t="shared" si="28"/>
        <v>2.3640661938534313E-3</v>
      </c>
      <c r="I624" s="1">
        <f t="shared" si="29"/>
        <v>0</v>
      </c>
    </row>
    <row r="625" spans="1:9" x14ac:dyDescent="0.2">
      <c r="A625" s="6">
        <v>44045.708333333336</v>
      </c>
      <c r="B625" s="1" t="s">
        <v>8</v>
      </c>
      <c r="C625">
        <v>5</v>
      </c>
      <c r="D625">
        <v>1</v>
      </c>
      <c r="E625">
        <v>97</v>
      </c>
      <c r="F625">
        <v>1270</v>
      </c>
      <c r="G625" s="3">
        <f t="shared" si="27"/>
        <v>1</v>
      </c>
      <c r="H625" s="4">
        <f t="shared" si="28"/>
        <v>7.8740157480317041E-4</v>
      </c>
      <c r="I625" s="1">
        <f t="shared" si="29"/>
        <v>0</v>
      </c>
    </row>
    <row r="626" spans="1:9" x14ac:dyDescent="0.2">
      <c r="A626" s="6">
        <v>44046.708333333336</v>
      </c>
      <c r="B626" s="1" t="s">
        <v>8</v>
      </c>
      <c r="C626">
        <v>5</v>
      </c>
      <c r="D626">
        <v>1</v>
      </c>
      <c r="E626">
        <v>97</v>
      </c>
      <c r="F626">
        <v>1270</v>
      </c>
      <c r="G626" s="3">
        <f t="shared" si="27"/>
        <v>0</v>
      </c>
      <c r="H626" s="4">
        <f t="shared" si="28"/>
        <v>0</v>
      </c>
      <c r="I626" s="1">
        <f t="shared" si="29"/>
        <v>0</v>
      </c>
    </row>
    <row r="627" spans="1:9" x14ac:dyDescent="0.2">
      <c r="A627" s="6">
        <v>44047.708333333336</v>
      </c>
      <c r="B627" s="1" t="s">
        <v>8</v>
      </c>
      <c r="C627">
        <v>6</v>
      </c>
      <c r="D627">
        <v>1</v>
      </c>
      <c r="E627">
        <v>97</v>
      </c>
      <c r="F627">
        <v>1272</v>
      </c>
      <c r="G627" s="3">
        <f t="shared" si="27"/>
        <v>2</v>
      </c>
      <c r="H627" s="4">
        <f t="shared" si="28"/>
        <v>1.5723270440252124E-3</v>
      </c>
      <c r="I627" s="1">
        <f t="shared" si="29"/>
        <v>0</v>
      </c>
    </row>
    <row r="628" spans="1:9" x14ac:dyDescent="0.2">
      <c r="A628" s="6">
        <v>44048.708333333336</v>
      </c>
      <c r="B628" s="1" t="s">
        <v>8</v>
      </c>
      <c r="C628">
        <v>6</v>
      </c>
      <c r="D628">
        <v>1</v>
      </c>
      <c r="E628">
        <v>97</v>
      </c>
      <c r="F628">
        <v>1274</v>
      </c>
      <c r="G628" s="3">
        <f t="shared" si="27"/>
        <v>2</v>
      </c>
      <c r="H628" s="4">
        <f t="shared" si="28"/>
        <v>1.5698587127158659E-3</v>
      </c>
      <c r="I628" s="1">
        <f t="shared" si="29"/>
        <v>0</v>
      </c>
    </row>
    <row r="629" spans="1:9" x14ac:dyDescent="0.2">
      <c r="A629" s="6">
        <v>44049.708333333336</v>
      </c>
      <c r="B629" s="1" t="s">
        <v>8</v>
      </c>
      <c r="C629">
        <v>7</v>
      </c>
      <c r="D629">
        <v>1</v>
      </c>
      <c r="E629">
        <v>97</v>
      </c>
      <c r="F629">
        <v>1276</v>
      </c>
      <c r="G629" s="3">
        <f t="shared" si="27"/>
        <v>2</v>
      </c>
      <c r="H629" s="4">
        <f t="shared" si="28"/>
        <v>1.5673981191222097E-3</v>
      </c>
      <c r="I629" s="1">
        <f t="shared" si="29"/>
        <v>0</v>
      </c>
    </row>
    <row r="630" spans="1:9" x14ac:dyDescent="0.2">
      <c r="A630" s="6">
        <v>44050.708333333336</v>
      </c>
      <c r="B630" s="1" t="s">
        <v>8</v>
      </c>
      <c r="C630">
        <v>7</v>
      </c>
      <c r="D630">
        <v>1</v>
      </c>
      <c r="E630">
        <v>97</v>
      </c>
      <c r="F630">
        <v>1283</v>
      </c>
      <c r="G630" s="3">
        <f t="shared" si="27"/>
        <v>7</v>
      </c>
      <c r="H630" s="4">
        <f t="shared" si="28"/>
        <v>5.4559625876851037E-3</v>
      </c>
      <c r="I630" s="1">
        <f t="shared" si="29"/>
        <v>0</v>
      </c>
    </row>
    <row r="631" spans="1:9" x14ac:dyDescent="0.2">
      <c r="A631" s="6">
        <v>44051.708333333336</v>
      </c>
      <c r="B631" s="1" t="s">
        <v>8</v>
      </c>
      <c r="C631">
        <v>9</v>
      </c>
      <c r="D631">
        <v>1</v>
      </c>
      <c r="E631">
        <v>97</v>
      </c>
      <c r="F631">
        <v>1287</v>
      </c>
      <c r="G631" s="3">
        <f t="shared" si="27"/>
        <v>4</v>
      </c>
      <c r="H631" s="4">
        <f t="shared" si="28"/>
        <v>3.1080031080030768E-3</v>
      </c>
      <c r="I631" s="1">
        <f t="shared" si="29"/>
        <v>0</v>
      </c>
    </row>
    <row r="632" spans="1:9" x14ac:dyDescent="0.2">
      <c r="A632" s="6">
        <v>44052.708333333336</v>
      </c>
      <c r="B632" s="1" t="s">
        <v>8</v>
      </c>
      <c r="C632">
        <v>9</v>
      </c>
      <c r="D632">
        <v>1</v>
      </c>
      <c r="E632">
        <v>97</v>
      </c>
      <c r="F632">
        <v>1287</v>
      </c>
      <c r="G632" s="3">
        <f t="shared" si="27"/>
        <v>0</v>
      </c>
      <c r="H632" s="4">
        <f t="shared" si="28"/>
        <v>0</v>
      </c>
      <c r="I632" s="1">
        <f t="shared" si="29"/>
        <v>0</v>
      </c>
    </row>
    <row r="633" spans="1:9" x14ac:dyDescent="0.2">
      <c r="A633" s="6">
        <v>44053.708333333336</v>
      </c>
      <c r="B633" s="1" t="s">
        <v>8</v>
      </c>
      <c r="C633">
        <v>8</v>
      </c>
      <c r="D633">
        <v>1</v>
      </c>
      <c r="E633">
        <v>97</v>
      </c>
      <c r="F633">
        <v>1289</v>
      </c>
      <c r="G633" s="3">
        <f t="shared" si="27"/>
        <v>2</v>
      </c>
      <c r="H633" s="4">
        <f t="shared" si="28"/>
        <v>1.5515903801396336E-3</v>
      </c>
      <c r="I633" s="1">
        <f t="shared" si="29"/>
        <v>0</v>
      </c>
    </row>
    <row r="634" spans="1:9" x14ac:dyDescent="0.2">
      <c r="A634" s="6">
        <v>44054.708333333336</v>
      </c>
      <c r="B634" s="1" t="s">
        <v>8</v>
      </c>
      <c r="C634">
        <v>8</v>
      </c>
      <c r="D634">
        <v>1</v>
      </c>
      <c r="E634">
        <v>97</v>
      </c>
      <c r="F634">
        <v>1300</v>
      </c>
      <c r="G634" s="3">
        <f t="shared" si="27"/>
        <v>11</v>
      </c>
      <c r="H634" s="4">
        <f t="shared" si="28"/>
        <v>8.4615384615384093E-3</v>
      </c>
      <c r="I634" s="1">
        <f t="shared" si="29"/>
        <v>0</v>
      </c>
    </row>
    <row r="635" spans="1:9" x14ac:dyDescent="0.2">
      <c r="A635" s="6">
        <v>44055.708333333336</v>
      </c>
      <c r="B635" s="1" t="s">
        <v>8</v>
      </c>
      <c r="C635">
        <v>8</v>
      </c>
      <c r="D635">
        <v>1</v>
      </c>
      <c r="E635">
        <v>97</v>
      </c>
      <c r="F635">
        <v>1304</v>
      </c>
      <c r="G635" s="3">
        <f t="shared" si="27"/>
        <v>4</v>
      </c>
      <c r="H635" s="4">
        <f t="shared" si="28"/>
        <v>3.0674846625766694E-3</v>
      </c>
      <c r="I635" s="1">
        <f t="shared" si="29"/>
        <v>0</v>
      </c>
    </row>
    <row r="636" spans="1:9" x14ac:dyDescent="0.2">
      <c r="A636" s="6">
        <v>44056.708333333336</v>
      </c>
      <c r="B636" s="1" t="s">
        <v>8</v>
      </c>
      <c r="C636">
        <v>8</v>
      </c>
      <c r="D636">
        <v>1</v>
      </c>
      <c r="E636">
        <v>97</v>
      </c>
      <c r="F636">
        <v>1316</v>
      </c>
      <c r="G636" s="3">
        <f t="shared" si="27"/>
        <v>12</v>
      </c>
      <c r="H636" s="4">
        <f t="shared" si="28"/>
        <v>9.1185410334346795E-3</v>
      </c>
      <c r="I636" s="1">
        <f t="shared" si="29"/>
        <v>0</v>
      </c>
    </row>
    <row r="637" spans="1:9" x14ac:dyDescent="0.2">
      <c r="A637" s="6">
        <v>44057.708333333336</v>
      </c>
      <c r="B637" s="1" t="s">
        <v>8</v>
      </c>
      <c r="C637">
        <v>7</v>
      </c>
      <c r="D637">
        <v>1</v>
      </c>
      <c r="E637">
        <v>97</v>
      </c>
      <c r="F637">
        <v>1335</v>
      </c>
      <c r="G637" s="3">
        <f t="shared" si="27"/>
        <v>19</v>
      </c>
      <c r="H637" s="4">
        <f t="shared" si="28"/>
        <v>1.4232209737827684E-2</v>
      </c>
      <c r="I637" s="1">
        <f t="shared" si="29"/>
        <v>0</v>
      </c>
    </row>
    <row r="638" spans="1:9" x14ac:dyDescent="0.2">
      <c r="A638" s="6">
        <v>44058.708333333336</v>
      </c>
      <c r="B638" s="1" t="s">
        <v>8</v>
      </c>
      <c r="C638">
        <v>8</v>
      </c>
      <c r="D638">
        <v>1</v>
      </c>
      <c r="E638">
        <v>97</v>
      </c>
      <c r="F638">
        <v>1345</v>
      </c>
      <c r="G638" s="3">
        <f t="shared" si="27"/>
        <v>10</v>
      </c>
      <c r="H638" s="4">
        <f t="shared" si="28"/>
        <v>7.4349442379182396E-3</v>
      </c>
      <c r="I638" s="1">
        <f t="shared" si="29"/>
        <v>0</v>
      </c>
    </row>
    <row r="639" spans="1:9" x14ac:dyDescent="0.2">
      <c r="A639" s="6">
        <v>44059.708333333336</v>
      </c>
      <c r="B639" s="1" t="s">
        <v>8</v>
      </c>
      <c r="C639">
        <v>9</v>
      </c>
      <c r="D639">
        <v>1</v>
      </c>
      <c r="E639">
        <v>97</v>
      </c>
      <c r="F639">
        <v>1348</v>
      </c>
      <c r="G639" s="3">
        <f t="shared" si="27"/>
        <v>3</v>
      </c>
      <c r="H639" s="4">
        <f t="shared" si="28"/>
        <v>2.225519287833877E-3</v>
      </c>
      <c r="I639" s="1">
        <f t="shared" si="29"/>
        <v>0</v>
      </c>
    </row>
    <row r="640" spans="1:9" x14ac:dyDescent="0.2">
      <c r="A640" s="6">
        <v>44060.708333333336</v>
      </c>
      <c r="B640" s="1" t="s">
        <v>8</v>
      </c>
      <c r="C640">
        <v>8</v>
      </c>
      <c r="D640">
        <v>1</v>
      </c>
      <c r="E640">
        <v>97</v>
      </c>
      <c r="F640">
        <v>1352</v>
      </c>
      <c r="G640" s="3">
        <f t="shared" si="27"/>
        <v>4</v>
      </c>
      <c r="H640" s="4">
        <f t="shared" si="28"/>
        <v>2.9585798816568198E-3</v>
      </c>
      <c r="I640" s="1">
        <f t="shared" si="29"/>
        <v>0</v>
      </c>
    </row>
    <row r="641" spans="1:9" x14ac:dyDescent="0.2">
      <c r="A641" s="6">
        <v>44061.708333333336</v>
      </c>
      <c r="B641" s="1" t="s">
        <v>8</v>
      </c>
      <c r="C641">
        <v>10</v>
      </c>
      <c r="D641">
        <v>1</v>
      </c>
      <c r="E641">
        <v>97</v>
      </c>
      <c r="F641">
        <v>1357</v>
      </c>
      <c r="G641" s="3">
        <f t="shared" si="27"/>
        <v>5</v>
      </c>
      <c r="H641" s="4">
        <f t="shared" si="28"/>
        <v>3.6845983787766601E-3</v>
      </c>
      <c r="I641" s="1">
        <f t="shared" si="29"/>
        <v>0</v>
      </c>
    </row>
    <row r="642" spans="1:9" x14ac:dyDescent="0.2">
      <c r="A642" s="6">
        <v>44062.708333333336</v>
      </c>
      <c r="B642" s="1" t="s">
        <v>8</v>
      </c>
      <c r="C642">
        <v>10</v>
      </c>
      <c r="D642">
        <v>1</v>
      </c>
      <c r="E642">
        <v>97</v>
      </c>
      <c r="F642">
        <v>1367</v>
      </c>
      <c r="G642" s="3">
        <f t="shared" si="27"/>
        <v>10</v>
      </c>
      <c r="H642" s="4">
        <f t="shared" si="28"/>
        <v>7.3152889539136456E-3</v>
      </c>
      <c r="I642" s="1">
        <f t="shared" si="29"/>
        <v>0</v>
      </c>
    </row>
    <row r="643" spans="1:9" x14ac:dyDescent="0.2">
      <c r="A643" s="6">
        <v>44063.708333333336</v>
      </c>
      <c r="B643" s="1" t="s">
        <v>8</v>
      </c>
      <c r="C643">
        <v>11</v>
      </c>
      <c r="D643">
        <v>1</v>
      </c>
      <c r="E643">
        <v>97</v>
      </c>
      <c r="F643">
        <v>1377</v>
      </c>
      <c r="G643" s="3">
        <f t="shared" ref="G643:G706" si="30">IF(AND(F643&gt;0,AND(B643=B642,F643&gt;0)),F643-F642,0)</f>
        <v>10</v>
      </c>
      <c r="H643" s="4">
        <f t="shared" ref="H643:H706" si="31">IF(AND(F642&gt;0,AND(B643=B642,F642&gt;0)),1-(F642/F643),0)</f>
        <v>7.2621641249092095E-3</v>
      </c>
      <c r="I643" s="1">
        <f t="shared" ref="I643:I706" si="32">IF(AND(E643&gt;0,AND(B643=B642,E643&gt;0)),E643-E642,0)</f>
        <v>0</v>
      </c>
    </row>
    <row r="644" spans="1:9" x14ac:dyDescent="0.2">
      <c r="A644" s="6">
        <v>44064.708333333336</v>
      </c>
      <c r="B644" s="1" t="s">
        <v>8</v>
      </c>
      <c r="C644">
        <v>11</v>
      </c>
      <c r="D644">
        <v>1</v>
      </c>
      <c r="E644">
        <v>97</v>
      </c>
      <c r="F644">
        <v>1379</v>
      </c>
      <c r="G644" s="3">
        <f t="shared" si="30"/>
        <v>2</v>
      </c>
      <c r="H644" s="4">
        <f t="shared" si="31"/>
        <v>1.4503263234227903E-3</v>
      </c>
      <c r="I644" s="1">
        <f t="shared" si="32"/>
        <v>0</v>
      </c>
    </row>
    <row r="645" spans="1:9" x14ac:dyDescent="0.2">
      <c r="A645" s="6">
        <v>44065.708333333336</v>
      </c>
      <c r="B645" s="1" t="s">
        <v>8</v>
      </c>
      <c r="C645">
        <v>11</v>
      </c>
      <c r="D645">
        <v>1</v>
      </c>
      <c r="E645">
        <v>97</v>
      </c>
      <c r="F645">
        <v>1390</v>
      </c>
      <c r="G645" s="3">
        <f t="shared" si="30"/>
        <v>11</v>
      </c>
      <c r="H645" s="4">
        <f t="shared" si="31"/>
        <v>7.9136690647482189E-3</v>
      </c>
      <c r="I645" s="1">
        <f t="shared" si="32"/>
        <v>0</v>
      </c>
    </row>
    <row r="646" spans="1:9" x14ac:dyDescent="0.2">
      <c r="A646" s="6">
        <v>44066.708333333336</v>
      </c>
      <c r="B646" s="1" t="s">
        <v>8</v>
      </c>
      <c r="C646">
        <v>11</v>
      </c>
      <c r="D646">
        <v>1</v>
      </c>
      <c r="E646">
        <v>97</v>
      </c>
      <c r="F646">
        <v>1398</v>
      </c>
      <c r="G646" s="3">
        <f t="shared" si="30"/>
        <v>8</v>
      </c>
      <c r="H646" s="4">
        <f t="shared" si="31"/>
        <v>5.7224606580830173E-3</v>
      </c>
      <c r="I646" s="1">
        <f t="shared" si="32"/>
        <v>0</v>
      </c>
    </row>
    <row r="647" spans="1:9" x14ac:dyDescent="0.2">
      <c r="A647" s="6">
        <v>44067.708333333336</v>
      </c>
      <c r="B647" s="1" t="s">
        <v>8</v>
      </c>
      <c r="C647">
        <v>13</v>
      </c>
      <c r="D647">
        <v>1</v>
      </c>
      <c r="E647">
        <v>97</v>
      </c>
      <c r="F647">
        <v>1400</v>
      </c>
      <c r="G647" s="3">
        <f t="shared" si="30"/>
        <v>2</v>
      </c>
      <c r="H647" s="4">
        <f t="shared" si="31"/>
        <v>1.4285714285714457E-3</v>
      </c>
      <c r="I647" s="1">
        <f t="shared" si="32"/>
        <v>0</v>
      </c>
    </row>
    <row r="648" spans="1:9" x14ac:dyDescent="0.2">
      <c r="A648" s="6">
        <v>44068.708333333336</v>
      </c>
      <c r="B648" s="1" t="s">
        <v>8</v>
      </c>
      <c r="C648">
        <v>14</v>
      </c>
      <c r="D648">
        <v>1</v>
      </c>
      <c r="E648">
        <v>97</v>
      </c>
      <c r="F648">
        <v>1408</v>
      </c>
      <c r="G648" s="3">
        <f t="shared" si="30"/>
        <v>8</v>
      </c>
      <c r="H648" s="4">
        <f t="shared" si="31"/>
        <v>5.6818181818182323E-3</v>
      </c>
      <c r="I648" s="1">
        <f t="shared" si="32"/>
        <v>0</v>
      </c>
    </row>
    <row r="649" spans="1:9" x14ac:dyDescent="0.2">
      <c r="A649" s="6">
        <v>44069.708333333336</v>
      </c>
      <c r="B649" s="1" t="s">
        <v>8</v>
      </c>
      <c r="C649">
        <v>14</v>
      </c>
      <c r="D649">
        <v>0</v>
      </c>
      <c r="E649">
        <v>97</v>
      </c>
      <c r="F649">
        <v>1416</v>
      </c>
      <c r="G649" s="3">
        <f t="shared" si="30"/>
        <v>8</v>
      </c>
      <c r="H649" s="4">
        <f t="shared" si="31"/>
        <v>5.6497175141242417E-3</v>
      </c>
      <c r="I649" s="1">
        <f t="shared" si="32"/>
        <v>0</v>
      </c>
    </row>
    <row r="650" spans="1:9" x14ac:dyDescent="0.2">
      <c r="A650" s="6">
        <v>44070.708333333336</v>
      </c>
      <c r="B650" s="1" t="s">
        <v>8</v>
      </c>
      <c r="C650">
        <v>14</v>
      </c>
      <c r="D650">
        <v>0</v>
      </c>
      <c r="E650">
        <v>97</v>
      </c>
      <c r="F650">
        <v>1422</v>
      </c>
      <c r="G650" s="3">
        <f t="shared" si="30"/>
        <v>6</v>
      </c>
      <c r="H650" s="4">
        <f t="shared" si="31"/>
        <v>4.2194092827003704E-3</v>
      </c>
      <c r="I650" s="1">
        <f t="shared" si="32"/>
        <v>0</v>
      </c>
    </row>
    <row r="651" spans="1:9" x14ac:dyDescent="0.2">
      <c r="A651" s="6">
        <v>44071.708333333336</v>
      </c>
      <c r="B651" s="1" t="s">
        <v>8</v>
      </c>
      <c r="C651">
        <v>14</v>
      </c>
      <c r="D651">
        <v>0</v>
      </c>
      <c r="E651">
        <v>97</v>
      </c>
      <c r="F651">
        <v>1432</v>
      </c>
      <c r="G651" s="3">
        <f t="shared" si="30"/>
        <v>10</v>
      </c>
      <c r="H651" s="4">
        <f t="shared" si="31"/>
        <v>6.9832402234636382E-3</v>
      </c>
      <c r="I651" s="1">
        <f t="shared" si="32"/>
        <v>0</v>
      </c>
    </row>
    <row r="652" spans="1:9" x14ac:dyDescent="0.2">
      <c r="A652" s="6">
        <v>44072.708333333336</v>
      </c>
      <c r="B652" s="1" t="s">
        <v>8</v>
      </c>
      <c r="C652">
        <v>17</v>
      </c>
      <c r="D652">
        <v>0</v>
      </c>
      <c r="E652">
        <v>97</v>
      </c>
      <c r="F652">
        <v>1443</v>
      </c>
      <c r="G652" s="3">
        <f t="shared" si="30"/>
        <v>11</v>
      </c>
      <c r="H652" s="4">
        <f t="shared" si="31"/>
        <v>7.6230076230076049E-3</v>
      </c>
      <c r="I652" s="1">
        <f t="shared" si="32"/>
        <v>0</v>
      </c>
    </row>
    <row r="653" spans="1:9" x14ac:dyDescent="0.2">
      <c r="A653" s="6">
        <v>44073.708333333336</v>
      </c>
      <c r="B653" s="1" t="s">
        <v>8</v>
      </c>
      <c r="C653">
        <v>17</v>
      </c>
      <c r="D653">
        <v>0</v>
      </c>
      <c r="E653">
        <v>97</v>
      </c>
      <c r="F653">
        <v>1477</v>
      </c>
      <c r="G653" s="3">
        <f t="shared" si="30"/>
        <v>34</v>
      </c>
      <c r="H653" s="4">
        <f t="shared" si="31"/>
        <v>2.3019634394041977E-2</v>
      </c>
      <c r="I653" s="1">
        <f t="shared" si="32"/>
        <v>0</v>
      </c>
    </row>
    <row r="654" spans="1:9" x14ac:dyDescent="0.2">
      <c r="A654" s="6">
        <v>44074.708333333336</v>
      </c>
      <c r="B654" s="1" t="s">
        <v>8</v>
      </c>
      <c r="C654">
        <v>21</v>
      </c>
      <c r="D654">
        <v>0</v>
      </c>
      <c r="E654">
        <v>97</v>
      </c>
      <c r="F654">
        <v>1491</v>
      </c>
      <c r="G654" s="3">
        <f t="shared" si="30"/>
        <v>14</v>
      </c>
      <c r="H654" s="4">
        <f t="shared" si="31"/>
        <v>9.3896713615023719E-3</v>
      </c>
      <c r="I654" s="1">
        <f t="shared" si="32"/>
        <v>0</v>
      </c>
    </row>
    <row r="655" spans="1:9" x14ac:dyDescent="0.2">
      <c r="A655" s="6">
        <v>44075.708333333336</v>
      </c>
      <c r="B655" s="1" t="s">
        <v>8</v>
      </c>
      <c r="C655">
        <v>22</v>
      </c>
      <c r="D655">
        <v>0</v>
      </c>
      <c r="E655">
        <v>97</v>
      </c>
      <c r="F655">
        <v>1513</v>
      </c>
      <c r="G655" s="3">
        <f t="shared" si="30"/>
        <v>22</v>
      </c>
      <c r="H655" s="4">
        <f t="shared" si="31"/>
        <v>1.4540647719762045E-2</v>
      </c>
      <c r="I655" s="1">
        <f t="shared" si="32"/>
        <v>0</v>
      </c>
    </row>
    <row r="656" spans="1:9" x14ac:dyDescent="0.2">
      <c r="A656" s="6">
        <v>44076.708333333336</v>
      </c>
      <c r="B656" s="1" t="s">
        <v>8</v>
      </c>
      <c r="C656">
        <v>21</v>
      </c>
      <c r="D656">
        <v>0</v>
      </c>
      <c r="E656">
        <v>97</v>
      </c>
      <c r="F656">
        <v>1545</v>
      </c>
      <c r="G656" s="3">
        <f t="shared" si="30"/>
        <v>32</v>
      </c>
      <c r="H656" s="4">
        <f t="shared" si="31"/>
        <v>2.0711974110032338E-2</v>
      </c>
      <c r="I656" s="1">
        <f t="shared" si="32"/>
        <v>0</v>
      </c>
    </row>
    <row r="657" spans="1:9" x14ac:dyDescent="0.2">
      <c r="A657" s="6">
        <v>44077.708333333336</v>
      </c>
      <c r="B657" s="1" t="s">
        <v>8</v>
      </c>
      <c r="C657">
        <v>20</v>
      </c>
      <c r="D657">
        <v>1</v>
      </c>
      <c r="E657">
        <v>97</v>
      </c>
      <c r="F657">
        <v>1558</v>
      </c>
      <c r="G657" s="3">
        <f t="shared" si="30"/>
        <v>13</v>
      </c>
      <c r="H657" s="4">
        <f t="shared" si="31"/>
        <v>8.3440308087291415E-3</v>
      </c>
      <c r="I657" s="1">
        <f t="shared" si="32"/>
        <v>0</v>
      </c>
    </row>
    <row r="658" spans="1:9" x14ac:dyDescent="0.2">
      <c r="A658" s="6">
        <v>44078.708333333336</v>
      </c>
      <c r="B658" s="1" t="s">
        <v>8</v>
      </c>
      <c r="C658">
        <v>19</v>
      </c>
      <c r="D658">
        <v>1</v>
      </c>
      <c r="E658">
        <v>97</v>
      </c>
      <c r="F658">
        <v>1577</v>
      </c>
      <c r="G658" s="3">
        <f t="shared" si="30"/>
        <v>19</v>
      </c>
      <c r="H658" s="4">
        <f t="shared" si="31"/>
        <v>1.2048192771084376E-2</v>
      </c>
      <c r="I658" s="1">
        <f t="shared" si="32"/>
        <v>0</v>
      </c>
    </row>
    <row r="659" spans="1:9" x14ac:dyDescent="0.2">
      <c r="A659" s="6">
        <v>44079.708333333336</v>
      </c>
      <c r="B659" s="1" t="s">
        <v>8</v>
      </c>
      <c r="C659">
        <v>20</v>
      </c>
      <c r="D659">
        <v>0</v>
      </c>
      <c r="E659">
        <v>98</v>
      </c>
      <c r="F659">
        <v>1596</v>
      </c>
      <c r="G659" s="3">
        <f t="shared" si="30"/>
        <v>19</v>
      </c>
      <c r="H659" s="4">
        <f t="shared" si="31"/>
        <v>1.1904761904761862E-2</v>
      </c>
      <c r="I659" s="1">
        <f t="shared" si="32"/>
        <v>1</v>
      </c>
    </row>
    <row r="660" spans="1:9" x14ac:dyDescent="0.2">
      <c r="A660" s="6">
        <v>44080.708333333336</v>
      </c>
      <c r="B660" s="1" t="s">
        <v>8</v>
      </c>
      <c r="C660">
        <v>25</v>
      </c>
      <c r="D660">
        <v>0</v>
      </c>
      <c r="E660">
        <v>98</v>
      </c>
      <c r="F660">
        <v>1623</v>
      </c>
      <c r="G660" s="3">
        <f t="shared" si="30"/>
        <v>27</v>
      </c>
      <c r="H660" s="4">
        <f t="shared" si="31"/>
        <v>1.6635859519408491E-2</v>
      </c>
      <c r="I660" s="1">
        <f t="shared" si="32"/>
        <v>0</v>
      </c>
    </row>
    <row r="661" spans="1:9" x14ac:dyDescent="0.2">
      <c r="A661" s="6">
        <v>44081.708333333336</v>
      </c>
      <c r="B661" s="1" t="s">
        <v>8</v>
      </c>
      <c r="C661">
        <v>29</v>
      </c>
      <c r="D661">
        <v>1</v>
      </c>
      <c r="E661">
        <v>98</v>
      </c>
      <c r="F661">
        <v>1640</v>
      </c>
      <c r="G661" s="3">
        <f t="shared" si="30"/>
        <v>17</v>
      </c>
      <c r="H661" s="4">
        <f t="shared" si="31"/>
        <v>1.0365853658536595E-2</v>
      </c>
      <c r="I661" s="1">
        <f t="shared" si="32"/>
        <v>0</v>
      </c>
    </row>
    <row r="662" spans="1:9" x14ac:dyDescent="0.2">
      <c r="A662" s="6">
        <v>44082.708333333336</v>
      </c>
      <c r="B662" s="1" t="s">
        <v>8</v>
      </c>
      <c r="C662">
        <v>29</v>
      </c>
      <c r="D662">
        <v>1</v>
      </c>
      <c r="E662">
        <v>98</v>
      </c>
      <c r="F662">
        <v>1648</v>
      </c>
      <c r="G662" s="3">
        <f t="shared" si="30"/>
        <v>8</v>
      </c>
      <c r="H662" s="4">
        <f t="shared" si="31"/>
        <v>4.8543689320388328E-3</v>
      </c>
      <c r="I662" s="1">
        <f t="shared" si="32"/>
        <v>0</v>
      </c>
    </row>
    <row r="663" spans="1:9" x14ac:dyDescent="0.2">
      <c r="A663" s="6">
        <v>44083.708333333336</v>
      </c>
      <c r="B663" s="1" t="s">
        <v>8</v>
      </c>
      <c r="C663">
        <v>27</v>
      </c>
      <c r="D663">
        <v>2</v>
      </c>
      <c r="E663">
        <v>98</v>
      </c>
      <c r="F663">
        <v>1667</v>
      </c>
      <c r="G663" s="3">
        <f t="shared" si="30"/>
        <v>19</v>
      </c>
      <c r="H663" s="4">
        <f t="shared" si="31"/>
        <v>1.1397720455908811E-2</v>
      </c>
      <c r="I663" s="1">
        <f t="shared" si="32"/>
        <v>0</v>
      </c>
    </row>
    <row r="664" spans="1:9" x14ac:dyDescent="0.2">
      <c r="A664" s="6">
        <v>44084.708333333336</v>
      </c>
      <c r="B664" s="1" t="s">
        <v>8</v>
      </c>
      <c r="C664">
        <v>28</v>
      </c>
      <c r="D664">
        <v>3</v>
      </c>
      <c r="E664">
        <v>98</v>
      </c>
      <c r="F664">
        <v>1675</v>
      </c>
      <c r="G664" s="3">
        <f t="shared" si="30"/>
        <v>8</v>
      </c>
      <c r="H664" s="4">
        <f t="shared" si="31"/>
        <v>4.7761194029850573E-3</v>
      </c>
      <c r="I664" s="1">
        <f t="shared" si="32"/>
        <v>0</v>
      </c>
    </row>
    <row r="665" spans="1:9" x14ac:dyDescent="0.2">
      <c r="A665" s="6">
        <v>44085.708333333336</v>
      </c>
      <c r="B665" s="1" t="s">
        <v>8</v>
      </c>
      <c r="C665">
        <v>28</v>
      </c>
      <c r="D665">
        <v>3</v>
      </c>
      <c r="E665">
        <v>98</v>
      </c>
      <c r="F665">
        <v>1683</v>
      </c>
      <c r="G665" s="3">
        <f t="shared" si="30"/>
        <v>8</v>
      </c>
      <c r="H665" s="4">
        <f t="shared" si="31"/>
        <v>4.7534165181224441E-3</v>
      </c>
      <c r="I665" s="1">
        <f t="shared" si="32"/>
        <v>0</v>
      </c>
    </row>
    <row r="666" spans="1:9" x14ac:dyDescent="0.2">
      <c r="A666" s="6">
        <v>44086.708333333336</v>
      </c>
      <c r="B666" s="1" t="s">
        <v>8</v>
      </c>
      <c r="C666">
        <v>28</v>
      </c>
      <c r="D666">
        <v>3</v>
      </c>
      <c r="E666">
        <v>98</v>
      </c>
      <c r="F666">
        <v>1701</v>
      </c>
      <c r="G666" s="3">
        <f t="shared" si="30"/>
        <v>18</v>
      </c>
      <c r="H666" s="4">
        <f t="shared" si="31"/>
        <v>1.0582010582010581E-2</v>
      </c>
      <c r="I666" s="1">
        <f t="shared" si="32"/>
        <v>0</v>
      </c>
    </row>
    <row r="667" spans="1:9" x14ac:dyDescent="0.2">
      <c r="A667" s="6">
        <v>44087.708333333336</v>
      </c>
      <c r="B667" s="1" t="s">
        <v>8</v>
      </c>
      <c r="C667">
        <v>29</v>
      </c>
      <c r="D667">
        <v>3</v>
      </c>
      <c r="E667">
        <v>98</v>
      </c>
      <c r="F667">
        <v>1715</v>
      </c>
      <c r="G667" s="3">
        <f t="shared" si="30"/>
        <v>14</v>
      </c>
      <c r="H667" s="4">
        <f t="shared" si="31"/>
        <v>8.1632653061224358E-3</v>
      </c>
      <c r="I667" s="1">
        <f t="shared" si="32"/>
        <v>0</v>
      </c>
    </row>
    <row r="668" spans="1:9" x14ac:dyDescent="0.2">
      <c r="A668" s="6">
        <v>44088.708333333336</v>
      </c>
      <c r="B668" s="1" t="s">
        <v>8</v>
      </c>
      <c r="C668">
        <v>29</v>
      </c>
      <c r="D668">
        <v>2</v>
      </c>
      <c r="E668">
        <v>98</v>
      </c>
      <c r="F668">
        <v>1718</v>
      </c>
      <c r="G668" s="3">
        <f t="shared" si="30"/>
        <v>3</v>
      </c>
      <c r="H668" s="4">
        <f t="shared" si="31"/>
        <v>1.7462165308498312E-3</v>
      </c>
      <c r="I668" s="1">
        <f t="shared" si="32"/>
        <v>0</v>
      </c>
    </row>
    <row r="669" spans="1:9" x14ac:dyDescent="0.2">
      <c r="A669" s="6">
        <v>44089.708333333336</v>
      </c>
      <c r="B669" s="1" t="s">
        <v>8</v>
      </c>
      <c r="C669">
        <v>31</v>
      </c>
      <c r="D669">
        <v>2</v>
      </c>
      <c r="E669">
        <v>98</v>
      </c>
      <c r="F669">
        <v>1722</v>
      </c>
      <c r="G669" s="3">
        <f t="shared" si="30"/>
        <v>4</v>
      </c>
      <c r="H669" s="4">
        <f t="shared" si="31"/>
        <v>2.3228803716608404E-3</v>
      </c>
      <c r="I669" s="1">
        <f t="shared" si="32"/>
        <v>0</v>
      </c>
    </row>
    <row r="670" spans="1:9" x14ac:dyDescent="0.2">
      <c r="A670" s="6">
        <v>44090.708333333336</v>
      </c>
      <c r="B670" s="1" t="s">
        <v>8</v>
      </c>
      <c r="C670">
        <v>28</v>
      </c>
      <c r="D670">
        <v>2</v>
      </c>
      <c r="E670">
        <v>98</v>
      </c>
      <c r="F670">
        <v>1741</v>
      </c>
      <c r="G670" s="3">
        <f t="shared" si="30"/>
        <v>19</v>
      </c>
      <c r="H670" s="4">
        <f t="shared" si="31"/>
        <v>1.0913268236645624E-2</v>
      </c>
      <c r="I670" s="1">
        <f t="shared" si="32"/>
        <v>0</v>
      </c>
    </row>
    <row r="671" spans="1:9" x14ac:dyDescent="0.2">
      <c r="A671" s="6">
        <v>44091.708333333336</v>
      </c>
      <c r="B671" s="1" t="s">
        <v>8</v>
      </c>
      <c r="C671">
        <v>26</v>
      </c>
      <c r="D671">
        <v>4</v>
      </c>
      <c r="E671">
        <v>98</v>
      </c>
      <c r="F671">
        <v>1757</v>
      </c>
      <c r="G671" s="3">
        <f t="shared" si="30"/>
        <v>16</v>
      </c>
      <c r="H671" s="4">
        <f t="shared" si="31"/>
        <v>9.1064314171883654E-3</v>
      </c>
      <c r="I671" s="1">
        <f t="shared" si="32"/>
        <v>0</v>
      </c>
    </row>
    <row r="672" spans="1:9" x14ac:dyDescent="0.2">
      <c r="A672" s="6">
        <v>44092.708333333336</v>
      </c>
      <c r="B672" s="1" t="s">
        <v>8</v>
      </c>
      <c r="C672">
        <v>24</v>
      </c>
      <c r="D672">
        <v>4</v>
      </c>
      <c r="E672">
        <v>98</v>
      </c>
      <c r="F672">
        <v>1785</v>
      </c>
      <c r="G672" s="3">
        <f t="shared" si="30"/>
        <v>28</v>
      </c>
      <c r="H672" s="4">
        <f t="shared" si="31"/>
        <v>1.5686274509803977E-2</v>
      </c>
      <c r="I672" s="1">
        <f t="shared" si="32"/>
        <v>0</v>
      </c>
    </row>
    <row r="673" spans="1:9" x14ac:dyDescent="0.2">
      <c r="A673" s="6">
        <v>44093.708333333336</v>
      </c>
      <c r="B673" s="1" t="s">
        <v>8</v>
      </c>
      <c r="C673">
        <v>27</v>
      </c>
      <c r="D673">
        <v>4</v>
      </c>
      <c r="E673">
        <v>98</v>
      </c>
      <c r="F673">
        <v>1810</v>
      </c>
      <c r="G673" s="3">
        <f t="shared" si="30"/>
        <v>25</v>
      </c>
      <c r="H673" s="4">
        <f t="shared" si="31"/>
        <v>1.3812154696132617E-2</v>
      </c>
      <c r="I673" s="1">
        <f t="shared" si="32"/>
        <v>0</v>
      </c>
    </row>
    <row r="674" spans="1:9" x14ac:dyDescent="0.2">
      <c r="A674" s="6">
        <v>44094.708333333336</v>
      </c>
      <c r="B674" s="1" t="s">
        <v>8</v>
      </c>
      <c r="C674">
        <v>30</v>
      </c>
      <c r="D674">
        <v>4</v>
      </c>
      <c r="E674">
        <v>98</v>
      </c>
      <c r="F674">
        <v>1832</v>
      </c>
      <c r="G674" s="3">
        <f t="shared" si="30"/>
        <v>22</v>
      </c>
      <c r="H674" s="4">
        <f t="shared" si="31"/>
        <v>1.2008733624454093E-2</v>
      </c>
      <c r="I674" s="1">
        <f t="shared" si="32"/>
        <v>0</v>
      </c>
    </row>
    <row r="675" spans="1:9" x14ac:dyDescent="0.2">
      <c r="A675" s="6">
        <v>44095.708333333336</v>
      </c>
      <c r="B675" s="1" t="s">
        <v>8</v>
      </c>
      <c r="C675">
        <v>30</v>
      </c>
      <c r="D675">
        <v>4</v>
      </c>
      <c r="E675">
        <v>98</v>
      </c>
      <c r="F675">
        <v>1844</v>
      </c>
      <c r="G675" s="3">
        <f t="shared" si="30"/>
        <v>12</v>
      </c>
      <c r="H675" s="4">
        <f t="shared" si="31"/>
        <v>6.5075921908893664E-3</v>
      </c>
      <c r="I675" s="1">
        <f t="shared" si="32"/>
        <v>0</v>
      </c>
    </row>
    <row r="676" spans="1:9" x14ac:dyDescent="0.2">
      <c r="A676" s="6">
        <v>44096.708333333336</v>
      </c>
      <c r="B676" s="1" t="s">
        <v>8</v>
      </c>
      <c r="C676">
        <v>29</v>
      </c>
      <c r="D676">
        <v>4</v>
      </c>
      <c r="E676">
        <v>98</v>
      </c>
      <c r="F676">
        <v>1868</v>
      </c>
      <c r="G676" s="3">
        <f t="shared" si="30"/>
        <v>24</v>
      </c>
      <c r="H676" s="4">
        <f t="shared" si="31"/>
        <v>1.2847965738758016E-2</v>
      </c>
      <c r="I676" s="1">
        <f t="shared" si="32"/>
        <v>0</v>
      </c>
    </row>
    <row r="677" spans="1:9" x14ac:dyDescent="0.2">
      <c r="A677" s="6">
        <v>44097.708333333336</v>
      </c>
      <c r="B677" s="1" t="s">
        <v>8</v>
      </c>
      <c r="C677">
        <v>27</v>
      </c>
      <c r="D677">
        <v>4</v>
      </c>
      <c r="E677">
        <v>98</v>
      </c>
      <c r="F677">
        <v>1887</v>
      </c>
      <c r="G677" s="3">
        <f t="shared" si="30"/>
        <v>19</v>
      </c>
      <c r="H677" s="4">
        <f t="shared" si="31"/>
        <v>1.006889242183362E-2</v>
      </c>
      <c r="I677" s="1">
        <f t="shared" si="32"/>
        <v>0</v>
      </c>
    </row>
    <row r="678" spans="1:9" x14ac:dyDescent="0.2">
      <c r="A678" s="6">
        <v>44098.708333333336</v>
      </c>
      <c r="B678" s="1" t="s">
        <v>8</v>
      </c>
      <c r="C678">
        <v>29</v>
      </c>
      <c r="D678">
        <v>4</v>
      </c>
      <c r="E678">
        <v>98</v>
      </c>
      <c r="F678">
        <v>1896</v>
      </c>
      <c r="G678" s="3">
        <f t="shared" si="30"/>
        <v>9</v>
      </c>
      <c r="H678" s="4">
        <f t="shared" si="31"/>
        <v>4.746835443038E-3</v>
      </c>
      <c r="I678" s="1">
        <f t="shared" si="32"/>
        <v>0</v>
      </c>
    </row>
    <row r="679" spans="1:9" x14ac:dyDescent="0.2">
      <c r="A679" s="6">
        <v>44099.708333333336</v>
      </c>
      <c r="B679" s="1" t="s">
        <v>8</v>
      </c>
      <c r="C679">
        <v>32</v>
      </c>
      <c r="D679">
        <v>3</v>
      </c>
      <c r="E679">
        <v>98</v>
      </c>
      <c r="F679">
        <v>1906</v>
      </c>
      <c r="G679" s="3">
        <f t="shared" si="30"/>
        <v>10</v>
      </c>
      <c r="H679" s="4">
        <f t="shared" si="31"/>
        <v>5.2465897166841247E-3</v>
      </c>
      <c r="I679" s="1">
        <f t="shared" si="32"/>
        <v>0</v>
      </c>
    </row>
    <row r="680" spans="1:9" x14ac:dyDescent="0.2">
      <c r="A680" s="6">
        <v>44100.708333333336</v>
      </c>
      <c r="B680" s="1" t="s">
        <v>8</v>
      </c>
      <c r="C680">
        <v>30</v>
      </c>
      <c r="D680">
        <v>2</v>
      </c>
      <c r="E680">
        <v>100</v>
      </c>
      <c r="F680">
        <v>1921</v>
      </c>
      <c r="G680" s="3">
        <f t="shared" si="30"/>
        <v>15</v>
      </c>
      <c r="H680" s="4">
        <f t="shared" si="31"/>
        <v>7.8084331077563629E-3</v>
      </c>
      <c r="I680" s="1">
        <f t="shared" si="32"/>
        <v>2</v>
      </c>
    </row>
    <row r="681" spans="1:9" x14ac:dyDescent="0.2">
      <c r="A681" s="6">
        <v>44101.708333333336</v>
      </c>
      <c r="B681" s="1" t="s">
        <v>8</v>
      </c>
      <c r="C681">
        <v>35</v>
      </c>
      <c r="D681">
        <v>2</v>
      </c>
      <c r="E681">
        <v>100</v>
      </c>
      <c r="F681">
        <v>1952</v>
      </c>
      <c r="G681" s="3">
        <f t="shared" si="30"/>
        <v>31</v>
      </c>
      <c r="H681" s="4">
        <f t="shared" si="31"/>
        <v>1.5881147540983576E-2</v>
      </c>
      <c r="I681" s="1">
        <f t="shared" si="32"/>
        <v>0</v>
      </c>
    </row>
    <row r="682" spans="1:9" x14ac:dyDescent="0.2">
      <c r="A682" s="6">
        <v>44102.708333333336</v>
      </c>
      <c r="B682" s="1" t="s">
        <v>8</v>
      </c>
      <c r="C682">
        <v>36</v>
      </c>
      <c r="D682">
        <v>2</v>
      </c>
      <c r="E682">
        <v>100</v>
      </c>
      <c r="F682">
        <v>1957</v>
      </c>
      <c r="G682" s="3">
        <f t="shared" si="30"/>
        <v>5</v>
      </c>
      <c r="H682" s="4">
        <f t="shared" si="31"/>
        <v>2.5549310168625494E-3</v>
      </c>
      <c r="I682" s="1">
        <f t="shared" si="32"/>
        <v>0</v>
      </c>
    </row>
    <row r="683" spans="1:9" x14ac:dyDescent="0.2">
      <c r="A683" s="6">
        <v>44103.708333333336</v>
      </c>
      <c r="B683" s="1" t="s">
        <v>8</v>
      </c>
      <c r="C683">
        <v>34</v>
      </c>
      <c r="D683">
        <v>2</v>
      </c>
      <c r="E683">
        <v>100</v>
      </c>
      <c r="F683">
        <v>1967</v>
      </c>
      <c r="G683" s="3">
        <f t="shared" si="30"/>
        <v>10</v>
      </c>
      <c r="H683" s="4">
        <f t="shared" si="31"/>
        <v>5.0838840874427582E-3</v>
      </c>
      <c r="I683" s="1">
        <f t="shared" si="32"/>
        <v>0</v>
      </c>
    </row>
    <row r="684" spans="1:9" x14ac:dyDescent="0.2">
      <c r="A684" s="6">
        <v>44104.708333333336</v>
      </c>
      <c r="B684" s="1" t="s">
        <v>8</v>
      </c>
      <c r="C684">
        <v>33</v>
      </c>
      <c r="D684">
        <v>2</v>
      </c>
      <c r="E684">
        <v>100</v>
      </c>
      <c r="F684">
        <v>1985</v>
      </c>
      <c r="G684" s="3">
        <f t="shared" si="30"/>
        <v>18</v>
      </c>
      <c r="H684" s="4">
        <f t="shared" si="31"/>
        <v>9.0680100755667903E-3</v>
      </c>
      <c r="I684" s="1">
        <f t="shared" si="32"/>
        <v>0</v>
      </c>
    </row>
    <row r="685" spans="1:9" x14ac:dyDescent="0.2">
      <c r="A685" s="6">
        <v>44105.708333333336</v>
      </c>
      <c r="B685" s="1" t="s">
        <v>8</v>
      </c>
      <c r="C685">
        <v>32</v>
      </c>
      <c r="D685">
        <v>2</v>
      </c>
      <c r="E685">
        <v>100</v>
      </c>
      <c r="F685">
        <v>2002</v>
      </c>
      <c r="G685" s="3">
        <f t="shared" si="30"/>
        <v>17</v>
      </c>
      <c r="H685" s="4">
        <f t="shared" si="31"/>
        <v>8.4915084915084815E-3</v>
      </c>
      <c r="I685" s="1">
        <f t="shared" si="32"/>
        <v>0</v>
      </c>
    </row>
    <row r="686" spans="1:9" x14ac:dyDescent="0.2">
      <c r="A686" s="6">
        <v>44106.708333333336</v>
      </c>
      <c r="B686" s="1" t="s">
        <v>8</v>
      </c>
      <c r="C686">
        <v>34</v>
      </c>
      <c r="D686">
        <v>1</v>
      </c>
      <c r="E686">
        <v>100</v>
      </c>
      <c r="F686">
        <v>2020</v>
      </c>
      <c r="G686" s="3">
        <f t="shared" si="30"/>
        <v>18</v>
      </c>
      <c r="H686" s="4">
        <f t="shared" si="31"/>
        <v>8.9108910891089188E-3</v>
      </c>
      <c r="I686" s="1">
        <f t="shared" si="32"/>
        <v>0</v>
      </c>
    </row>
    <row r="687" spans="1:9" x14ac:dyDescent="0.2">
      <c r="A687" s="6">
        <v>44107.708333333336</v>
      </c>
      <c r="B687" s="1" t="s">
        <v>8</v>
      </c>
      <c r="C687">
        <v>36</v>
      </c>
      <c r="D687">
        <v>2</v>
      </c>
      <c r="E687">
        <v>100</v>
      </c>
      <c r="F687">
        <v>2044</v>
      </c>
      <c r="G687" s="3">
        <f t="shared" si="30"/>
        <v>24</v>
      </c>
      <c r="H687" s="4">
        <f t="shared" si="31"/>
        <v>1.1741682974559686E-2</v>
      </c>
      <c r="I687" s="1">
        <f t="shared" si="32"/>
        <v>0</v>
      </c>
    </row>
    <row r="688" spans="1:9" x14ac:dyDescent="0.2">
      <c r="A688" s="6">
        <v>44108.708333333336</v>
      </c>
      <c r="B688" s="1" t="s">
        <v>8</v>
      </c>
      <c r="C688">
        <v>36</v>
      </c>
      <c r="D688">
        <v>2</v>
      </c>
      <c r="E688">
        <v>101</v>
      </c>
      <c r="F688">
        <v>2063</v>
      </c>
      <c r="G688" s="3">
        <f t="shared" si="30"/>
        <v>19</v>
      </c>
      <c r="H688" s="4">
        <f t="shared" si="31"/>
        <v>9.2098885118758744E-3</v>
      </c>
      <c r="I688" s="1">
        <f t="shared" si="32"/>
        <v>1</v>
      </c>
    </row>
    <row r="689" spans="1:9" x14ac:dyDescent="0.2">
      <c r="A689" s="6">
        <v>44109.708333333336</v>
      </c>
      <c r="B689" s="1" t="s">
        <v>8</v>
      </c>
      <c r="C689">
        <v>37</v>
      </c>
      <c r="D689">
        <v>2</v>
      </c>
      <c r="E689">
        <v>101</v>
      </c>
      <c r="F689">
        <v>2086</v>
      </c>
      <c r="G689" s="3">
        <f t="shared" si="30"/>
        <v>23</v>
      </c>
      <c r="H689" s="4">
        <f t="shared" si="31"/>
        <v>1.1025886864813095E-2</v>
      </c>
      <c r="I689" s="1">
        <f t="shared" si="32"/>
        <v>0</v>
      </c>
    </row>
    <row r="690" spans="1:9" x14ac:dyDescent="0.2">
      <c r="A690" s="6">
        <v>44110.708333333336</v>
      </c>
      <c r="B690" s="1" t="s">
        <v>8</v>
      </c>
      <c r="C690">
        <v>38</v>
      </c>
      <c r="D690">
        <v>1</v>
      </c>
      <c r="E690">
        <v>102</v>
      </c>
      <c r="F690">
        <v>2109</v>
      </c>
      <c r="G690" s="3">
        <f t="shared" si="30"/>
        <v>23</v>
      </c>
      <c r="H690" s="4">
        <f t="shared" si="31"/>
        <v>1.0905642484589806E-2</v>
      </c>
      <c r="I690" s="1">
        <f t="shared" si="32"/>
        <v>1</v>
      </c>
    </row>
    <row r="691" spans="1:9" x14ac:dyDescent="0.2">
      <c r="A691" s="6">
        <v>44111.708333333336</v>
      </c>
      <c r="B691" s="1" t="s">
        <v>8</v>
      </c>
      <c r="C691">
        <v>37</v>
      </c>
      <c r="D691">
        <v>1</v>
      </c>
      <c r="E691">
        <v>102</v>
      </c>
      <c r="F691">
        <v>2125</v>
      </c>
      <c r="G691" s="3">
        <f t="shared" si="30"/>
        <v>16</v>
      </c>
      <c r="H691" s="4">
        <f t="shared" si="31"/>
        <v>7.5294117647058956E-3</v>
      </c>
      <c r="I691" s="1">
        <f t="shared" si="32"/>
        <v>0</v>
      </c>
    </row>
    <row r="692" spans="1:9" x14ac:dyDescent="0.2">
      <c r="A692" s="6">
        <v>44112.708333333336</v>
      </c>
      <c r="B692" s="1" t="s">
        <v>8</v>
      </c>
      <c r="C692">
        <v>39</v>
      </c>
      <c r="D692">
        <v>1</v>
      </c>
      <c r="E692">
        <v>102</v>
      </c>
      <c r="F692">
        <v>2146</v>
      </c>
      <c r="G692" s="3">
        <f t="shared" si="30"/>
        <v>21</v>
      </c>
      <c r="H692" s="4">
        <f t="shared" si="31"/>
        <v>9.785647716682222E-3</v>
      </c>
      <c r="I692" s="1">
        <f t="shared" si="32"/>
        <v>0</v>
      </c>
    </row>
    <row r="693" spans="1:9" x14ac:dyDescent="0.2">
      <c r="A693" s="6">
        <v>44113.708333333336</v>
      </c>
      <c r="B693" s="1" t="s">
        <v>8</v>
      </c>
      <c r="C693">
        <v>42</v>
      </c>
      <c r="D693">
        <v>1</v>
      </c>
      <c r="E693">
        <v>103</v>
      </c>
      <c r="F693">
        <v>2188</v>
      </c>
      <c r="G693" s="3">
        <f t="shared" si="30"/>
        <v>42</v>
      </c>
      <c r="H693" s="4">
        <f t="shared" si="31"/>
        <v>1.9195612431444187E-2</v>
      </c>
      <c r="I693" s="1">
        <f t="shared" si="32"/>
        <v>1</v>
      </c>
    </row>
    <row r="694" spans="1:9" x14ac:dyDescent="0.2">
      <c r="A694" s="6">
        <v>44114.708333333336</v>
      </c>
      <c r="B694" s="1" t="s">
        <v>8</v>
      </c>
      <c r="C694">
        <v>41</v>
      </c>
      <c r="D694">
        <v>1</v>
      </c>
      <c r="E694">
        <v>103</v>
      </c>
      <c r="F694">
        <v>2256</v>
      </c>
      <c r="G694" s="3">
        <f t="shared" si="30"/>
        <v>68</v>
      </c>
      <c r="H694" s="4">
        <f t="shared" si="31"/>
        <v>3.0141843971631221E-2</v>
      </c>
      <c r="I694" s="1">
        <f t="shared" si="32"/>
        <v>0</v>
      </c>
    </row>
    <row r="695" spans="1:9" x14ac:dyDescent="0.2">
      <c r="A695" s="6">
        <v>44115.708333333336</v>
      </c>
      <c r="B695" s="1" t="s">
        <v>8</v>
      </c>
      <c r="C695">
        <v>41</v>
      </c>
      <c r="D695">
        <v>1</v>
      </c>
      <c r="E695">
        <v>103</v>
      </c>
      <c r="F695">
        <v>2291</v>
      </c>
      <c r="G695" s="3">
        <f t="shared" si="30"/>
        <v>35</v>
      </c>
      <c r="H695" s="4">
        <f t="shared" si="31"/>
        <v>1.5277171540811874E-2</v>
      </c>
      <c r="I695" s="1">
        <f t="shared" si="32"/>
        <v>0</v>
      </c>
    </row>
    <row r="696" spans="1:9" hidden="1" x14ac:dyDescent="0.2">
      <c r="A696" s="6">
        <v>43885.75</v>
      </c>
      <c r="B696" s="1" t="s">
        <v>9</v>
      </c>
      <c r="C696">
        <v>0</v>
      </c>
      <c r="D696">
        <v>0</v>
      </c>
      <c r="E696">
        <v>0</v>
      </c>
      <c r="F696">
        <v>0</v>
      </c>
      <c r="G696" s="3">
        <f t="shared" si="30"/>
        <v>0</v>
      </c>
      <c r="H696" s="4">
        <f t="shared" si="31"/>
        <v>0</v>
      </c>
      <c r="I696" s="1">
        <f t="shared" si="32"/>
        <v>0</v>
      </c>
    </row>
    <row r="697" spans="1:9" hidden="1" x14ac:dyDescent="0.2">
      <c r="A697" s="6">
        <v>43886.75</v>
      </c>
      <c r="B697" s="1" t="s">
        <v>9</v>
      </c>
      <c r="C697">
        <v>0</v>
      </c>
      <c r="D697">
        <v>0</v>
      </c>
      <c r="E697">
        <v>0</v>
      </c>
      <c r="F697">
        <v>0</v>
      </c>
      <c r="G697" s="3">
        <f t="shared" si="30"/>
        <v>0</v>
      </c>
      <c r="H697" s="4">
        <f t="shared" si="31"/>
        <v>0</v>
      </c>
      <c r="I697" s="1">
        <f t="shared" si="32"/>
        <v>0</v>
      </c>
    </row>
    <row r="698" spans="1:9" hidden="1" x14ac:dyDescent="0.2">
      <c r="A698" s="6">
        <v>43887.75</v>
      </c>
      <c r="B698" s="1" t="s">
        <v>9</v>
      </c>
      <c r="C698">
        <v>0</v>
      </c>
      <c r="D698">
        <v>0</v>
      </c>
      <c r="E698">
        <v>0</v>
      </c>
      <c r="F698">
        <v>0</v>
      </c>
      <c r="G698" s="3">
        <f t="shared" si="30"/>
        <v>0</v>
      </c>
      <c r="H698" s="4">
        <f t="shared" si="31"/>
        <v>0</v>
      </c>
      <c r="I698" s="1">
        <f t="shared" si="32"/>
        <v>0</v>
      </c>
    </row>
    <row r="699" spans="1:9" hidden="1" x14ac:dyDescent="0.2">
      <c r="A699" s="6">
        <v>43888.75</v>
      </c>
      <c r="B699" s="1" t="s">
        <v>9</v>
      </c>
      <c r="C699">
        <v>2</v>
      </c>
      <c r="D699">
        <v>0</v>
      </c>
      <c r="E699">
        <v>0</v>
      </c>
      <c r="F699">
        <v>3</v>
      </c>
      <c r="G699" s="3">
        <f t="shared" si="30"/>
        <v>3</v>
      </c>
      <c r="H699" s="4">
        <f t="shared" si="31"/>
        <v>0</v>
      </c>
      <c r="I699" s="1">
        <f t="shared" si="32"/>
        <v>0</v>
      </c>
    </row>
    <row r="700" spans="1:9" hidden="1" x14ac:dyDescent="0.2">
      <c r="A700" s="6">
        <v>43889.75</v>
      </c>
      <c r="B700" s="1" t="s">
        <v>9</v>
      </c>
      <c r="C700">
        <v>2</v>
      </c>
      <c r="D700">
        <v>0</v>
      </c>
      <c r="E700">
        <v>0</v>
      </c>
      <c r="F700">
        <v>4</v>
      </c>
      <c r="G700" s="3">
        <f t="shared" si="30"/>
        <v>1</v>
      </c>
      <c r="H700" s="4">
        <f t="shared" si="31"/>
        <v>0.25</v>
      </c>
      <c r="I700" s="1">
        <f t="shared" si="32"/>
        <v>0</v>
      </c>
    </row>
    <row r="701" spans="1:9" hidden="1" x14ac:dyDescent="0.2">
      <c r="A701" s="6">
        <v>43890.708333333336</v>
      </c>
      <c r="B701" s="1" t="s">
        <v>9</v>
      </c>
      <c r="C701">
        <v>3</v>
      </c>
      <c r="D701">
        <v>0</v>
      </c>
      <c r="E701">
        <v>0</v>
      </c>
      <c r="F701">
        <v>13</v>
      </c>
      <c r="G701" s="3">
        <f t="shared" si="30"/>
        <v>9</v>
      </c>
      <c r="H701" s="4">
        <f t="shared" si="31"/>
        <v>0.69230769230769229</v>
      </c>
      <c r="I701" s="1">
        <f t="shared" si="32"/>
        <v>0</v>
      </c>
    </row>
    <row r="702" spans="1:9" hidden="1" x14ac:dyDescent="0.2">
      <c r="A702" s="6">
        <v>43891.708333333336</v>
      </c>
      <c r="B702" s="1" t="s">
        <v>9</v>
      </c>
      <c r="C702">
        <v>4</v>
      </c>
      <c r="D702">
        <v>0</v>
      </c>
      <c r="E702">
        <v>0</v>
      </c>
      <c r="F702">
        <v>17</v>
      </c>
      <c r="G702" s="3">
        <f t="shared" si="30"/>
        <v>4</v>
      </c>
      <c r="H702" s="4">
        <f t="shared" si="31"/>
        <v>0.23529411764705888</v>
      </c>
      <c r="I702" s="1">
        <f t="shared" si="32"/>
        <v>0</v>
      </c>
    </row>
    <row r="703" spans="1:9" hidden="1" x14ac:dyDescent="0.2">
      <c r="A703" s="6">
        <v>43892.75</v>
      </c>
      <c r="B703" s="1" t="s">
        <v>9</v>
      </c>
      <c r="C703">
        <v>4</v>
      </c>
      <c r="D703">
        <v>0</v>
      </c>
      <c r="E703">
        <v>0</v>
      </c>
      <c r="F703">
        <v>17</v>
      </c>
      <c r="G703" s="3">
        <f t="shared" si="30"/>
        <v>0</v>
      </c>
      <c r="H703" s="4">
        <f t="shared" si="31"/>
        <v>0</v>
      </c>
      <c r="I703" s="1">
        <f t="shared" si="32"/>
        <v>0</v>
      </c>
    </row>
    <row r="704" spans="1:9" hidden="1" x14ac:dyDescent="0.2">
      <c r="A704" s="6">
        <v>43893.75</v>
      </c>
      <c r="B704" s="1" t="s">
        <v>9</v>
      </c>
      <c r="C704">
        <v>11</v>
      </c>
      <c r="D704">
        <v>0</v>
      </c>
      <c r="E704">
        <v>0</v>
      </c>
      <c r="F704">
        <v>30</v>
      </c>
      <c r="G704" s="3">
        <f t="shared" si="30"/>
        <v>13</v>
      </c>
      <c r="H704" s="4">
        <f t="shared" si="31"/>
        <v>0.43333333333333335</v>
      </c>
      <c r="I704" s="1">
        <f t="shared" si="32"/>
        <v>0</v>
      </c>
    </row>
    <row r="705" spans="1:9" hidden="1" x14ac:dyDescent="0.2">
      <c r="A705" s="6">
        <v>43894.708333333336</v>
      </c>
      <c r="B705" s="1" t="s">
        <v>9</v>
      </c>
      <c r="C705">
        <v>11</v>
      </c>
      <c r="D705">
        <v>0</v>
      </c>
      <c r="E705">
        <v>0</v>
      </c>
      <c r="F705">
        <v>31</v>
      </c>
      <c r="G705" s="3">
        <f t="shared" si="30"/>
        <v>1</v>
      </c>
      <c r="H705" s="4">
        <f t="shared" si="31"/>
        <v>3.2258064516129004E-2</v>
      </c>
      <c r="I705" s="1">
        <f t="shared" si="32"/>
        <v>0</v>
      </c>
    </row>
    <row r="706" spans="1:9" hidden="1" x14ac:dyDescent="0.2">
      <c r="A706" s="6">
        <v>43895.708333333336</v>
      </c>
      <c r="B706" s="1" t="s">
        <v>9</v>
      </c>
      <c r="C706">
        <v>12</v>
      </c>
      <c r="D706">
        <v>0</v>
      </c>
      <c r="E706">
        <v>0</v>
      </c>
      <c r="F706">
        <v>45</v>
      </c>
      <c r="G706" s="3">
        <f t="shared" si="30"/>
        <v>14</v>
      </c>
      <c r="H706" s="4">
        <f t="shared" si="31"/>
        <v>0.31111111111111112</v>
      </c>
      <c r="I706" s="1">
        <f t="shared" si="32"/>
        <v>0</v>
      </c>
    </row>
    <row r="707" spans="1:9" hidden="1" x14ac:dyDescent="0.2">
      <c r="A707" s="6">
        <v>43896.708333333336</v>
      </c>
      <c r="B707" s="1" t="s">
        <v>9</v>
      </c>
      <c r="C707">
        <v>12</v>
      </c>
      <c r="D707">
        <v>0</v>
      </c>
      <c r="E707">
        <v>0</v>
      </c>
      <c r="F707">
        <v>57</v>
      </c>
      <c r="G707" s="3">
        <f t="shared" ref="G707:G770" si="33">IF(AND(F707&gt;0,AND(B707=B706,F707&gt;0)),F707-F706,0)</f>
        <v>12</v>
      </c>
      <c r="H707" s="4">
        <f t="shared" ref="H707:H770" si="34">IF(AND(F706&gt;0,AND(B707=B706,F706&gt;0)),1-(F706/F707),0)</f>
        <v>0.21052631578947367</v>
      </c>
      <c r="I707" s="1">
        <f t="shared" ref="I707:I770" si="35">IF(AND(E707&gt;0,AND(B707=B706,E707&gt;0)),E707-E706,0)</f>
        <v>0</v>
      </c>
    </row>
    <row r="708" spans="1:9" hidden="1" x14ac:dyDescent="0.2">
      <c r="A708" s="6">
        <v>43897.75</v>
      </c>
      <c r="B708" s="1" t="s">
        <v>9</v>
      </c>
      <c r="C708">
        <v>16</v>
      </c>
      <c r="D708">
        <v>0</v>
      </c>
      <c r="E708">
        <v>0</v>
      </c>
      <c r="F708">
        <v>61</v>
      </c>
      <c r="G708" s="3">
        <f t="shared" si="33"/>
        <v>4</v>
      </c>
      <c r="H708" s="4">
        <f t="shared" si="34"/>
        <v>6.557377049180324E-2</v>
      </c>
      <c r="I708" s="1">
        <f t="shared" si="35"/>
        <v>0</v>
      </c>
    </row>
    <row r="709" spans="1:9" hidden="1" x14ac:dyDescent="0.2">
      <c r="A709" s="6">
        <v>43898.75</v>
      </c>
      <c r="B709" s="1" t="s">
        <v>9</v>
      </c>
      <c r="C709">
        <v>30</v>
      </c>
      <c r="D709">
        <v>7</v>
      </c>
      <c r="E709">
        <v>0</v>
      </c>
      <c r="F709">
        <v>101</v>
      </c>
      <c r="G709" s="3">
        <f t="shared" si="33"/>
        <v>40</v>
      </c>
      <c r="H709" s="4">
        <f t="shared" si="34"/>
        <v>0.39603960396039606</v>
      </c>
      <c r="I709" s="1">
        <f t="shared" si="35"/>
        <v>0</v>
      </c>
    </row>
    <row r="710" spans="1:9" hidden="1" x14ac:dyDescent="0.2">
      <c r="A710" s="6">
        <v>43899.75</v>
      </c>
      <c r="B710" s="1" t="s">
        <v>9</v>
      </c>
      <c r="C710">
        <v>42</v>
      </c>
      <c r="D710">
        <v>8</v>
      </c>
      <c r="E710">
        <v>0</v>
      </c>
      <c r="F710">
        <v>120</v>
      </c>
      <c r="G710" s="3">
        <f t="shared" si="33"/>
        <v>19</v>
      </c>
      <c r="H710" s="4">
        <f t="shared" si="34"/>
        <v>0.15833333333333333</v>
      </c>
      <c r="I710" s="1">
        <f t="shared" si="35"/>
        <v>0</v>
      </c>
    </row>
    <row r="711" spans="1:9" hidden="1" x14ac:dyDescent="0.2">
      <c r="A711" s="6">
        <v>43900.75</v>
      </c>
      <c r="B711" s="1" t="s">
        <v>9</v>
      </c>
      <c r="C711">
        <v>33</v>
      </c>
      <c r="D711">
        <v>8</v>
      </c>
      <c r="E711">
        <v>0</v>
      </c>
      <c r="F711">
        <v>127</v>
      </c>
      <c r="G711" s="3">
        <f t="shared" si="33"/>
        <v>7</v>
      </c>
      <c r="H711" s="4">
        <f t="shared" si="34"/>
        <v>5.5118110236220486E-2</v>
      </c>
      <c r="I711" s="1">
        <f t="shared" si="35"/>
        <v>0</v>
      </c>
    </row>
    <row r="712" spans="1:9" hidden="1" x14ac:dyDescent="0.2">
      <c r="A712" s="6">
        <v>43901.708333333336</v>
      </c>
      <c r="B712" s="1" t="s">
        <v>9</v>
      </c>
      <c r="C712">
        <v>56</v>
      </c>
      <c r="D712">
        <v>11</v>
      </c>
      <c r="E712">
        <v>1</v>
      </c>
      <c r="F712">
        <v>154</v>
      </c>
      <c r="G712" s="3">
        <f t="shared" si="33"/>
        <v>27</v>
      </c>
      <c r="H712" s="4">
        <f t="shared" si="34"/>
        <v>0.17532467532467533</v>
      </c>
      <c r="I712" s="1">
        <f t="shared" si="35"/>
        <v>1</v>
      </c>
    </row>
    <row r="713" spans="1:9" hidden="1" x14ac:dyDescent="0.2">
      <c r="A713" s="6">
        <v>43902.708333333336</v>
      </c>
      <c r="B713" s="1" t="s">
        <v>9</v>
      </c>
      <c r="C713">
        <v>56</v>
      </c>
      <c r="D713">
        <v>11</v>
      </c>
      <c r="E713">
        <v>1</v>
      </c>
      <c r="F713">
        <v>179</v>
      </c>
      <c r="G713" s="3">
        <f t="shared" si="33"/>
        <v>25</v>
      </c>
      <c r="H713" s="4">
        <f t="shared" si="34"/>
        <v>0.13966480446927376</v>
      </c>
      <c r="I713" s="1">
        <f t="shared" si="35"/>
        <v>0</v>
      </c>
    </row>
    <row r="714" spans="1:9" hidden="1" x14ac:dyDescent="0.2">
      <c r="A714" s="6">
        <v>43903.708333333336</v>
      </c>
      <c r="B714" s="1" t="s">
        <v>9</v>
      </c>
      <c r="C714">
        <v>60</v>
      </c>
      <c r="D714">
        <v>19</v>
      </c>
      <c r="E714">
        <v>2</v>
      </c>
      <c r="F714">
        <v>220</v>
      </c>
      <c r="G714" s="3">
        <f t="shared" si="33"/>
        <v>41</v>
      </c>
      <c r="H714" s="4">
        <f t="shared" si="34"/>
        <v>0.1863636363636364</v>
      </c>
      <c r="I714" s="1">
        <f t="shared" si="35"/>
        <v>1</v>
      </c>
    </row>
    <row r="715" spans="1:9" hidden="1" x14ac:dyDescent="0.2">
      <c r="A715" s="6">
        <v>43904.708333333336</v>
      </c>
      <c r="B715" s="1" t="s">
        <v>9</v>
      </c>
      <c r="C715">
        <v>72</v>
      </c>
      <c r="D715">
        <v>17</v>
      </c>
      <c r="E715">
        <v>6</v>
      </c>
      <c r="F715">
        <v>272</v>
      </c>
      <c r="G715" s="3">
        <f t="shared" si="33"/>
        <v>52</v>
      </c>
      <c r="H715" s="4">
        <f t="shared" si="34"/>
        <v>0.19117647058823528</v>
      </c>
      <c r="I715" s="1">
        <f t="shared" si="35"/>
        <v>4</v>
      </c>
    </row>
    <row r="716" spans="1:9" hidden="1" x14ac:dyDescent="0.2">
      <c r="A716" s="6">
        <v>43905.708333333336</v>
      </c>
      <c r="B716" s="1" t="s">
        <v>9</v>
      </c>
      <c r="C716">
        <v>73</v>
      </c>
      <c r="D716">
        <v>22</v>
      </c>
      <c r="E716">
        <v>9</v>
      </c>
      <c r="F716">
        <v>333</v>
      </c>
      <c r="G716" s="3">
        <f t="shared" si="33"/>
        <v>61</v>
      </c>
      <c r="H716" s="4">
        <f t="shared" si="34"/>
        <v>0.18318318318318316</v>
      </c>
      <c r="I716" s="1">
        <f t="shared" si="35"/>
        <v>3</v>
      </c>
    </row>
    <row r="717" spans="1:9" hidden="1" x14ac:dyDescent="0.2">
      <c r="A717" s="6">
        <v>43906.708333333336</v>
      </c>
      <c r="B717" s="1" t="s">
        <v>9</v>
      </c>
      <c r="C717">
        <v>103</v>
      </c>
      <c r="D717">
        <v>22</v>
      </c>
      <c r="E717">
        <v>9</v>
      </c>
      <c r="F717">
        <v>400</v>
      </c>
      <c r="G717" s="3">
        <f t="shared" si="33"/>
        <v>67</v>
      </c>
      <c r="H717" s="4">
        <f t="shared" si="34"/>
        <v>0.16749999999999998</v>
      </c>
      <c r="I717" s="1">
        <f t="shared" si="35"/>
        <v>0</v>
      </c>
    </row>
    <row r="718" spans="1:9" hidden="1" x14ac:dyDescent="0.2">
      <c r="A718" s="6">
        <v>43907.708333333336</v>
      </c>
      <c r="B718" s="1" t="s">
        <v>9</v>
      </c>
      <c r="C718">
        <v>127</v>
      </c>
      <c r="D718">
        <v>24</v>
      </c>
      <c r="E718">
        <v>9</v>
      </c>
      <c r="F718">
        <v>460</v>
      </c>
      <c r="G718" s="3">
        <f t="shared" si="33"/>
        <v>60</v>
      </c>
      <c r="H718" s="4">
        <f t="shared" si="34"/>
        <v>0.13043478260869568</v>
      </c>
      <c r="I718" s="1">
        <f t="shared" si="35"/>
        <v>0</v>
      </c>
    </row>
    <row r="719" spans="1:9" hidden="1" x14ac:dyDescent="0.2">
      <c r="A719" s="6">
        <v>43908.708333333336</v>
      </c>
      <c r="B719" s="1" t="s">
        <v>9</v>
      </c>
      <c r="C719">
        <v>127</v>
      </c>
      <c r="D719">
        <v>24</v>
      </c>
      <c r="E719">
        <v>9</v>
      </c>
      <c r="F719">
        <v>460</v>
      </c>
      <c r="G719" s="3">
        <f t="shared" si="33"/>
        <v>0</v>
      </c>
      <c r="H719" s="4">
        <f t="shared" si="34"/>
        <v>0</v>
      </c>
      <c r="I719" s="1">
        <f t="shared" si="35"/>
        <v>0</v>
      </c>
    </row>
    <row r="720" spans="1:9" hidden="1" x14ac:dyDescent="0.2">
      <c r="A720" s="6">
        <v>43909.708333333336</v>
      </c>
      <c r="B720" s="1" t="s">
        <v>9</v>
      </c>
      <c r="C720">
        <v>213</v>
      </c>
      <c r="D720">
        <v>36</v>
      </c>
      <c r="E720">
        <v>17</v>
      </c>
      <c r="F720">
        <v>652</v>
      </c>
      <c r="G720" s="3">
        <f t="shared" si="33"/>
        <v>192</v>
      </c>
      <c r="H720" s="4">
        <f t="shared" si="34"/>
        <v>0.29447852760736193</v>
      </c>
      <c r="I720" s="1">
        <f t="shared" si="35"/>
        <v>8</v>
      </c>
    </row>
    <row r="721" spans="1:9" hidden="1" x14ac:dyDescent="0.2">
      <c r="A721" s="6">
        <v>43910.708333333336</v>
      </c>
      <c r="B721" s="1" t="s">
        <v>9</v>
      </c>
      <c r="C721">
        <v>130</v>
      </c>
      <c r="D721">
        <v>41</v>
      </c>
      <c r="E721">
        <v>17</v>
      </c>
      <c r="F721">
        <v>749</v>
      </c>
      <c r="G721" s="3">
        <f t="shared" si="33"/>
        <v>97</v>
      </c>
      <c r="H721" s="4">
        <f t="shared" si="34"/>
        <v>0.12950600801068091</v>
      </c>
      <c r="I721" s="1">
        <f t="shared" si="35"/>
        <v>0</v>
      </c>
    </row>
    <row r="722" spans="1:9" hidden="1" x14ac:dyDescent="0.2">
      <c r="A722" s="6">
        <v>43911.708333333336</v>
      </c>
      <c r="B722" s="1" t="s">
        <v>9</v>
      </c>
      <c r="C722">
        <v>233</v>
      </c>
      <c r="D722">
        <v>87</v>
      </c>
      <c r="E722">
        <v>22</v>
      </c>
      <c r="F722">
        <v>844</v>
      </c>
      <c r="G722" s="3">
        <f t="shared" si="33"/>
        <v>95</v>
      </c>
      <c r="H722" s="4">
        <f t="shared" si="34"/>
        <v>0.11255924170616116</v>
      </c>
      <c r="I722" s="1">
        <f t="shared" si="35"/>
        <v>5</v>
      </c>
    </row>
    <row r="723" spans="1:9" hidden="1" x14ac:dyDescent="0.2">
      <c r="A723" s="6">
        <v>43912.708333333336</v>
      </c>
      <c r="B723" s="1" t="s">
        <v>9</v>
      </c>
      <c r="C723">
        <v>243</v>
      </c>
      <c r="D723">
        <v>99</v>
      </c>
      <c r="E723">
        <v>29</v>
      </c>
      <c r="F723">
        <v>936</v>
      </c>
      <c r="G723" s="3">
        <f t="shared" si="33"/>
        <v>92</v>
      </c>
      <c r="H723" s="4">
        <f t="shared" si="34"/>
        <v>9.8290598290598274E-2</v>
      </c>
      <c r="I723" s="1">
        <f t="shared" si="35"/>
        <v>7</v>
      </c>
    </row>
    <row r="724" spans="1:9" hidden="1" x14ac:dyDescent="0.2">
      <c r="A724" s="6">
        <v>43913.708333333336</v>
      </c>
      <c r="B724" s="1" t="s">
        <v>9</v>
      </c>
      <c r="C724">
        <v>266</v>
      </c>
      <c r="D724">
        <v>110</v>
      </c>
      <c r="E724">
        <v>49</v>
      </c>
      <c r="F724">
        <v>1026</v>
      </c>
      <c r="G724" s="3">
        <f t="shared" si="33"/>
        <v>90</v>
      </c>
      <c r="H724" s="4">
        <f t="shared" si="34"/>
        <v>8.7719298245614086E-2</v>
      </c>
      <c r="I724" s="1">
        <f t="shared" si="35"/>
        <v>20</v>
      </c>
    </row>
    <row r="725" spans="1:9" hidden="1" x14ac:dyDescent="0.2">
      <c r="A725" s="6">
        <v>43914.708333333336</v>
      </c>
      <c r="B725" s="1" t="s">
        <v>9</v>
      </c>
      <c r="C725">
        <v>345</v>
      </c>
      <c r="D725">
        <v>181</v>
      </c>
      <c r="E725">
        <v>56</v>
      </c>
      <c r="F725">
        <v>1101</v>
      </c>
      <c r="G725" s="3">
        <f t="shared" si="33"/>
        <v>75</v>
      </c>
      <c r="H725" s="4">
        <f t="shared" si="34"/>
        <v>6.8119891008174394E-2</v>
      </c>
      <c r="I725" s="1">
        <f t="shared" si="35"/>
        <v>7</v>
      </c>
    </row>
    <row r="726" spans="1:9" hidden="1" x14ac:dyDescent="0.2">
      <c r="A726" s="6">
        <v>43915.708333333336</v>
      </c>
      <c r="B726" s="1" t="s">
        <v>9</v>
      </c>
      <c r="C726">
        <v>318</v>
      </c>
      <c r="D726">
        <v>123</v>
      </c>
      <c r="E726">
        <v>74</v>
      </c>
      <c r="F726">
        <v>1199</v>
      </c>
      <c r="G726" s="3">
        <f t="shared" si="33"/>
        <v>98</v>
      </c>
      <c r="H726" s="4">
        <f t="shared" si="34"/>
        <v>8.1734778982485379E-2</v>
      </c>
      <c r="I726" s="1">
        <f t="shared" si="35"/>
        <v>18</v>
      </c>
    </row>
    <row r="727" spans="1:9" hidden="1" x14ac:dyDescent="0.2">
      <c r="A727" s="6">
        <v>43916.708333333336</v>
      </c>
      <c r="B727" s="1" t="s">
        <v>9</v>
      </c>
      <c r="C727">
        <v>448</v>
      </c>
      <c r="D727">
        <v>114</v>
      </c>
      <c r="E727">
        <v>83</v>
      </c>
      <c r="F727">
        <v>1310</v>
      </c>
      <c r="G727" s="3">
        <f t="shared" si="33"/>
        <v>111</v>
      </c>
      <c r="H727" s="4">
        <f t="shared" si="34"/>
        <v>8.4732824427480868E-2</v>
      </c>
      <c r="I727" s="1">
        <f t="shared" si="35"/>
        <v>9</v>
      </c>
    </row>
    <row r="728" spans="1:9" hidden="1" x14ac:dyDescent="0.2">
      <c r="A728" s="6">
        <v>43917.708333333336</v>
      </c>
      <c r="B728" s="1" t="s">
        <v>9</v>
      </c>
      <c r="C728">
        <v>456</v>
      </c>
      <c r="D728">
        <v>113</v>
      </c>
      <c r="E728">
        <v>98</v>
      </c>
      <c r="F728">
        <v>1454</v>
      </c>
      <c r="G728" s="3">
        <f t="shared" si="33"/>
        <v>144</v>
      </c>
      <c r="H728" s="4">
        <f t="shared" si="34"/>
        <v>9.9037138927097645E-2</v>
      </c>
      <c r="I728" s="1">
        <f t="shared" si="35"/>
        <v>15</v>
      </c>
    </row>
    <row r="729" spans="1:9" hidden="1" x14ac:dyDescent="0.2">
      <c r="A729" s="6">
        <v>43918.708333333336</v>
      </c>
      <c r="B729" s="1" t="s">
        <v>9</v>
      </c>
      <c r="C729">
        <v>463</v>
      </c>
      <c r="D729">
        <v>132</v>
      </c>
      <c r="E729">
        <v>109</v>
      </c>
      <c r="F729">
        <v>1592</v>
      </c>
      <c r="G729" s="3">
        <f t="shared" si="33"/>
        <v>138</v>
      </c>
      <c r="H729" s="4">
        <f t="shared" si="34"/>
        <v>8.668341708542715E-2</v>
      </c>
      <c r="I729" s="1">
        <f t="shared" si="35"/>
        <v>11</v>
      </c>
    </row>
    <row r="730" spans="1:9" hidden="1" x14ac:dyDescent="0.2">
      <c r="A730" s="6">
        <v>43919.708333333336</v>
      </c>
      <c r="B730" s="1" t="s">
        <v>9</v>
      </c>
      <c r="C730">
        <v>476</v>
      </c>
      <c r="D730">
        <v>135</v>
      </c>
      <c r="E730">
        <v>117</v>
      </c>
      <c r="F730">
        <v>1759</v>
      </c>
      <c r="G730" s="3">
        <f t="shared" si="33"/>
        <v>167</v>
      </c>
      <c r="H730" s="4">
        <f t="shared" si="34"/>
        <v>9.4940306992609469E-2</v>
      </c>
      <c r="I730" s="1">
        <f t="shared" si="35"/>
        <v>8</v>
      </c>
    </row>
    <row r="731" spans="1:9" hidden="1" x14ac:dyDescent="0.2">
      <c r="A731" s="6">
        <v>43920.708333333336</v>
      </c>
      <c r="B731" s="1" t="s">
        <v>9</v>
      </c>
      <c r="C731">
        <v>468</v>
      </c>
      <c r="D731">
        <v>126</v>
      </c>
      <c r="E731">
        <v>125</v>
      </c>
      <c r="F731">
        <v>1952</v>
      </c>
      <c r="G731" s="3">
        <f t="shared" si="33"/>
        <v>193</v>
      </c>
      <c r="H731" s="4">
        <f t="shared" si="34"/>
        <v>9.8872950819672178E-2</v>
      </c>
      <c r="I731" s="1">
        <f t="shared" si="35"/>
        <v>8</v>
      </c>
    </row>
    <row r="732" spans="1:9" hidden="1" x14ac:dyDescent="0.2">
      <c r="A732" s="6">
        <v>43921.708333333336</v>
      </c>
      <c r="B732" s="1" t="s">
        <v>9</v>
      </c>
      <c r="C732">
        <v>501</v>
      </c>
      <c r="D732">
        <v>133</v>
      </c>
      <c r="E732">
        <v>133</v>
      </c>
      <c r="F732">
        <v>2092</v>
      </c>
      <c r="G732" s="3">
        <f t="shared" si="33"/>
        <v>140</v>
      </c>
      <c r="H732" s="4">
        <f t="shared" si="34"/>
        <v>6.6921606118546806E-2</v>
      </c>
      <c r="I732" s="1">
        <f t="shared" si="35"/>
        <v>8</v>
      </c>
    </row>
    <row r="733" spans="1:9" hidden="1" x14ac:dyDescent="0.2">
      <c r="A733" s="6">
        <v>43922.708333333336</v>
      </c>
      <c r="B733" s="1" t="s">
        <v>9</v>
      </c>
      <c r="C733">
        <v>478</v>
      </c>
      <c r="D733">
        <v>129</v>
      </c>
      <c r="E733">
        <v>148</v>
      </c>
      <c r="F733">
        <v>2231</v>
      </c>
      <c r="G733" s="3">
        <f t="shared" si="33"/>
        <v>139</v>
      </c>
      <c r="H733" s="4">
        <f t="shared" si="34"/>
        <v>6.2303899596593437E-2</v>
      </c>
      <c r="I733" s="1">
        <f t="shared" si="35"/>
        <v>15</v>
      </c>
    </row>
    <row r="734" spans="1:9" hidden="1" x14ac:dyDescent="0.2">
      <c r="A734" s="6">
        <v>43923.708333333336</v>
      </c>
      <c r="B734" s="1" t="s">
        <v>9</v>
      </c>
      <c r="C734">
        <v>503</v>
      </c>
      <c r="D734">
        <v>120</v>
      </c>
      <c r="E734">
        <v>167</v>
      </c>
      <c r="F734">
        <v>2456</v>
      </c>
      <c r="G734" s="3">
        <f t="shared" si="33"/>
        <v>225</v>
      </c>
      <c r="H734" s="4">
        <f t="shared" si="34"/>
        <v>9.1612377850162852E-2</v>
      </c>
      <c r="I734" s="1">
        <f t="shared" si="35"/>
        <v>19</v>
      </c>
    </row>
    <row r="735" spans="1:9" hidden="1" x14ac:dyDescent="0.2">
      <c r="A735" s="6">
        <v>43924.708333333336</v>
      </c>
      <c r="B735" s="1" t="s">
        <v>9</v>
      </c>
      <c r="C735">
        <v>532</v>
      </c>
      <c r="D735">
        <v>115</v>
      </c>
      <c r="E735">
        <v>181</v>
      </c>
      <c r="F735">
        <v>2677</v>
      </c>
      <c r="G735" s="3">
        <f t="shared" si="33"/>
        <v>221</v>
      </c>
      <c r="H735" s="4">
        <f t="shared" si="34"/>
        <v>8.2555098991408338E-2</v>
      </c>
      <c r="I735" s="1">
        <f t="shared" si="35"/>
        <v>14</v>
      </c>
    </row>
    <row r="736" spans="1:9" hidden="1" x14ac:dyDescent="0.2">
      <c r="A736" s="6">
        <v>43925.708333333336</v>
      </c>
      <c r="B736" s="1" t="s">
        <v>9</v>
      </c>
      <c r="C736">
        <v>567</v>
      </c>
      <c r="D736">
        <v>114</v>
      </c>
      <c r="E736">
        <v>186</v>
      </c>
      <c r="F736">
        <v>2828</v>
      </c>
      <c r="G736" s="3">
        <f t="shared" si="33"/>
        <v>151</v>
      </c>
      <c r="H736" s="4">
        <f t="shared" si="34"/>
        <v>5.3394625176803379E-2</v>
      </c>
      <c r="I736" s="1">
        <f t="shared" si="35"/>
        <v>5</v>
      </c>
    </row>
    <row r="737" spans="1:9" hidden="1" x14ac:dyDescent="0.2">
      <c r="A737" s="6">
        <v>43926.708333333336</v>
      </c>
      <c r="B737" s="1" t="s">
        <v>9</v>
      </c>
      <c r="C737">
        <v>609</v>
      </c>
      <c r="D737">
        <v>108</v>
      </c>
      <c r="E737">
        <v>189</v>
      </c>
      <c r="F737">
        <v>2960</v>
      </c>
      <c r="G737" s="3">
        <f t="shared" si="33"/>
        <v>132</v>
      </c>
      <c r="H737" s="4">
        <f t="shared" si="34"/>
        <v>4.4594594594594583E-2</v>
      </c>
      <c r="I737" s="1">
        <f t="shared" si="35"/>
        <v>3</v>
      </c>
    </row>
    <row r="738" spans="1:9" hidden="1" x14ac:dyDescent="0.2">
      <c r="A738" s="6">
        <v>43927.708333333336</v>
      </c>
      <c r="B738" s="1" t="s">
        <v>9</v>
      </c>
      <c r="C738">
        <v>610</v>
      </c>
      <c r="D738">
        <v>101</v>
      </c>
      <c r="E738">
        <v>204</v>
      </c>
      <c r="F738">
        <v>3058</v>
      </c>
      <c r="G738" s="3">
        <f t="shared" si="33"/>
        <v>98</v>
      </c>
      <c r="H738" s="4">
        <f t="shared" si="34"/>
        <v>3.2047089601046408E-2</v>
      </c>
      <c r="I738" s="1">
        <f t="shared" si="35"/>
        <v>15</v>
      </c>
    </row>
    <row r="739" spans="1:9" hidden="1" x14ac:dyDescent="0.2">
      <c r="A739" s="6">
        <v>43928.708333333336</v>
      </c>
      <c r="B739" s="1" t="s">
        <v>9</v>
      </c>
      <c r="C739">
        <v>603</v>
      </c>
      <c r="D739">
        <v>103</v>
      </c>
      <c r="E739">
        <v>216</v>
      </c>
      <c r="F739">
        <v>3148</v>
      </c>
      <c r="G739" s="3">
        <f t="shared" si="33"/>
        <v>90</v>
      </c>
      <c r="H739" s="4">
        <f t="shared" si="34"/>
        <v>2.8589580686149918E-2</v>
      </c>
      <c r="I739" s="1">
        <f t="shared" si="35"/>
        <v>12</v>
      </c>
    </row>
    <row r="740" spans="1:9" hidden="1" x14ac:dyDescent="0.2">
      <c r="A740" s="6">
        <v>43929.708333333336</v>
      </c>
      <c r="B740" s="1" t="s">
        <v>9</v>
      </c>
      <c r="C740">
        <v>608</v>
      </c>
      <c r="D740">
        <v>97</v>
      </c>
      <c r="E740">
        <v>221</v>
      </c>
      <c r="F740">
        <v>3268</v>
      </c>
      <c r="G740" s="3">
        <f t="shared" si="33"/>
        <v>120</v>
      </c>
      <c r="H740" s="4">
        <f t="shared" si="34"/>
        <v>3.6719706242350103E-2</v>
      </c>
      <c r="I740" s="1">
        <f t="shared" si="35"/>
        <v>5</v>
      </c>
    </row>
    <row r="741" spans="1:9" hidden="1" x14ac:dyDescent="0.2">
      <c r="A741" s="6">
        <v>43930.708333333336</v>
      </c>
      <c r="B741" s="1" t="s">
        <v>9</v>
      </c>
      <c r="C741">
        <v>604</v>
      </c>
      <c r="D741">
        <v>94</v>
      </c>
      <c r="E741">
        <v>227</v>
      </c>
      <c r="F741">
        <v>3344</v>
      </c>
      <c r="G741" s="3">
        <f t="shared" si="33"/>
        <v>76</v>
      </c>
      <c r="H741" s="4">
        <f t="shared" si="34"/>
        <v>2.2727272727272707E-2</v>
      </c>
      <c r="I741" s="1">
        <f t="shared" si="35"/>
        <v>6</v>
      </c>
    </row>
    <row r="742" spans="1:9" hidden="1" x14ac:dyDescent="0.2">
      <c r="A742" s="6">
        <v>43931.708333333336</v>
      </c>
      <c r="B742" s="1" t="s">
        <v>9</v>
      </c>
      <c r="C742">
        <v>600</v>
      </c>
      <c r="D742">
        <v>90</v>
      </c>
      <c r="E742">
        <v>231</v>
      </c>
      <c r="F742">
        <v>3442</v>
      </c>
      <c r="G742" s="3">
        <f t="shared" si="33"/>
        <v>98</v>
      </c>
      <c r="H742" s="4">
        <f t="shared" si="34"/>
        <v>2.8471818710052332E-2</v>
      </c>
      <c r="I742" s="1">
        <f t="shared" si="35"/>
        <v>4</v>
      </c>
    </row>
    <row r="743" spans="1:9" hidden="1" x14ac:dyDescent="0.2">
      <c r="A743" s="6">
        <v>43932.708333333336</v>
      </c>
      <c r="B743" s="1" t="s">
        <v>9</v>
      </c>
      <c r="C743">
        <v>582</v>
      </c>
      <c r="D743">
        <v>85</v>
      </c>
      <c r="E743">
        <v>238</v>
      </c>
      <c r="F743">
        <v>3517</v>
      </c>
      <c r="G743" s="3">
        <f t="shared" si="33"/>
        <v>75</v>
      </c>
      <c r="H743" s="4">
        <f t="shared" si="34"/>
        <v>2.1324992891669003E-2</v>
      </c>
      <c r="I743" s="1">
        <f t="shared" si="35"/>
        <v>7</v>
      </c>
    </row>
    <row r="744" spans="1:9" hidden="1" x14ac:dyDescent="0.2">
      <c r="A744" s="6">
        <v>43933.708333333336</v>
      </c>
      <c r="B744" s="1" t="s">
        <v>9</v>
      </c>
      <c r="C744">
        <v>526</v>
      </c>
      <c r="D744">
        <v>82</v>
      </c>
      <c r="E744">
        <v>242</v>
      </c>
      <c r="F744">
        <v>3604</v>
      </c>
      <c r="G744" s="3">
        <f t="shared" si="33"/>
        <v>87</v>
      </c>
      <c r="H744" s="4">
        <f t="shared" si="34"/>
        <v>2.4139844617092066E-2</v>
      </c>
      <c r="I744" s="1">
        <f t="shared" si="35"/>
        <v>4</v>
      </c>
    </row>
    <row r="745" spans="1:9" hidden="1" x14ac:dyDescent="0.2">
      <c r="A745" s="6">
        <v>43934.708333333336</v>
      </c>
      <c r="B745" s="1" t="s">
        <v>9</v>
      </c>
      <c r="C745">
        <v>606</v>
      </c>
      <c r="D745">
        <v>80</v>
      </c>
      <c r="E745">
        <v>248</v>
      </c>
      <c r="F745">
        <v>3670</v>
      </c>
      <c r="G745" s="3">
        <f t="shared" si="33"/>
        <v>66</v>
      </c>
      <c r="H745" s="4">
        <f t="shared" si="34"/>
        <v>1.7983651226158082E-2</v>
      </c>
      <c r="I745" s="1">
        <f t="shared" si="35"/>
        <v>6</v>
      </c>
    </row>
    <row r="746" spans="1:9" hidden="1" x14ac:dyDescent="0.2">
      <c r="A746" s="6">
        <v>43935.708333333336</v>
      </c>
      <c r="B746" s="1" t="s">
        <v>9</v>
      </c>
      <c r="C746">
        <v>618</v>
      </c>
      <c r="D746">
        <v>82</v>
      </c>
      <c r="E746">
        <v>260</v>
      </c>
      <c r="F746">
        <v>3769</v>
      </c>
      <c r="G746" s="3">
        <f t="shared" si="33"/>
        <v>99</v>
      </c>
      <c r="H746" s="4">
        <f t="shared" si="34"/>
        <v>2.6266914300875577E-2</v>
      </c>
      <c r="I746" s="1">
        <f t="shared" si="35"/>
        <v>12</v>
      </c>
    </row>
    <row r="747" spans="1:9" hidden="1" x14ac:dyDescent="0.2">
      <c r="A747" s="6">
        <v>43936.708333333336</v>
      </c>
      <c r="B747" s="1" t="s">
        <v>9</v>
      </c>
      <c r="C747">
        <v>607</v>
      </c>
      <c r="D747">
        <v>86</v>
      </c>
      <c r="E747">
        <v>278</v>
      </c>
      <c r="F747">
        <v>3807</v>
      </c>
      <c r="G747" s="3">
        <f t="shared" si="33"/>
        <v>38</v>
      </c>
      <c r="H747" s="4">
        <f t="shared" si="34"/>
        <v>9.9816128184923025E-3</v>
      </c>
      <c r="I747" s="1">
        <f t="shared" si="35"/>
        <v>18</v>
      </c>
    </row>
    <row r="748" spans="1:9" hidden="1" x14ac:dyDescent="0.2">
      <c r="A748" s="6">
        <v>43937.708333333336</v>
      </c>
      <c r="B748" s="1" t="s">
        <v>9</v>
      </c>
      <c r="C748">
        <v>618</v>
      </c>
      <c r="D748">
        <v>76</v>
      </c>
      <c r="E748">
        <v>286</v>
      </c>
      <c r="F748">
        <v>3887</v>
      </c>
      <c r="G748" s="3">
        <f t="shared" si="33"/>
        <v>80</v>
      </c>
      <c r="H748" s="4">
        <f t="shared" si="34"/>
        <v>2.0581425263699549E-2</v>
      </c>
      <c r="I748" s="1">
        <f t="shared" si="35"/>
        <v>8</v>
      </c>
    </row>
    <row r="749" spans="1:9" hidden="1" x14ac:dyDescent="0.2">
      <c r="A749" s="6">
        <v>43938.708333333336</v>
      </c>
      <c r="B749" s="1" t="s">
        <v>9</v>
      </c>
      <c r="C749">
        <v>622</v>
      </c>
      <c r="D749">
        <v>76</v>
      </c>
      <c r="E749">
        <v>293</v>
      </c>
      <c r="F749">
        <v>3951</v>
      </c>
      <c r="G749" s="3">
        <f t="shared" si="33"/>
        <v>64</v>
      </c>
      <c r="H749" s="4">
        <f t="shared" si="34"/>
        <v>1.6198430777018435E-2</v>
      </c>
      <c r="I749" s="1">
        <f t="shared" si="35"/>
        <v>7</v>
      </c>
    </row>
    <row r="750" spans="1:9" hidden="1" x14ac:dyDescent="0.2">
      <c r="A750" s="6">
        <v>43939.708333333336</v>
      </c>
      <c r="B750" s="1" t="s">
        <v>9</v>
      </c>
      <c r="C750">
        <v>605</v>
      </c>
      <c r="D750">
        <v>76</v>
      </c>
      <c r="E750">
        <v>300</v>
      </c>
      <c r="F750">
        <v>3988</v>
      </c>
      <c r="G750" s="3">
        <f t="shared" si="33"/>
        <v>37</v>
      </c>
      <c r="H750" s="4">
        <f t="shared" si="34"/>
        <v>9.2778335005014867E-3</v>
      </c>
      <c r="I750" s="1">
        <f t="shared" si="35"/>
        <v>7</v>
      </c>
    </row>
    <row r="751" spans="1:9" hidden="1" x14ac:dyDescent="0.2">
      <c r="A751" s="6">
        <v>43940.708333333336</v>
      </c>
      <c r="B751" s="1" t="s">
        <v>9</v>
      </c>
      <c r="C751">
        <v>590</v>
      </c>
      <c r="D751">
        <v>61</v>
      </c>
      <c r="E751">
        <v>304</v>
      </c>
      <c r="F751">
        <v>4029</v>
      </c>
      <c r="G751" s="3">
        <f t="shared" si="33"/>
        <v>41</v>
      </c>
      <c r="H751" s="4">
        <f t="shared" si="34"/>
        <v>1.0176222387689227E-2</v>
      </c>
      <c r="I751" s="1">
        <f t="shared" si="35"/>
        <v>4</v>
      </c>
    </row>
    <row r="752" spans="1:9" hidden="1" x14ac:dyDescent="0.2">
      <c r="A752" s="6">
        <v>43941.708333333336</v>
      </c>
      <c r="B752" s="1" t="s">
        <v>9</v>
      </c>
      <c r="C752">
        <v>586</v>
      </c>
      <c r="D752">
        <v>61</v>
      </c>
      <c r="E752">
        <v>309</v>
      </c>
      <c r="F752">
        <v>4074</v>
      </c>
      <c r="G752" s="3">
        <f t="shared" si="33"/>
        <v>45</v>
      </c>
      <c r="H752" s="4">
        <f t="shared" si="34"/>
        <v>1.1045655375552244E-2</v>
      </c>
      <c r="I752" s="1">
        <f t="shared" si="35"/>
        <v>5</v>
      </c>
    </row>
    <row r="753" spans="1:9" hidden="1" x14ac:dyDescent="0.2">
      <c r="A753" s="6">
        <v>43942.708333333336</v>
      </c>
      <c r="B753" s="1" t="s">
        <v>9</v>
      </c>
      <c r="C753">
        <v>532</v>
      </c>
      <c r="D753">
        <v>58</v>
      </c>
      <c r="E753">
        <v>317</v>
      </c>
      <c r="F753">
        <v>4135</v>
      </c>
      <c r="G753" s="3">
        <f t="shared" si="33"/>
        <v>61</v>
      </c>
      <c r="H753" s="4">
        <f t="shared" si="34"/>
        <v>1.4752116082224931E-2</v>
      </c>
      <c r="I753" s="1">
        <f t="shared" si="35"/>
        <v>8</v>
      </c>
    </row>
    <row r="754" spans="1:9" hidden="1" x14ac:dyDescent="0.2">
      <c r="A754" s="6">
        <v>43943.708333333336</v>
      </c>
      <c r="B754" s="1" t="s">
        <v>9</v>
      </c>
      <c r="C754">
        <v>523</v>
      </c>
      <c r="D754">
        <v>53</v>
      </c>
      <c r="E754">
        <v>327</v>
      </c>
      <c r="F754">
        <v>4185</v>
      </c>
      <c r="G754" s="3">
        <f t="shared" si="33"/>
        <v>50</v>
      </c>
      <c r="H754" s="4">
        <f t="shared" si="34"/>
        <v>1.1947431302270051E-2</v>
      </c>
      <c r="I754" s="1">
        <f t="shared" si="35"/>
        <v>10</v>
      </c>
    </row>
    <row r="755" spans="1:9" hidden="1" x14ac:dyDescent="0.2">
      <c r="A755" s="6">
        <v>43944.708333333336</v>
      </c>
      <c r="B755" s="1" t="s">
        <v>9</v>
      </c>
      <c r="C755">
        <v>539</v>
      </c>
      <c r="D755">
        <v>47</v>
      </c>
      <c r="E755">
        <v>332</v>
      </c>
      <c r="F755">
        <v>4238</v>
      </c>
      <c r="G755" s="3">
        <f t="shared" si="33"/>
        <v>53</v>
      </c>
      <c r="H755" s="4">
        <f t="shared" si="34"/>
        <v>1.2505899008966481E-2</v>
      </c>
      <c r="I755" s="1">
        <f t="shared" si="35"/>
        <v>5</v>
      </c>
    </row>
    <row r="756" spans="1:9" hidden="1" x14ac:dyDescent="0.2">
      <c r="A756" s="6">
        <v>43945.708333333336</v>
      </c>
      <c r="B756" s="1" t="s">
        <v>9</v>
      </c>
      <c r="C756">
        <v>524</v>
      </c>
      <c r="D756">
        <v>44</v>
      </c>
      <c r="E756">
        <v>336</v>
      </c>
      <c r="F756">
        <v>4282</v>
      </c>
      <c r="G756" s="3">
        <f t="shared" si="33"/>
        <v>44</v>
      </c>
      <c r="H756" s="4">
        <f t="shared" si="34"/>
        <v>1.0275572162540825E-2</v>
      </c>
      <c r="I756" s="1">
        <f t="shared" si="35"/>
        <v>4</v>
      </c>
    </row>
    <row r="757" spans="1:9" hidden="1" x14ac:dyDescent="0.2">
      <c r="A757" s="6">
        <v>43946.708333333336</v>
      </c>
      <c r="B757" s="1" t="s">
        <v>9</v>
      </c>
      <c r="C757">
        <v>543</v>
      </c>
      <c r="D757">
        <v>55</v>
      </c>
      <c r="E757">
        <v>341</v>
      </c>
      <c r="F757">
        <v>4299</v>
      </c>
      <c r="G757" s="3">
        <f t="shared" si="33"/>
        <v>17</v>
      </c>
      <c r="H757" s="4">
        <f t="shared" si="34"/>
        <v>3.9544080018608652E-3</v>
      </c>
      <c r="I757" s="1">
        <f t="shared" si="35"/>
        <v>5</v>
      </c>
    </row>
    <row r="758" spans="1:9" hidden="1" x14ac:dyDescent="0.2">
      <c r="A758" s="6">
        <v>43947.708333333336</v>
      </c>
      <c r="B758" s="1" t="s">
        <v>9</v>
      </c>
      <c r="C758">
        <v>536</v>
      </c>
      <c r="D758">
        <v>45</v>
      </c>
      <c r="E758">
        <v>345</v>
      </c>
      <c r="F758">
        <v>4331</v>
      </c>
      <c r="G758" s="3">
        <f t="shared" si="33"/>
        <v>32</v>
      </c>
      <c r="H758" s="4">
        <f t="shared" si="34"/>
        <v>7.3885938582313182E-3</v>
      </c>
      <c r="I758" s="1">
        <f t="shared" si="35"/>
        <v>4</v>
      </c>
    </row>
    <row r="759" spans="1:9" hidden="1" x14ac:dyDescent="0.2">
      <c r="A759" s="6">
        <v>43948.708333333336</v>
      </c>
      <c r="B759" s="1" t="s">
        <v>9</v>
      </c>
      <c r="C759">
        <v>541</v>
      </c>
      <c r="D759">
        <v>37</v>
      </c>
      <c r="E759">
        <v>352</v>
      </c>
      <c r="F759">
        <v>4349</v>
      </c>
      <c r="G759" s="3">
        <f t="shared" si="33"/>
        <v>18</v>
      </c>
      <c r="H759" s="4">
        <f t="shared" si="34"/>
        <v>4.1388825017245612E-3</v>
      </c>
      <c r="I759" s="1">
        <f t="shared" si="35"/>
        <v>7</v>
      </c>
    </row>
    <row r="760" spans="1:9" hidden="1" x14ac:dyDescent="0.2">
      <c r="A760" s="6">
        <v>43949.708333333336</v>
      </c>
      <c r="B760" s="1" t="s">
        <v>9</v>
      </c>
      <c r="C760">
        <v>544</v>
      </c>
      <c r="D760">
        <v>33</v>
      </c>
      <c r="E760">
        <v>358</v>
      </c>
      <c r="F760">
        <v>4380</v>
      </c>
      <c r="G760" s="3">
        <f t="shared" si="33"/>
        <v>31</v>
      </c>
      <c r="H760" s="4">
        <f t="shared" si="34"/>
        <v>7.0776255707762914E-3</v>
      </c>
      <c r="I760" s="1">
        <f t="shared" si="35"/>
        <v>6</v>
      </c>
    </row>
    <row r="761" spans="1:9" hidden="1" x14ac:dyDescent="0.2">
      <c r="A761" s="6">
        <v>43950.708333333336</v>
      </c>
      <c r="B761" s="1" t="s">
        <v>9</v>
      </c>
      <c r="C761">
        <v>518</v>
      </c>
      <c r="D761">
        <v>31</v>
      </c>
      <c r="E761">
        <v>359</v>
      </c>
      <c r="F761">
        <v>4410</v>
      </c>
      <c r="G761" s="3">
        <f t="shared" si="33"/>
        <v>30</v>
      </c>
      <c r="H761" s="4">
        <f t="shared" si="34"/>
        <v>6.8027210884353817E-3</v>
      </c>
      <c r="I761" s="1">
        <f t="shared" si="35"/>
        <v>1</v>
      </c>
    </row>
    <row r="762" spans="1:9" hidden="1" x14ac:dyDescent="0.2">
      <c r="A762" s="6">
        <v>43951.708333333336</v>
      </c>
      <c r="B762" s="1" t="s">
        <v>9</v>
      </c>
      <c r="C762">
        <v>484</v>
      </c>
      <c r="D762">
        <v>29</v>
      </c>
      <c r="E762">
        <v>359</v>
      </c>
      <c r="F762">
        <v>4423</v>
      </c>
      <c r="G762" s="3">
        <f t="shared" si="33"/>
        <v>13</v>
      </c>
      <c r="H762" s="4">
        <f t="shared" si="34"/>
        <v>2.939181550983494E-3</v>
      </c>
      <c r="I762" s="1">
        <f t="shared" si="35"/>
        <v>0</v>
      </c>
    </row>
    <row r="763" spans="1:9" hidden="1" x14ac:dyDescent="0.2">
      <c r="A763" s="6">
        <v>43952.708333333336</v>
      </c>
      <c r="B763" s="1" t="s">
        <v>9</v>
      </c>
      <c r="C763">
        <v>478</v>
      </c>
      <c r="D763">
        <v>29</v>
      </c>
      <c r="E763">
        <v>359</v>
      </c>
      <c r="F763">
        <v>4444</v>
      </c>
      <c r="G763" s="3">
        <f t="shared" si="33"/>
        <v>21</v>
      </c>
      <c r="H763" s="4">
        <f t="shared" si="34"/>
        <v>4.7254725472547499E-3</v>
      </c>
      <c r="I763" s="1">
        <f t="shared" si="35"/>
        <v>0</v>
      </c>
    </row>
    <row r="764" spans="1:9" hidden="1" x14ac:dyDescent="0.2">
      <c r="A764" s="6">
        <v>43953.708333333336</v>
      </c>
      <c r="B764" s="1" t="s">
        <v>9</v>
      </c>
      <c r="C764">
        <v>470</v>
      </c>
      <c r="D764">
        <v>27</v>
      </c>
      <c r="E764">
        <v>362</v>
      </c>
      <c r="F764">
        <v>4459</v>
      </c>
      <c r="G764" s="3">
        <f t="shared" si="33"/>
        <v>15</v>
      </c>
      <c r="H764" s="4">
        <f t="shared" si="34"/>
        <v>3.3639829558197443E-3</v>
      </c>
      <c r="I764" s="1">
        <f t="shared" si="35"/>
        <v>3</v>
      </c>
    </row>
    <row r="765" spans="1:9" hidden="1" x14ac:dyDescent="0.2">
      <c r="A765" s="6">
        <v>43954.708333333336</v>
      </c>
      <c r="B765" s="1" t="s">
        <v>9</v>
      </c>
      <c r="C765">
        <v>455</v>
      </c>
      <c r="D765">
        <v>30</v>
      </c>
      <c r="E765">
        <v>364</v>
      </c>
      <c r="F765">
        <v>4484</v>
      </c>
      <c r="G765" s="3">
        <f t="shared" si="33"/>
        <v>25</v>
      </c>
      <c r="H765" s="4">
        <f t="shared" si="34"/>
        <v>5.5753791257805441E-3</v>
      </c>
      <c r="I765" s="1">
        <f t="shared" si="35"/>
        <v>2</v>
      </c>
    </row>
    <row r="766" spans="1:9" hidden="1" x14ac:dyDescent="0.2">
      <c r="A766" s="6">
        <v>43955.708333333336</v>
      </c>
      <c r="B766" s="1" t="s">
        <v>9</v>
      </c>
      <c r="C766">
        <v>438</v>
      </c>
      <c r="D766">
        <v>24</v>
      </c>
      <c r="E766">
        <v>366</v>
      </c>
      <c r="F766">
        <v>4498</v>
      </c>
      <c r="G766" s="3">
        <f t="shared" si="33"/>
        <v>14</v>
      </c>
      <c r="H766" s="4">
        <f t="shared" si="34"/>
        <v>3.1124944419742562E-3</v>
      </c>
      <c r="I766" s="1">
        <f t="shared" si="35"/>
        <v>2</v>
      </c>
    </row>
    <row r="767" spans="1:9" hidden="1" x14ac:dyDescent="0.2">
      <c r="A767" s="6">
        <v>43956.708333333336</v>
      </c>
      <c r="B767" s="1" t="s">
        <v>9</v>
      </c>
      <c r="C767">
        <v>408</v>
      </c>
      <c r="D767">
        <v>25</v>
      </c>
      <c r="E767">
        <v>369</v>
      </c>
      <c r="F767">
        <v>4518</v>
      </c>
      <c r="G767" s="3">
        <f t="shared" si="33"/>
        <v>20</v>
      </c>
      <c r="H767" s="4">
        <f t="shared" si="34"/>
        <v>4.4267374944665372E-3</v>
      </c>
      <c r="I767" s="1">
        <f t="shared" si="35"/>
        <v>3</v>
      </c>
    </row>
    <row r="768" spans="1:9" hidden="1" x14ac:dyDescent="0.2">
      <c r="A768" s="6">
        <v>43957.708333333336</v>
      </c>
      <c r="B768" s="1" t="s">
        <v>9</v>
      </c>
      <c r="C768">
        <v>433</v>
      </c>
      <c r="D768">
        <v>25</v>
      </c>
      <c r="E768">
        <v>376</v>
      </c>
      <c r="F768">
        <v>4532</v>
      </c>
      <c r="G768" s="3">
        <f t="shared" si="33"/>
        <v>14</v>
      </c>
      <c r="H768" s="4">
        <f t="shared" si="34"/>
        <v>3.0891438658429138E-3</v>
      </c>
      <c r="I768" s="1">
        <f t="shared" si="35"/>
        <v>7</v>
      </c>
    </row>
    <row r="769" spans="1:9" hidden="1" x14ac:dyDescent="0.2">
      <c r="A769" s="6">
        <v>43958.708333333336</v>
      </c>
      <c r="B769" s="1" t="s">
        <v>9</v>
      </c>
      <c r="C769">
        <v>415</v>
      </c>
      <c r="D769">
        <v>27</v>
      </c>
      <c r="E769">
        <v>379</v>
      </c>
      <c r="F769">
        <v>4541</v>
      </c>
      <c r="G769" s="3">
        <f t="shared" si="33"/>
        <v>9</v>
      </c>
      <c r="H769" s="4">
        <f t="shared" si="34"/>
        <v>1.9819423034573846E-3</v>
      </c>
      <c r="I769" s="1">
        <f t="shared" si="35"/>
        <v>3</v>
      </c>
    </row>
    <row r="770" spans="1:9" hidden="1" x14ac:dyDescent="0.2">
      <c r="A770" s="6">
        <v>43959.708333333336</v>
      </c>
      <c r="B770" s="1" t="s">
        <v>9</v>
      </c>
      <c r="C770">
        <v>418</v>
      </c>
      <c r="D770">
        <v>28</v>
      </c>
      <c r="E770">
        <v>386</v>
      </c>
      <c r="F770">
        <v>4562</v>
      </c>
      <c r="G770" s="3">
        <f t="shared" si="33"/>
        <v>21</v>
      </c>
      <c r="H770" s="4">
        <f t="shared" si="34"/>
        <v>4.6032441911442179E-3</v>
      </c>
      <c r="I770" s="1">
        <f t="shared" si="35"/>
        <v>7</v>
      </c>
    </row>
    <row r="771" spans="1:9" hidden="1" x14ac:dyDescent="0.2">
      <c r="A771" s="6">
        <v>43960.708333333336</v>
      </c>
      <c r="B771" s="1" t="s">
        <v>9</v>
      </c>
      <c r="C771">
        <v>415</v>
      </c>
      <c r="D771">
        <v>26</v>
      </c>
      <c r="E771">
        <v>388</v>
      </c>
      <c r="F771">
        <v>4576</v>
      </c>
      <c r="G771" s="3">
        <f t="shared" ref="G771:G834" si="36">IF(AND(F771&gt;0,AND(B771=B770,F771&gt;0)),F771-F770,0)</f>
        <v>14</v>
      </c>
      <c r="H771" s="4">
        <f t="shared" ref="H771:H834" si="37">IF(AND(F770&gt;0,AND(B771=B770,F770&gt;0)),1-(F770/F771),0)</f>
        <v>3.0594405594405183E-3</v>
      </c>
      <c r="I771" s="1">
        <f t="shared" ref="I771:I834" si="38">IF(AND(E771&gt;0,AND(B771=B770,E771&gt;0)),E771-E770,0)</f>
        <v>2</v>
      </c>
    </row>
    <row r="772" spans="1:9" hidden="1" x14ac:dyDescent="0.2">
      <c r="A772" s="6">
        <v>43961.708333333336</v>
      </c>
      <c r="B772" s="1" t="s">
        <v>9</v>
      </c>
      <c r="C772">
        <v>435</v>
      </c>
      <c r="D772">
        <v>20</v>
      </c>
      <c r="E772">
        <v>391</v>
      </c>
      <c r="F772">
        <v>4588</v>
      </c>
      <c r="G772" s="3">
        <f t="shared" si="36"/>
        <v>12</v>
      </c>
      <c r="H772" s="4">
        <f t="shared" si="37"/>
        <v>2.6155187445510153E-3</v>
      </c>
      <c r="I772" s="1">
        <f t="shared" si="38"/>
        <v>3</v>
      </c>
    </row>
    <row r="773" spans="1:9" hidden="1" x14ac:dyDescent="0.2">
      <c r="A773" s="6">
        <v>43962.708333333336</v>
      </c>
      <c r="B773" s="1" t="s">
        <v>9</v>
      </c>
      <c r="C773">
        <v>436</v>
      </c>
      <c r="D773">
        <v>23</v>
      </c>
      <c r="E773">
        <v>392</v>
      </c>
      <c r="F773">
        <v>4602</v>
      </c>
      <c r="G773" s="3">
        <f t="shared" si="36"/>
        <v>14</v>
      </c>
      <c r="H773" s="4">
        <f t="shared" si="37"/>
        <v>3.042155584528472E-3</v>
      </c>
      <c r="I773" s="1">
        <f t="shared" si="38"/>
        <v>1</v>
      </c>
    </row>
    <row r="774" spans="1:9" hidden="1" x14ac:dyDescent="0.2">
      <c r="A774" s="6">
        <v>43963.708333333336</v>
      </c>
      <c r="B774" s="1" t="s">
        <v>9</v>
      </c>
      <c r="C774">
        <v>414</v>
      </c>
      <c r="D774">
        <v>20</v>
      </c>
      <c r="E774">
        <v>393</v>
      </c>
      <c r="F774">
        <v>4615</v>
      </c>
      <c r="G774" s="3">
        <f t="shared" si="36"/>
        <v>13</v>
      </c>
      <c r="H774" s="4">
        <f t="shared" si="37"/>
        <v>2.8169014084507005E-3</v>
      </c>
      <c r="I774" s="1">
        <f t="shared" si="38"/>
        <v>1</v>
      </c>
    </row>
    <row r="775" spans="1:9" hidden="1" x14ac:dyDescent="0.2">
      <c r="A775" s="6">
        <v>43964.708333333336</v>
      </c>
      <c r="B775" s="1" t="s">
        <v>9</v>
      </c>
      <c r="C775">
        <v>402</v>
      </c>
      <c r="D775">
        <v>19</v>
      </c>
      <c r="E775">
        <v>394</v>
      </c>
      <c r="F775">
        <v>4630</v>
      </c>
      <c r="G775" s="3">
        <f t="shared" si="36"/>
        <v>15</v>
      </c>
      <c r="H775" s="4">
        <f t="shared" si="37"/>
        <v>3.2397408207343048E-3</v>
      </c>
      <c r="I775" s="1">
        <f t="shared" si="38"/>
        <v>1</v>
      </c>
    </row>
    <row r="776" spans="1:9" hidden="1" x14ac:dyDescent="0.2">
      <c r="A776" s="6">
        <v>43965.708333333336</v>
      </c>
      <c r="B776" s="1" t="s">
        <v>9</v>
      </c>
      <c r="C776">
        <v>387</v>
      </c>
      <c r="D776">
        <v>19</v>
      </c>
      <c r="E776">
        <v>394</v>
      </c>
      <c r="F776">
        <v>4639</v>
      </c>
      <c r="G776" s="3">
        <f t="shared" si="36"/>
        <v>9</v>
      </c>
      <c r="H776" s="4">
        <f t="shared" si="37"/>
        <v>1.9400732916576846E-3</v>
      </c>
      <c r="I776" s="1">
        <f t="shared" si="38"/>
        <v>0</v>
      </c>
    </row>
    <row r="777" spans="1:9" hidden="1" x14ac:dyDescent="0.2">
      <c r="A777" s="6">
        <v>43966.708333333336</v>
      </c>
      <c r="B777" s="1" t="s">
        <v>9</v>
      </c>
      <c r="C777">
        <v>341</v>
      </c>
      <c r="D777">
        <v>17</v>
      </c>
      <c r="E777">
        <v>396</v>
      </c>
      <c r="F777">
        <v>4654</v>
      </c>
      <c r="G777" s="3">
        <f t="shared" si="36"/>
        <v>15</v>
      </c>
      <c r="H777" s="4">
        <f t="shared" si="37"/>
        <v>3.2230339492909099E-3</v>
      </c>
      <c r="I777" s="1">
        <f t="shared" si="38"/>
        <v>2</v>
      </c>
    </row>
    <row r="778" spans="1:9" hidden="1" x14ac:dyDescent="0.2">
      <c r="A778" s="6">
        <v>43967.708333333336</v>
      </c>
      <c r="B778" s="1" t="s">
        <v>9</v>
      </c>
      <c r="C778">
        <v>351</v>
      </c>
      <c r="D778">
        <v>16</v>
      </c>
      <c r="E778">
        <v>396</v>
      </c>
      <c r="F778">
        <v>4668</v>
      </c>
      <c r="G778" s="3">
        <f t="shared" si="36"/>
        <v>14</v>
      </c>
      <c r="H778" s="4">
        <f t="shared" si="37"/>
        <v>2.9991431019709136E-3</v>
      </c>
      <c r="I778" s="1">
        <f t="shared" si="38"/>
        <v>0</v>
      </c>
    </row>
    <row r="779" spans="1:9" hidden="1" x14ac:dyDescent="0.2">
      <c r="A779" s="6">
        <v>43968.708333333336</v>
      </c>
      <c r="B779" s="1" t="s">
        <v>9</v>
      </c>
      <c r="C779">
        <v>342</v>
      </c>
      <c r="D779">
        <v>17</v>
      </c>
      <c r="E779">
        <v>396</v>
      </c>
      <c r="F779">
        <v>4684</v>
      </c>
      <c r="G779" s="3">
        <f t="shared" si="36"/>
        <v>16</v>
      </c>
      <c r="H779" s="4">
        <f t="shared" si="37"/>
        <v>3.4158838599487318E-3</v>
      </c>
      <c r="I779" s="1">
        <f t="shared" si="38"/>
        <v>0</v>
      </c>
    </row>
    <row r="780" spans="1:9" hidden="1" x14ac:dyDescent="0.2">
      <c r="A780" s="6">
        <v>43969.708333333336</v>
      </c>
      <c r="B780" s="1" t="s">
        <v>9</v>
      </c>
      <c r="C780">
        <v>342</v>
      </c>
      <c r="D780">
        <v>17</v>
      </c>
      <c r="E780">
        <v>399</v>
      </c>
      <c r="F780">
        <v>4695</v>
      </c>
      <c r="G780" s="3">
        <f t="shared" si="36"/>
        <v>11</v>
      </c>
      <c r="H780" s="4">
        <f t="shared" si="37"/>
        <v>2.3429179978701198E-3</v>
      </c>
      <c r="I780" s="1">
        <f t="shared" si="38"/>
        <v>3</v>
      </c>
    </row>
    <row r="781" spans="1:9" hidden="1" x14ac:dyDescent="0.2">
      <c r="A781" s="6">
        <v>43970.708333333336</v>
      </c>
      <c r="B781" s="1" t="s">
        <v>9</v>
      </c>
      <c r="C781">
        <v>330</v>
      </c>
      <c r="D781">
        <v>17</v>
      </c>
      <c r="E781">
        <v>399</v>
      </c>
      <c r="F781">
        <v>4707</v>
      </c>
      <c r="G781" s="3">
        <f t="shared" si="36"/>
        <v>12</v>
      </c>
      <c r="H781" s="4">
        <f t="shared" si="37"/>
        <v>2.5493945188017619E-3</v>
      </c>
      <c r="I781" s="1">
        <f t="shared" si="38"/>
        <v>0</v>
      </c>
    </row>
    <row r="782" spans="1:9" hidden="1" x14ac:dyDescent="0.2">
      <c r="A782" s="6">
        <v>43971.708333333336</v>
      </c>
      <c r="B782" s="1" t="s">
        <v>9</v>
      </c>
      <c r="C782">
        <v>318</v>
      </c>
      <c r="D782">
        <v>12</v>
      </c>
      <c r="E782">
        <v>401</v>
      </c>
      <c r="F782">
        <v>4714</v>
      </c>
      <c r="G782" s="3">
        <f t="shared" si="36"/>
        <v>7</v>
      </c>
      <c r="H782" s="4">
        <f t="shared" si="37"/>
        <v>1.4849384811200794E-3</v>
      </c>
      <c r="I782" s="1">
        <f t="shared" si="38"/>
        <v>2</v>
      </c>
    </row>
    <row r="783" spans="1:9" hidden="1" x14ac:dyDescent="0.2">
      <c r="A783" s="6">
        <v>43972.708333333336</v>
      </c>
      <c r="B783" s="1" t="s">
        <v>9</v>
      </c>
      <c r="C783">
        <v>312</v>
      </c>
      <c r="D783">
        <v>9</v>
      </c>
      <c r="E783">
        <v>403</v>
      </c>
      <c r="F783">
        <v>4723</v>
      </c>
      <c r="G783" s="3">
        <f t="shared" si="36"/>
        <v>9</v>
      </c>
      <c r="H783" s="4">
        <f t="shared" si="37"/>
        <v>1.9055684946008844E-3</v>
      </c>
      <c r="I783" s="1">
        <f t="shared" si="38"/>
        <v>2</v>
      </c>
    </row>
    <row r="784" spans="1:9" hidden="1" x14ac:dyDescent="0.2">
      <c r="A784" s="6">
        <v>43973.708333333336</v>
      </c>
      <c r="B784" s="1" t="s">
        <v>9</v>
      </c>
      <c r="C784">
        <v>312</v>
      </c>
      <c r="D784">
        <v>9</v>
      </c>
      <c r="E784">
        <v>404</v>
      </c>
      <c r="F784">
        <v>4733</v>
      </c>
      <c r="G784" s="3">
        <f t="shared" si="36"/>
        <v>10</v>
      </c>
      <c r="H784" s="4">
        <f t="shared" si="37"/>
        <v>2.1128248468201827E-3</v>
      </c>
      <c r="I784" s="1">
        <f t="shared" si="38"/>
        <v>1</v>
      </c>
    </row>
    <row r="785" spans="1:9" hidden="1" x14ac:dyDescent="0.2">
      <c r="A785" s="6">
        <v>43974.708333333336</v>
      </c>
      <c r="B785" s="1" t="s">
        <v>9</v>
      </c>
      <c r="C785">
        <v>295</v>
      </c>
      <c r="D785">
        <v>10</v>
      </c>
      <c r="E785">
        <v>404</v>
      </c>
      <c r="F785">
        <v>4744</v>
      </c>
      <c r="G785" s="3">
        <f t="shared" si="36"/>
        <v>11</v>
      </c>
      <c r="H785" s="4">
        <f t="shared" si="37"/>
        <v>2.3187183811129719E-3</v>
      </c>
      <c r="I785" s="1">
        <f t="shared" si="38"/>
        <v>0</v>
      </c>
    </row>
    <row r="786" spans="1:9" hidden="1" x14ac:dyDescent="0.2">
      <c r="A786" s="6">
        <v>43975.708333333336</v>
      </c>
      <c r="B786" s="1" t="s">
        <v>9</v>
      </c>
      <c r="C786">
        <v>311</v>
      </c>
      <c r="D786">
        <v>8</v>
      </c>
      <c r="E786">
        <v>405</v>
      </c>
      <c r="F786">
        <v>4749</v>
      </c>
      <c r="G786" s="3">
        <f t="shared" si="36"/>
        <v>5</v>
      </c>
      <c r="H786" s="4">
        <f t="shared" si="37"/>
        <v>1.0528532322594542E-3</v>
      </c>
      <c r="I786" s="1">
        <f t="shared" si="38"/>
        <v>1</v>
      </c>
    </row>
    <row r="787" spans="1:9" hidden="1" x14ac:dyDescent="0.2">
      <c r="A787" s="6">
        <v>43976.708333333336</v>
      </c>
      <c r="B787" s="1" t="s">
        <v>9</v>
      </c>
      <c r="C787">
        <v>287</v>
      </c>
      <c r="D787">
        <v>7</v>
      </c>
      <c r="E787">
        <v>405</v>
      </c>
      <c r="F787">
        <v>4755</v>
      </c>
      <c r="G787" s="3">
        <f t="shared" si="36"/>
        <v>6</v>
      </c>
      <c r="H787" s="4">
        <f t="shared" si="37"/>
        <v>1.2618296529968154E-3</v>
      </c>
      <c r="I787" s="1">
        <f t="shared" si="38"/>
        <v>0</v>
      </c>
    </row>
    <row r="788" spans="1:9" hidden="1" x14ac:dyDescent="0.2">
      <c r="A788" s="6">
        <v>43977.708333333336</v>
      </c>
      <c r="B788" s="1" t="s">
        <v>9</v>
      </c>
      <c r="C788">
        <v>286</v>
      </c>
      <c r="D788">
        <v>5</v>
      </c>
      <c r="E788">
        <v>405</v>
      </c>
      <c r="F788">
        <v>4767</v>
      </c>
      <c r="G788" s="3">
        <f t="shared" si="36"/>
        <v>12</v>
      </c>
      <c r="H788" s="4">
        <f t="shared" si="37"/>
        <v>2.5173064820641633E-3</v>
      </c>
      <c r="I788" s="1">
        <f t="shared" si="38"/>
        <v>0</v>
      </c>
    </row>
    <row r="789" spans="1:9" hidden="1" x14ac:dyDescent="0.2">
      <c r="A789" s="6">
        <v>43978.708333333336</v>
      </c>
      <c r="B789" s="1" t="s">
        <v>9</v>
      </c>
      <c r="C789">
        <v>275</v>
      </c>
      <c r="D789">
        <v>6</v>
      </c>
      <c r="E789">
        <v>406</v>
      </c>
      <c r="F789">
        <v>4773</v>
      </c>
      <c r="G789" s="3">
        <f t="shared" si="36"/>
        <v>6</v>
      </c>
      <c r="H789" s="4">
        <f t="shared" si="37"/>
        <v>1.2570710245128902E-3</v>
      </c>
      <c r="I789" s="1">
        <f t="shared" si="38"/>
        <v>1</v>
      </c>
    </row>
    <row r="790" spans="1:9" hidden="1" x14ac:dyDescent="0.2">
      <c r="A790" s="6">
        <v>43979.708333333336</v>
      </c>
      <c r="B790" s="1" t="s">
        <v>9</v>
      </c>
      <c r="C790">
        <v>260</v>
      </c>
      <c r="D790">
        <v>6</v>
      </c>
      <c r="E790">
        <v>410</v>
      </c>
      <c r="F790">
        <v>4777</v>
      </c>
      <c r="G790" s="3">
        <f t="shared" si="36"/>
        <v>4</v>
      </c>
      <c r="H790" s="4">
        <f t="shared" si="37"/>
        <v>8.3734561440229616E-4</v>
      </c>
      <c r="I790" s="1">
        <f t="shared" si="38"/>
        <v>4</v>
      </c>
    </row>
    <row r="791" spans="1:9" hidden="1" x14ac:dyDescent="0.2">
      <c r="A791" s="6">
        <v>43980.708333333336</v>
      </c>
      <c r="B791" s="1" t="s">
        <v>9</v>
      </c>
      <c r="C791">
        <v>236</v>
      </c>
      <c r="D791">
        <v>7</v>
      </c>
      <c r="E791">
        <v>411</v>
      </c>
      <c r="F791">
        <v>4787</v>
      </c>
      <c r="G791" s="3">
        <f t="shared" si="36"/>
        <v>10</v>
      </c>
      <c r="H791" s="4">
        <f t="shared" si="37"/>
        <v>2.088991017338615E-3</v>
      </c>
      <c r="I791" s="1">
        <f t="shared" si="38"/>
        <v>1</v>
      </c>
    </row>
    <row r="792" spans="1:9" hidden="1" x14ac:dyDescent="0.2">
      <c r="A792" s="6">
        <v>43981.708333333336</v>
      </c>
      <c r="B792" s="1" t="s">
        <v>9</v>
      </c>
      <c r="C792">
        <v>236</v>
      </c>
      <c r="D792">
        <v>7</v>
      </c>
      <c r="E792">
        <v>411</v>
      </c>
      <c r="F792">
        <v>4797</v>
      </c>
      <c r="G792" s="3">
        <f t="shared" si="36"/>
        <v>10</v>
      </c>
      <c r="H792" s="4">
        <f t="shared" si="37"/>
        <v>2.0846362309776545E-3</v>
      </c>
      <c r="I792" s="1">
        <f t="shared" si="38"/>
        <v>0</v>
      </c>
    </row>
    <row r="793" spans="1:9" hidden="1" x14ac:dyDescent="0.2">
      <c r="A793" s="6">
        <v>43982.708333333336</v>
      </c>
      <c r="B793" s="1" t="s">
        <v>9</v>
      </c>
      <c r="C793">
        <v>227</v>
      </c>
      <c r="D793">
        <v>5</v>
      </c>
      <c r="E793">
        <v>412</v>
      </c>
      <c r="F793">
        <v>4802</v>
      </c>
      <c r="G793" s="3">
        <f t="shared" si="36"/>
        <v>5</v>
      </c>
      <c r="H793" s="4">
        <f t="shared" si="37"/>
        <v>1.0412328196585108E-3</v>
      </c>
      <c r="I793" s="1">
        <f t="shared" si="38"/>
        <v>1</v>
      </c>
    </row>
    <row r="794" spans="1:9" hidden="1" x14ac:dyDescent="0.2">
      <c r="A794" s="6">
        <v>43983.708333333336</v>
      </c>
      <c r="B794" s="1" t="s">
        <v>9</v>
      </c>
      <c r="C794">
        <v>224</v>
      </c>
      <c r="D794">
        <v>6</v>
      </c>
      <c r="E794">
        <v>413</v>
      </c>
      <c r="F794">
        <v>4806</v>
      </c>
      <c r="G794" s="3">
        <f t="shared" si="36"/>
        <v>4</v>
      </c>
      <c r="H794" s="4">
        <f t="shared" si="37"/>
        <v>8.3229296712439282E-4</v>
      </c>
      <c r="I794" s="1">
        <f t="shared" si="38"/>
        <v>1</v>
      </c>
    </row>
    <row r="795" spans="1:9" hidden="1" x14ac:dyDescent="0.2">
      <c r="A795" s="6">
        <v>43984.708333333336</v>
      </c>
      <c r="B795" s="1" t="s">
        <v>9</v>
      </c>
      <c r="C795">
        <v>236</v>
      </c>
      <c r="D795">
        <v>7</v>
      </c>
      <c r="E795">
        <v>415</v>
      </c>
      <c r="F795">
        <v>4809</v>
      </c>
      <c r="G795" s="3">
        <f t="shared" si="36"/>
        <v>3</v>
      </c>
      <c r="H795" s="4">
        <f t="shared" si="37"/>
        <v>6.2383031815349543E-4</v>
      </c>
      <c r="I795" s="1">
        <f t="shared" si="38"/>
        <v>2</v>
      </c>
    </row>
    <row r="796" spans="1:9" hidden="1" x14ac:dyDescent="0.2">
      <c r="A796" s="6">
        <v>43985.708333333336</v>
      </c>
      <c r="B796" s="1" t="s">
        <v>9</v>
      </c>
      <c r="C796">
        <v>206</v>
      </c>
      <c r="D796">
        <v>4</v>
      </c>
      <c r="E796">
        <v>415</v>
      </c>
      <c r="F796">
        <v>4821</v>
      </c>
      <c r="G796" s="3">
        <f t="shared" si="36"/>
        <v>12</v>
      </c>
      <c r="H796" s="4">
        <f t="shared" si="37"/>
        <v>2.4891101431238072E-3</v>
      </c>
      <c r="I796" s="1">
        <f t="shared" si="38"/>
        <v>0</v>
      </c>
    </row>
    <row r="797" spans="1:9" hidden="1" x14ac:dyDescent="0.2">
      <c r="A797" s="6">
        <v>43986.708333333336</v>
      </c>
      <c r="B797" s="1" t="s">
        <v>9</v>
      </c>
      <c r="C797">
        <v>160</v>
      </c>
      <c r="D797">
        <v>5</v>
      </c>
      <c r="E797">
        <v>420</v>
      </c>
      <c r="F797">
        <v>4822</v>
      </c>
      <c r="G797" s="3">
        <f t="shared" si="36"/>
        <v>1</v>
      </c>
      <c r="H797" s="4">
        <f t="shared" si="37"/>
        <v>2.0738282870180758E-4</v>
      </c>
      <c r="I797" s="1">
        <f t="shared" si="38"/>
        <v>5</v>
      </c>
    </row>
    <row r="798" spans="1:9" hidden="1" x14ac:dyDescent="0.2">
      <c r="A798" s="6">
        <v>43987.708333333336</v>
      </c>
      <c r="B798" s="1" t="s">
        <v>9</v>
      </c>
      <c r="C798">
        <v>133</v>
      </c>
      <c r="D798">
        <v>7</v>
      </c>
      <c r="E798">
        <v>425</v>
      </c>
      <c r="F798">
        <v>4822</v>
      </c>
      <c r="G798" s="3">
        <f t="shared" si="36"/>
        <v>0</v>
      </c>
      <c r="H798" s="4">
        <f t="shared" si="37"/>
        <v>0</v>
      </c>
      <c r="I798" s="1">
        <f t="shared" si="38"/>
        <v>5</v>
      </c>
    </row>
    <row r="799" spans="1:9" hidden="1" x14ac:dyDescent="0.2">
      <c r="A799" s="6">
        <v>43988.708333333336</v>
      </c>
      <c r="B799" s="1" t="s">
        <v>9</v>
      </c>
      <c r="C799">
        <v>97</v>
      </c>
      <c r="D799">
        <v>7</v>
      </c>
      <c r="E799">
        <v>426</v>
      </c>
      <c r="F799">
        <v>4822</v>
      </c>
      <c r="G799" s="3">
        <f t="shared" si="36"/>
        <v>0</v>
      </c>
      <c r="H799" s="4">
        <f t="shared" si="37"/>
        <v>0</v>
      </c>
      <c r="I799" s="1">
        <f t="shared" si="38"/>
        <v>1</v>
      </c>
    </row>
    <row r="800" spans="1:9" hidden="1" x14ac:dyDescent="0.2">
      <c r="A800" s="6">
        <v>43989.708333333336</v>
      </c>
      <c r="B800" s="1" t="s">
        <v>9</v>
      </c>
      <c r="C800">
        <v>86</v>
      </c>
      <c r="D800">
        <v>6</v>
      </c>
      <c r="E800">
        <v>426</v>
      </c>
      <c r="F800">
        <v>4826</v>
      </c>
      <c r="G800" s="3">
        <f t="shared" si="36"/>
        <v>4</v>
      </c>
      <c r="H800" s="4">
        <f t="shared" si="37"/>
        <v>8.2884376295067064E-4</v>
      </c>
      <c r="I800" s="1">
        <f t="shared" si="38"/>
        <v>0</v>
      </c>
    </row>
    <row r="801" spans="1:9" hidden="1" x14ac:dyDescent="0.2">
      <c r="A801" s="6">
        <v>43990.708333333336</v>
      </c>
      <c r="B801" s="1" t="s">
        <v>9</v>
      </c>
      <c r="C801">
        <v>82</v>
      </c>
      <c r="D801">
        <v>6</v>
      </c>
      <c r="E801">
        <v>426</v>
      </c>
      <c r="F801">
        <v>4828</v>
      </c>
      <c r="G801" s="3">
        <f t="shared" si="36"/>
        <v>2</v>
      </c>
      <c r="H801" s="4">
        <f t="shared" si="37"/>
        <v>4.1425020712515526E-4</v>
      </c>
      <c r="I801" s="1">
        <f t="shared" si="38"/>
        <v>0</v>
      </c>
    </row>
    <row r="802" spans="1:9" hidden="1" x14ac:dyDescent="0.2">
      <c r="A802" s="6">
        <v>43991.708333333336</v>
      </c>
      <c r="B802" s="1" t="s">
        <v>9</v>
      </c>
      <c r="C802">
        <v>73</v>
      </c>
      <c r="D802">
        <v>3</v>
      </c>
      <c r="E802">
        <v>426</v>
      </c>
      <c r="F802">
        <v>4833</v>
      </c>
      <c r="G802" s="3">
        <f t="shared" si="36"/>
        <v>5</v>
      </c>
      <c r="H802" s="4">
        <f t="shared" si="37"/>
        <v>1.0345541071797859E-3</v>
      </c>
      <c r="I802" s="1">
        <f t="shared" si="38"/>
        <v>0</v>
      </c>
    </row>
    <row r="803" spans="1:9" hidden="1" x14ac:dyDescent="0.2">
      <c r="A803" s="6">
        <v>43992.708333333336</v>
      </c>
      <c r="B803" s="1" t="s">
        <v>9</v>
      </c>
      <c r="C803">
        <v>74</v>
      </c>
      <c r="D803">
        <v>2</v>
      </c>
      <c r="E803">
        <v>428</v>
      </c>
      <c r="F803">
        <v>4834</v>
      </c>
      <c r="G803" s="3">
        <f t="shared" si="36"/>
        <v>1</v>
      </c>
      <c r="H803" s="4">
        <f t="shared" si="37"/>
        <v>2.0686801820435363E-4</v>
      </c>
      <c r="I803" s="1">
        <f t="shared" si="38"/>
        <v>2</v>
      </c>
    </row>
    <row r="804" spans="1:9" hidden="1" x14ac:dyDescent="0.2">
      <c r="A804" s="6">
        <v>43993.708333333336</v>
      </c>
      <c r="B804" s="1" t="s">
        <v>9</v>
      </c>
      <c r="C804">
        <v>74</v>
      </c>
      <c r="D804">
        <v>2</v>
      </c>
      <c r="E804">
        <v>430</v>
      </c>
      <c r="F804">
        <v>4837</v>
      </c>
      <c r="G804" s="3">
        <f t="shared" si="36"/>
        <v>3</v>
      </c>
      <c r="H804" s="4">
        <f t="shared" si="37"/>
        <v>6.2021914409760015E-4</v>
      </c>
      <c r="I804" s="1">
        <f t="shared" si="38"/>
        <v>2</v>
      </c>
    </row>
    <row r="805" spans="1:9" hidden="1" x14ac:dyDescent="0.2">
      <c r="A805" s="6">
        <v>43994.708333333336</v>
      </c>
      <c r="B805" s="1" t="s">
        <v>9</v>
      </c>
      <c r="C805">
        <v>61</v>
      </c>
      <c r="D805">
        <v>2</v>
      </c>
      <c r="E805">
        <v>430</v>
      </c>
      <c r="F805">
        <v>4608</v>
      </c>
      <c r="G805" s="3">
        <f t="shared" si="36"/>
        <v>-229</v>
      </c>
      <c r="H805" s="4">
        <f t="shared" si="37"/>
        <v>-4.969618055555558E-2</v>
      </c>
      <c r="I805" s="1">
        <f t="shared" si="38"/>
        <v>0</v>
      </c>
    </row>
    <row r="806" spans="1:9" hidden="1" x14ac:dyDescent="0.2">
      <c r="A806" s="6">
        <v>43995.708333333336</v>
      </c>
      <c r="B806" s="1" t="s">
        <v>9</v>
      </c>
      <c r="C806">
        <v>67</v>
      </c>
      <c r="D806">
        <v>2</v>
      </c>
      <c r="E806">
        <v>430</v>
      </c>
      <c r="F806">
        <v>4608</v>
      </c>
      <c r="G806" s="3">
        <f t="shared" si="36"/>
        <v>0</v>
      </c>
      <c r="H806" s="4">
        <f t="shared" si="37"/>
        <v>0</v>
      </c>
      <c r="I806" s="1">
        <f t="shared" si="38"/>
        <v>0</v>
      </c>
    </row>
    <row r="807" spans="1:9" hidden="1" x14ac:dyDescent="0.2">
      <c r="A807" s="6">
        <v>43996.708333333336</v>
      </c>
      <c r="B807" s="1" t="s">
        <v>9</v>
      </c>
      <c r="C807">
        <v>53</v>
      </c>
      <c r="D807">
        <v>2</v>
      </c>
      <c r="E807">
        <v>430</v>
      </c>
      <c r="F807">
        <v>4609</v>
      </c>
      <c r="G807" s="3">
        <f t="shared" si="36"/>
        <v>1</v>
      </c>
      <c r="H807" s="4">
        <f t="shared" si="37"/>
        <v>2.169668040790107E-4</v>
      </c>
      <c r="I807" s="1">
        <f t="shared" si="38"/>
        <v>0</v>
      </c>
    </row>
    <row r="808" spans="1:9" hidden="1" x14ac:dyDescent="0.2">
      <c r="A808" s="6">
        <v>43997.708333333336</v>
      </c>
      <c r="B808" s="1" t="s">
        <v>9</v>
      </c>
      <c r="C808">
        <v>58</v>
      </c>
      <c r="D808">
        <v>2</v>
      </c>
      <c r="E808">
        <v>430</v>
      </c>
      <c r="F808">
        <v>4613</v>
      </c>
      <c r="G808" s="3">
        <f t="shared" si="36"/>
        <v>4</v>
      </c>
      <c r="H808" s="4">
        <f t="shared" si="37"/>
        <v>8.6711467591593649E-4</v>
      </c>
      <c r="I808" s="1">
        <f t="shared" si="38"/>
        <v>0</v>
      </c>
    </row>
    <row r="809" spans="1:9" hidden="1" x14ac:dyDescent="0.2">
      <c r="A809" s="6">
        <v>43998.708333333336</v>
      </c>
      <c r="B809" s="1" t="s">
        <v>9</v>
      </c>
      <c r="C809">
        <v>57</v>
      </c>
      <c r="D809">
        <v>2</v>
      </c>
      <c r="E809">
        <v>430</v>
      </c>
      <c r="F809">
        <v>4613</v>
      </c>
      <c r="G809" s="3">
        <f t="shared" si="36"/>
        <v>0</v>
      </c>
      <c r="H809" s="4">
        <f t="shared" si="37"/>
        <v>0</v>
      </c>
      <c r="I809" s="1">
        <f t="shared" si="38"/>
        <v>0</v>
      </c>
    </row>
    <row r="810" spans="1:9" hidden="1" x14ac:dyDescent="0.2">
      <c r="A810" s="6">
        <v>43999.708333333336</v>
      </c>
      <c r="B810" s="1" t="s">
        <v>9</v>
      </c>
      <c r="C810">
        <v>48</v>
      </c>
      <c r="D810">
        <v>2</v>
      </c>
      <c r="E810">
        <v>431</v>
      </c>
      <c r="F810">
        <v>4614</v>
      </c>
      <c r="G810" s="3">
        <f t="shared" si="36"/>
        <v>1</v>
      </c>
      <c r="H810" s="4">
        <f t="shared" si="37"/>
        <v>2.1673168617253324E-4</v>
      </c>
      <c r="I810" s="1">
        <f t="shared" si="38"/>
        <v>1</v>
      </c>
    </row>
    <row r="811" spans="1:9" hidden="1" x14ac:dyDescent="0.2">
      <c r="A811" s="6">
        <v>44000.708333333336</v>
      </c>
      <c r="B811" s="1" t="s">
        <v>9</v>
      </c>
      <c r="C811">
        <v>52</v>
      </c>
      <c r="D811">
        <v>6</v>
      </c>
      <c r="E811">
        <v>431</v>
      </c>
      <c r="F811">
        <v>4615</v>
      </c>
      <c r="G811" s="3">
        <f t="shared" si="36"/>
        <v>1</v>
      </c>
      <c r="H811" s="4">
        <f t="shared" si="37"/>
        <v>2.1668472372693426E-4</v>
      </c>
      <c r="I811" s="1">
        <f t="shared" si="38"/>
        <v>0</v>
      </c>
    </row>
    <row r="812" spans="1:9" hidden="1" x14ac:dyDescent="0.2">
      <c r="A812" s="6">
        <v>44001.708333333336</v>
      </c>
      <c r="B812" s="1" t="s">
        <v>9</v>
      </c>
      <c r="C812">
        <v>47</v>
      </c>
      <c r="D812">
        <v>3</v>
      </c>
      <c r="E812">
        <v>431</v>
      </c>
      <c r="F812">
        <v>4615</v>
      </c>
      <c r="G812" s="3">
        <f t="shared" si="36"/>
        <v>0</v>
      </c>
      <c r="H812" s="4">
        <f t="shared" si="37"/>
        <v>0</v>
      </c>
      <c r="I812" s="1">
        <f t="shared" si="38"/>
        <v>0</v>
      </c>
    </row>
    <row r="813" spans="1:9" hidden="1" x14ac:dyDescent="0.2">
      <c r="A813" s="6">
        <v>44002.708333333336</v>
      </c>
      <c r="B813" s="1" t="s">
        <v>9</v>
      </c>
      <c r="C813">
        <v>48</v>
      </c>
      <c r="D813">
        <v>1</v>
      </c>
      <c r="E813">
        <v>431</v>
      </c>
      <c r="F813">
        <v>4615</v>
      </c>
      <c r="G813" s="3">
        <f t="shared" si="36"/>
        <v>0</v>
      </c>
      <c r="H813" s="4">
        <f t="shared" si="37"/>
        <v>0</v>
      </c>
      <c r="I813" s="1">
        <f t="shared" si="38"/>
        <v>0</v>
      </c>
    </row>
    <row r="814" spans="1:9" hidden="1" x14ac:dyDescent="0.2">
      <c r="A814" s="6">
        <v>44003.708333333336</v>
      </c>
      <c r="B814" s="1" t="s">
        <v>9</v>
      </c>
      <c r="C814">
        <v>41</v>
      </c>
      <c r="D814">
        <v>1</v>
      </c>
      <c r="E814">
        <v>431</v>
      </c>
      <c r="F814">
        <v>4617</v>
      </c>
      <c r="G814" s="3">
        <f t="shared" si="36"/>
        <v>2</v>
      </c>
      <c r="H814" s="4">
        <f t="shared" si="37"/>
        <v>4.331817197313903E-4</v>
      </c>
      <c r="I814" s="1">
        <f t="shared" si="38"/>
        <v>0</v>
      </c>
    </row>
    <row r="815" spans="1:9" hidden="1" x14ac:dyDescent="0.2">
      <c r="A815" s="6">
        <v>44004.708333333336</v>
      </c>
      <c r="B815" s="1" t="s">
        <v>9</v>
      </c>
      <c r="C815">
        <v>40</v>
      </c>
      <c r="D815">
        <v>0</v>
      </c>
      <c r="E815">
        <v>431</v>
      </c>
      <c r="F815">
        <v>4624</v>
      </c>
      <c r="G815" s="3">
        <f t="shared" si="36"/>
        <v>7</v>
      </c>
      <c r="H815" s="4">
        <f t="shared" si="37"/>
        <v>1.5138408304498085E-3</v>
      </c>
      <c r="I815" s="1">
        <f t="shared" si="38"/>
        <v>0</v>
      </c>
    </row>
    <row r="816" spans="1:9" hidden="1" x14ac:dyDescent="0.2">
      <c r="A816" s="6">
        <v>44005.708333333336</v>
      </c>
      <c r="B816" s="1" t="s">
        <v>9</v>
      </c>
      <c r="C816">
        <v>47</v>
      </c>
      <c r="D816">
        <v>0</v>
      </c>
      <c r="E816">
        <v>431</v>
      </c>
      <c r="F816">
        <v>4634</v>
      </c>
      <c r="G816" s="3">
        <f t="shared" si="36"/>
        <v>10</v>
      </c>
      <c r="H816" s="4">
        <f t="shared" si="37"/>
        <v>2.1579628830383779E-3</v>
      </c>
      <c r="I816" s="1">
        <f t="shared" si="38"/>
        <v>0</v>
      </c>
    </row>
    <row r="817" spans="1:9" hidden="1" x14ac:dyDescent="0.2">
      <c r="A817" s="6">
        <v>44006.708333333336</v>
      </c>
      <c r="B817" s="1" t="s">
        <v>9</v>
      </c>
      <c r="C817">
        <v>35</v>
      </c>
      <c r="D817">
        <v>0</v>
      </c>
      <c r="E817">
        <v>431</v>
      </c>
      <c r="F817">
        <v>4645</v>
      </c>
      <c r="G817" s="3">
        <f t="shared" si="36"/>
        <v>11</v>
      </c>
      <c r="H817" s="4">
        <f t="shared" si="37"/>
        <v>2.368137782561841E-3</v>
      </c>
      <c r="I817" s="1">
        <f t="shared" si="38"/>
        <v>0</v>
      </c>
    </row>
    <row r="818" spans="1:9" hidden="1" x14ac:dyDescent="0.2">
      <c r="A818" s="6">
        <v>44007.708333333336</v>
      </c>
      <c r="B818" s="1" t="s">
        <v>9</v>
      </c>
      <c r="C818">
        <v>47</v>
      </c>
      <c r="D818">
        <v>0</v>
      </c>
      <c r="E818">
        <v>431</v>
      </c>
      <c r="F818">
        <v>4662</v>
      </c>
      <c r="G818" s="3">
        <f t="shared" si="36"/>
        <v>17</v>
      </c>
      <c r="H818" s="4">
        <f t="shared" si="37"/>
        <v>3.6465036465036516E-3</v>
      </c>
      <c r="I818" s="1">
        <f t="shared" si="38"/>
        <v>0</v>
      </c>
    </row>
    <row r="819" spans="1:9" hidden="1" x14ac:dyDescent="0.2">
      <c r="A819" s="6">
        <v>44008.708333333336</v>
      </c>
      <c r="B819" s="1" t="s">
        <v>9</v>
      </c>
      <c r="C819">
        <v>41</v>
      </c>
      <c r="D819">
        <v>1</v>
      </c>
      <c r="E819">
        <v>431</v>
      </c>
      <c r="F819">
        <v>4665</v>
      </c>
      <c r="G819" s="3">
        <f t="shared" si="36"/>
        <v>3</v>
      </c>
      <c r="H819" s="4">
        <f t="shared" si="37"/>
        <v>6.430868167202064E-4</v>
      </c>
      <c r="I819" s="1">
        <f t="shared" si="38"/>
        <v>0</v>
      </c>
    </row>
    <row r="820" spans="1:9" hidden="1" x14ac:dyDescent="0.2">
      <c r="A820" s="6">
        <v>44009.708333333336</v>
      </c>
      <c r="B820" s="1" t="s">
        <v>9</v>
      </c>
      <c r="C820">
        <v>45</v>
      </c>
      <c r="D820">
        <v>0</v>
      </c>
      <c r="E820">
        <v>431</v>
      </c>
      <c r="F820">
        <v>4665</v>
      </c>
      <c r="G820" s="3">
        <f t="shared" si="36"/>
        <v>0</v>
      </c>
      <c r="H820" s="4">
        <f t="shared" si="37"/>
        <v>0</v>
      </c>
      <c r="I820" s="1">
        <f t="shared" si="38"/>
        <v>0</v>
      </c>
    </row>
    <row r="821" spans="1:9" hidden="1" x14ac:dyDescent="0.2">
      <c r="A821" s="6">
        <v>44010.708333333336</v>
      </c>
      <c r="B821" s="1" t="s">
        <v>9</v>
      </c>
      <c r="C821">
        <v>39</v>
      </c>
      <c r="D821">
        <v>0</v>
      </c>
      <c r="E821">
        <v>431</v>
      </c>
      <c r="F821">
        <v>4665</v>
      </c>
      <c r="G821" s="3">
        <f t="shared" si="36"/>
        <v>0</v>
      </c>
      <c r="H821" s="4">
        <f t="shared" si="37"/>
        <v>0</v>
      </c>
      <c r="I821" s="1">
        <f t="shared" si="38"/>
        <v>0</v>
      </c>
    </row>
    <row r="822" spans="1:9" hidden="1" x14ac:dyDescent="0.2">
      <c r="A822" s="6">
        <v>44011.708333333336</v>
      </c>
      <c r="B822" s="1" t="s">
        <v>9</v>
      </c>
      <c r="C822">
        <v>20</v>
      </c>
      <c r="D822">
        <v>0</v>
      </c>
      <c r="E822">
        <v>431</v>
      </c>
      <c r="F822">
        <v>4666</v>
      </c>
      <c r="G822" s="3">
        <f t="shared" si="36"/>
        <v>1</v>
      </c>
      <c r="H822" s="4">
        <f t="shared" si="37"/>
        <v>2.1431633090440716E-4</v>
      </c>
      <c r="I822" s="1">
        <f t="shared" si="38"/>
        <v>0</v>
      </c>
    </row>
    <row r="823" spans="1:9" hidden="1" x14ac:dyDescent="0.2">
      <c r="A823" s="6">
        <v>44012.708333333336</v>
      </c>
      <c r="B823" s="1" t="s">
        <v>9</v>
      </c>
      <c r="C823">
        <v>29</v>
      </c>
      <c r="D823">
        <v>0</v>
      </c>
      <c r="E823">
        <v>432</v>
      </c>
      <c r="F823">
        <v>4690</v>
      </c>
      <c r="G823" s="3">
        <f t="shared" si="36"/>
        <v>24</v>
      </c>
      <c r="H823" s="4">
        <f t="shared" si="37"/>
        <v>5.1172707889125535E-3</v>
      </c>
      <c r="I823" s="1">
        <f t="shared" si="38"/>
        <v>1</v>
      </c>
    </row>
    <row r="824" spans="1:9" hidden="1" x14ac:dyDescent="0.2">
      <c r="A824" s="6">
        <v>44013.708333333336</v>
      </c>
      <c r="B824" s="1" t="s">
        <v>9</v>
      </c>
      <c r="C824">
        <v>16</v>
      </c>
      <c r="D824">
        <v>0</v>
      </c>
      <c r="E824">
        <v>432</v>
      </c>
      <c r="F824">
        <v>4699</v>
      </c>
      <c r="G824" s="3">
        <f t="shared" si="36"/>
        <v>9</v>
      </c>
      <c r="H824" s="4">
        <f t="shared" si="37"/>
        <v>1.9153011278995047E-3</v>
      </c>
      <c r="I824" s="1">
        <f t="shared" si="38"/>
        <v>0</v>
      </c>
    </row>
    <row r="825" spans="1:9" hidden="1" x14ac:dyDescent="0.2">
      <c r="A825" s="6">
        <v>44014.708333333336</v>
      </c>
      <c r="B825" s="1" t="s">
        <v>9</v>
      </c>
      <c r="C825">
        <v>15</v>
      </c>
      <c r="D825">
        <v>0</v>
      </c>
      <c r="E825">
        <v>432</v>
      </c>
      <c r="F825">
        <v>4702</v>
      </c>
      <c r="G825" s="3">
        <f t="shared" si="36"/>
        <v>3</v>
      </c>
      <c r="H825" s="4">
        <f t="shared" si="37"/>
        <v>6.3802637175669474E-4</v>
      </c>
      <c r="I825" s="1">
        <f t="shared" si="38"/>
        <v>0</v>
      </c>
    </row>
    <row r="826" spans="1:9" hidden="1" x14ac:dyDescent="0.2">
      <c r="A826" s="6">
        <v>44015.708333333336</v>
      </c>
      <c r="B826" s="1" t="s">
        <v>9</v>
      </c>
      <c r="C826">
        <v>35</v>
      </c>
      <c r="D826">
        <v>0</v>
      </c>
      <c r="E826">
        <v>432</v>
      </c>
      <c r="F826">
        <v>4712</v>
      </c>
      <c r="G826" s="3">
        <f t="shared" si="36"/>
        <v>10</v>
      </c>
      <c r="H826" s="4">
        <f t="shared" si="37"/>
        <v>2.1222410865874286E-3</v>
      </c>
      <c r="I826" s="1">
        <f t="shared" si="38"/>
        <v>0</v>
      </c>
    </row>
    <row r="827" spans="1:9" hidden="1" x14ac:dyDescent="0.2">
      <c r="A827" s="6">
        <v>44016.708333333336</v>
      </c>
      <c r="B827" s="1" t="s">
        <v>9</v>
      </c>
      <c r="C827">
        <v>37</v>
      </c>
      <c r="D827">
        <v>0</v>
      </c>
      <c r="E827">
        <v>432</v>
      </c>
      <c r="F827">
        <v>4714</v>
      </c>
      <c r="G827" s="3">
        <f t="shared" si="36"/>
        <v>2</v>
      </c>
      <c r="H827" s="4">
        <f t="shared" si="37"/>
        <v>4.2426813746287984E-4</v>
      </c>
      <c r="I827" s="1">
        <f t="shared" si="38"/>
        <v>0</v>
      </c>
    </row>
    <row r="828" spans="1:9" hidden="1" x14ac:dyDescent="0.2">
      <c r="A828" s="6">
        <v>44017.708333333336</v>
      </c>
      <c r="B828" s="1" t="s">
        <v>9</v>
      </c>
      <c r="C828">
        <v>36</v>
      </c>
      <c r="D828">
        <v>0</v>
      </c>
      <c r="E828">
        <v>432</v>
      </c>
      <c r="F828">
        <v>4719</v>
      </c>
      <c r="G828" s="3">
        <f t="shared" si="36"/>
        <v>5</v>
      </c>
      <c r="H828" s="4">
        <f t="shared" si="37"/>
        <v>1.0595465140920135E-3</v>
      </c>
      <c r="I828" s="1">
        <f t="shared" si="38"/>
        <v>0</v>
      </c>
    </row>
    <row r="829" spans="1:9" hidden="1" x14ac:dyDescent="0.2">
      <c r="A829" s="6">
        <v>44018.708333333336</v>
      </c>
      <c r="B829" s="1" t="s">
        <v>9</v>
      </c>
      <c r="C829">
        <v>42</v>
      </c>
      <c r="D829">
        <v>0</v>
      </c>
      <c r="E829">
        <v>432</v>
      </c>
      <c r="F829">
        <v>4746</v>
      </c>
      <c r="G829" s="3">
        <f t="shared" si="36"/>
        <v>27</v>
      </c>
      <c r="H829" s="4">
        <f t="shared" si="37"/>
        <v>5.6890012642224486E-3</v>
      </c>
      <c r="I829" s="1">
        <f t="shared" si="38"/>
        <v>0</v>
      </c>
    </row>
    <row r="830" spans="1:9" hidden="1" x14ac:dyDescent="0.2">
      <c r="A830" s="6">
        <v>44019.708333333336</v>
      </c>
      <c r="B830" s="1" t="s">
        <v>9</v>
      </c>
      <c r="C830">
        <v>48</v>
      </c>
      <c r="D830">
        <v>0</v>
      </c>
      <c r="E830">
        <v>432</v>
      </c>
      <c r="F830">
        <v>4747</v>
      </c>
      <c r="G830" s="3">
        <f t="shared" si="36"/>
        <v>1</v>
      </c>
      <c r="H830" s="4">
        <f t="shared" si="37"/>
        <v>2.1065936380870731E-4</v>
      </c>
      <c r="I830" s="1">
        <f t="shared" si="38"/>
        <v>0</v>
      </c>
    </row>
    <row r="831" spans="1:9" hidden="1" x14ac:dyDescent="0.2">
      <c r="A831" s="6">
        <v>44020.708333333336</v>
      </c>
      <c r="B831" s="1" t="s">
        <v>9</v>
      </c>
      <c r="C831">
        <v>36</v>
      </c>
      <c r="D831">
        <v>0</v>
      </c>
      <c r="E831">
        <v>432</v>
      </c>
      <c r="F831">
        <v>4750</v>
      </c>
      <c r="G831" s="3">
        <f t="shared" si="36"/>
        <v>3</v>
      </c>
      <c r="H831" s="4">
        <f t="shared" si="37"/>
        <v>6.3157894736842746E-4</v>
      </c>
      <c r="I831" s="1">
        <f t="shared" si="38"/>
        <v>0</v>
      </c>
    </row>
    <row r="832" spans="1:9" hidden="1" x14ac:dyDescent="0.2">
      <c r="A832" s="6">
        <v>44021.708333333336</v>
      </c>
      <c r="B832" s="1" t="s">
        <v>9</v>
      </c>
      <c r="C832">
        <v>45</v>
      </c>
      <c r="D832">
        <v>0</v>
      </c>
      <c r="E832">
        <v>432</v>
      </c>
      <c r="F832">
        <v>4755</v>
      </c>
      <c r="G832" s="3">
        <f t="shared" si="36"/>
        <v>5</v>
      </c>
      <c r="H832" s="4">
        <f t="shared" si="37"/>
        <v>1.051524710830698E-3</v>
      </c>
      <c r="I832" s="1">
        <f t="shared" si="38"/>
        <v>0</v>
      </c>
    </row>
    <row r="833" spans="1:9" hidden="1" x14ac:dyDescent="0.2">
      <c r="A833" s="6">
        <v>44022.708333333336</v>
      </c>
      <c r="B833" s="1" t="s">
        <v>9</v>
      </c>
      <c r="C833">
        <v>44</v>
      </c>
      <c r="D833">
        <v>0</v>
      </c>
      <c r="E833">
        <v>432</v>
      </c>
      <c r="F833">
        <v>4762</v>
      </c>
      <c r="G833" s="3">
        <f t="shared" si="36"/>
        <v>7</v>
      </c>
      <c r="H833" s="4">
        <f t="shared" si="37"/>
        <v>1.4699706005879554E-3</v>
      </c>
      <c r="I833" s="1">
        <f t="shared" si="38"/>
        <v>0</v>
      </c>
    </row>
    <row r="834" spans="1:9" hidden="1" x14ac:dyDescent="0.2">
      <c r="A834" s="6">
        <v>44023.708333333336</v>
      </c>
      <c r="B834" s="1" t="s">
        <v>9</v>
      </c>
      <c r="C834">
        <v>47</v>
      </c>
      <c r="D834">
        <v>0</v>
      </c>
      <c r="E834">
        <v>432</v>
      </c>
      <c r="F834">
        <v>4769</v>
      </c>
      <c r="G834" s="3">
        <f t="shared" si="36"/>
        <v>7</v>
      </c>
      <c r="H834" s="4">
        <f t="shared" si="37"/>
        <v>1.4678129586915833E-3</v>
      </c>
      <c r="I834" s="1">
        <f t="shared" si="38"/>
        <v>0</v>
      </c>
    </row>
    <row r="835" spans="1:9" hidden="1" x14ac:dyDescent="0.2">
      <c r="A835" s="6">
        <v>44024.708333333336</v>
      </c>
      <c r="B835" s="1" t="s">
        <v>9</v>
      </c>
      <c r="C835">
        <v>13</v>
      </c>
      <c r="D835">
        <v>0</v>
      </c>
      <c r="E835">
        <v>432</v>
      </c>
      <c r="F835">
        <v>4772</v>
      </c>
      <c r="G835" s="3">
        <f t="shared" ref="G835:G898" si="39">IF(AND(F835&gt;0,AND(B835=B834,F835&gt;0)),F835-F834,0)</f>
        <v>3</v>
      </c>
      <c r="H835" s="4">
        <f t="shared" ref="H835:H898" si="40">IF(AND(F834&gt;0,AND(B835=B834,F834&gt;0)),1-(F834/F835),0)</f>
        <v>6.286672254819381E-4</v>
      </c>
      <c r="I835" s="1">
        <f t="shared" ref="I835:I898" si="41">IF(AND(E835&gt;0,AND(B835=B834,E835&gt;0)),E835-E834,0)</f>
        <v>0</v>
      </c>
    </row>
    <row r="836" spans="1:9" hidden="1" x14ac:dyDescent="0.2">
      <c r="A836" s="6">
        <v>44025.708333333336</v>
      </c>
      <c r="B836" s="1" t="s">
        <v>9</v>
      </c>
      <c r="C836">
        <v>16</v>
      </c>
      <c r="D836">
        <v>0</v>
      </c>
      <c r="E836">
        <v>432</v>
      </c>
      <c r="F836">
        <v>4779</v>
      </c>
      <c r="G836" s="3">
        <f t="shared" si="39"/>
        <v>7</v>
      </c>
      <c r="H836" s="4">
        <f t="shared" si="40"/>
        <v>1.4647415777359063E-3</v>
      </c>
      <c r="I836" s="1">
        <f t="shared" si="41"/>
        <v>0</v>
      </c>
    </row>
    <row r="837" spans="1:9" hidden="1" x14ac:dyDescent="0.2">
      <c r="A837" s="6">
        <v>44026.708333333336</v>
      </c>
      <c r="B837" s="1" t="s">
        <v>9</v>
      </c>
      <c r="C837">
        <v>16</v>
      </c>
      <c r="D837">
        <v>1</v>
      </c>
      <c r="E837">
        <v>432</v>
      </c>
      <c r="F837">
        <v>4779</v>
      </c>
      <c r="G837" s="3">
        <f t="shared" si="39"/>
        <v>0</v>
      </c>
      <c r="H837" s="4">
        <f t="shared" si="40"/>
        <v>0</v>
      </c>
      <c r="I837" s="1">
        <f t="shared" si="41"/>
        <v>0</v>
      </c>
    </row>
    <row r="838" spans="1:9" hidden="1" x14ac:dyDescent="0.2">
      <c r="A838" s="6">
        <v>44027.708333333336</v>
      </c>
      <c r="B838" s="1" t="s">
        <v>9</v>
      </c>
      <c r="C838">
        <v>51</v>
      </c>
      <c r="D838">
        <v>1</v>
      </c>
      <c r="E838">
        <v>432</v>
      </c>
      <c r="F838">
        <v>4787</v>
      </c>
      <c r="G838" s="3">
        <f t="shared" si="39"/>
        <v>8</v>
      </c>
      <c r="H838" s="4">
        <f t="shared" si="40"/>
        <v>1.6711928138708476E-3</v>
      </c>
      <c r="I838" s="1">
        <f t="shared" si="41"/>
        <v>0</v>
      </c>
    </row>
    <row r="839" spans="1:9" hidden="1" x14ac:dyDescent="0.2">
      <c r="A839" s="6">
        <v>44028.708333333336</v>
      </c>
      <c r="B839" s="1" t="s">
        <v>9</v>
      </c>
      <c r="C839">
        <v>23</v>
      </c>
      <c r="D839">
        <v>1</v>
      </c>
      <c r="E839">
        <v>432</v>
      </c>
      <c r="F839">
        <v>4791</v>
      </c>
      <c r="G839" s="3">
        <f t="shared" si="39"/>
        <v>4</v>
      </c>
      <c r="H839" s="4">
        <f t="shared" si="40"/>
        <v>8.3489876852427258E-4</v>
      </c>
      <c r="I839" s="1">
        <f t="shared" si="41"/>
        <v>0</v>
      </c>
    </row>
    <row r="840" spans="1:9" hidden="1" x14ac:dyDescent="0.2">
      <c r="A840" s="6">
        <v>44029.708333333336</v>
      </c>
      <c r="B840" s="1" t="s">
        <v>9</v>
      </c>
      <c r="C840">
        <v>49</v>
      </c>
      <c r="D840">
        <v>1</v>
      </c>
      <c r="E840">
        <v>433</v>
      </c>
      <c r="F840">
        <v>4803</v>
      </c>
      <c r="G840" s="3">
        <f t="shared" si="39"/>
        <v>12</v>
      </c>
      <c r="H840" s="4">
        <f t="shared" si="40"/>
        <v>2.4984384759525469E-3</v>
      </c>
      <c r="I840" s="1">
        <f t="shared" si="41"/>
        <v>1</v>
      </c>
    </row>
    <row r="841" spans="1:9" hidden="1" x14ac:dyDescent="0.2">
      <c r="A841" s="6">
        <v>44030.708333333336</v>
      </c>
      <c r="B841" s="1" t="s">
        <v>9</v>
      </c>
      <c r="C841">
        <v>44</v>
      </c>
      <c r="D841">
        <v>1</v>
      </c>
      <c r="E841">
        <v>433</v>
      </c>
      <c r="F841">
        <v>4818</v>
      </c>
      <c r="G841" s="3">
        <f t="shared" si="39"/>
        <v>15</v>
      </c>
      <c r="H841" s="4">
        <f t="shared" si="40"/>
        <v>3.1133250311332628E-3</v>
      </c>
      <c r="I841" s="1">
        <f t="shared" si="41"/>
        <v>0</v>
      </c>
    </row>
    <row r="842" spans="1:9" hidden="1" x14ac:dyDescent="0.2">
      <c r="A842" s="6">
        <v>44031.708333333336</v>
      </c>
      <c r="B842" s="1" t="s">
        <v>9</v>
      </c>
      <c r="C842">
        <v>34</v>
      </c>
      <c r="D842">
        <v>0</v>
      </c>
      <c r="E842">
        <v>433</v>
      </c>
      <c r="F842">
        <v>4827</v>
      </c>
      <c r="G842" s="3">
        <f t="shared" si="39"/>
        <v>9</v>
      </c>
      <c r="H842" s="4">
        <f t="shared" si="40"/>
        <v>1.8645121193288094E-3</v>
      </c>
      <c r="I842" s="1">
        <f t="shared" si="41"/>
        <v>0</v>
      </c>
    </row>
    <row r="843" spans="1:9" hidden="1" x14ac:dyDescent="0.2">
      <c r="A843" s="6">
        <v>44032.708333333336</v>
      </c>
      <c r="B843" s="1" t="s">
        <v>9</v>
      </c>
      <c r="C843">
        <v>32</v>
      </c>
      <c r="D843">
        <v>0</v>
      </c>
      <c r="E843">
        <v>433</v>
      </c>
      <c r="F843">
        <v>4833</v>
      </c>
      <c r="G843" s="3">
        <f t="shared" si="39"/>
        <v>6</v>
      </c>
      <c r="H843" s="4">
        <f t="shared" si="40"/>
        <v>1.2414649286157653E-3</v>
      </c>
      <c r="I843" s="1">
        <f t="shared" si="41"/>
        <v>0</v>
      </c>
    </row>
    <row r="844" spans="1:9" hidden="1" x14ac:dyDescent="0.2">
      <c r="A844" s="6">
        <v>44033.708333333336</v>
      </c>
      <c r="B844" s="1" t="s">
        <v>9</v>
      </c>
      <c r="C844">
        <v>33</v>
      </c>
      <c r="D844">
        <v>1</v>
      </c>
      <c r="E844">
        <v>434</v>
      </c>
      <c r="F844">
        <v>4839</v>
      </c>
      <c r="G844" s="3">
        <f t="shared" si="39"/>
        <v>6</v>
      </c>
      <c r="H844" s="4">
        <f t="shared" si="40"/>
        <v>1.2399256044637319E-3</v>
      </c>
      <c r="I844" s="1">
        <f t="shared" si="41"/>
        <v>1</v>
      </c>
    </row>
    <row r="845" spans="1:9" hidden="1" x14ac:dyDescent="0.2">
      <c r="A845" s="6">
        <v>44034.708333333336</v>
      </c>
      <c r="B845" s="1" t="s">
        <v>9</v>
      </c>
      <c r="C845">
        <v>29</v>
      </c>
      <c r="D845">
        <v>1</v>
      </c>
      <c r="E845">
        <v>434</v>
      </c>
      <c r="F845">
        <v>4858</v>
      </c>
      <c r="G845" s="3">
        <f t="shared" si="39"/>
        <v>19</v>
      </c>
      <c r="H845" s="4">
        <f t="shared" si="40"/>
        <v>3.9110745162618255E-3</v>
      </c>
      <c r="I845" s="1">
        <f t="shared" si="41"/>
        <v>0</v>
      </c>
    </row>
    <row r="846" spans="1:9" hidden="1" x14ac:dyDescent="0.2">
      <c r="A846" s="6">
        <v>44035.708333333336</v>
      </c>
      <c r="B846" s="1" t="s">
        <v>9</v>
      </c>
      <c r="C846">
        <v>35</v>
      </c>
      <c r="D846">
        <v>1</v>
      </c>
      <c r="E846">
        <v>434</v>
      </c>
      <c r="F846">
        <v>4874</v>
      </c>
      <c r="G846" s="3">
        <f t="shared" si="39"/>
        <v>16</v>
      </c>
      <c r="H846" s="4">
        <f t="shared" si="40"/>
        <v>3.2827246614690608E-3</v>
      </c>
      <c r="I846" s="1">
        <f t="shared" si="41"/>
        <v>0</v>
      </c>
    </row>
    <row r="847" spans="1:9" hidden="1" x14ac:dyDescent="0.2">
      <c r="A847" s="6">
        <v>44036.708333333336</v>
      </c>
      <c r="B847" s="1" t="s">
        <v>9</v>
      </c>
      <c r="C847">
        <v>17</v>
      </c>
      <c r="D847">
        <v>2</v>
      </c>
      <c r="E847">
        <v>434</v>
      </c>
      <c r="F847">
        <v>4880</v>
      </c>
      <c r="G847" s="3">
        <f t="shared" si="39"/>
        <v>6</v>
      </c>
      <c r="H847" s="4">
        <f t="shared" si="40"/>
        <v>1.2295081967212962E-3</v>
      </c>
      <c r="I847" s="1">
        <f t="shared" si="41"/>
        <v>0</v>
      </c>
    </row>
    <row r="848" spans="1:9" hidden="1" x14ac:dyDescent="0.2">
      <c r="A848" s="6">
        <v>44037.708333333336</v>
      </c>
      <c r="B848" s="1" t="s">
        <v>9</v>
      </c>
      <c r="C848">
        <v>28</v>
      </c>
      <c r="D848">
        <v>2</v>
      </c>
      <c r="E848">
        <v>434</v>
      </c>
      <c r="F848">
        <v>4901</v>
      </c>
      <c r="G848" s="3">
        <f t="shared" si="39"/>
        <v>21</v>
      </c>
      <c r="H848" s="4">
        <f t="shared" si="40"/>
        <v>4.2848398286063905E-3</v>
      </c>
      <c r="I848" s="1">
        <f t="shared" si="41"/>
        <v>0</v>
      </c>
    </row>
    <row r="849" spans="1:9" hidden="1" x14ac:dyDescent="0.2">
      <c r="A849" s="6">
        <v>44038.708333333336</v>
      </c>
      <c r="B849" s="1" t="s">
        <v>9</v>
      </c>
      <c r="C849">
        <v>28</v>
      </c>
      <c r="D849">
        <v>4</v>
      </c>
      <c r="E849">
        <v>434</v>
      </c>
      <c r="F849">
        <v>4912</v>
      </c>
      <c r="G849" s="3">
        <f t="shared" si="39"/>
        <v>11</v>
      </c>
      <c r="H849" s="4">
        <f t="shared" si="40"/>
        <v>2.2394136807817322E-3</v>
      </c>
      <c r="I849" s="1">
        <f t="shared" si="41"/>
        <v>0</v>
      </c>
    </row>
    <row r="850" spans="1:9" hidden="1" x14ac:dyDescent="0.2">
      <c r="A850" s="6">
        <v>44039.708333333336</v>
      </c>
      <c r="B850" s="1" t="s">
        <v>9</v>
      </c>
      <c r="C850">
        <v>29</v>
      </c>
      <c r="D850">
        <v>4</v>
      </c>
      <c r="E850">
        <v>434</v>
      </c>
      <c r="F850">
        <v>4926</v>
      </c>
      <c r="G850" s="3">
        <f t="shared" si="39"/>
        <v>14</v>
      </c>
      <c r="H850" s="4">
        <f t="shared" si="40"/>
        <v>2.8420625253755549E-3</v>
      </c>
      <c r="I850" s="1">
        <f t="shared" si="41"/>
        <v>0</v>
      </c>
    </row>
    <row r="851" spans="1:9" hidden="1" x14ac:dyDescent="0.2">
      <c r="A851" s="6">
        <v>44040.708333333336</v>
      </c>
      <c r="B851" s="1" t="s">
        <v>9</v>
      </c>
      <c r="C851">
        <v>27</v>
      </c>
      <c r="D851">
        <v>4</v>
      </c>
      <c r="E851">
        <v>434</v>
      </c>
      <c r="F851">
        <v>4955</v>
      </c>
      <c r="G851" s="3">
        <f t="shared" si="39"/>
        <v>29</v>
      </c>
      <c r="H851" s="4">
        <f t="shared" si="40"/>
        <v>5.8526740665993948E-3</v>
      </c>
      <c r="I851" s="1">
        <f t="shared" si="41"/>
        <v>0</v>
      </c>
    </row>
    <row r="852" spans="1:9" hidden="1" x14ac:dyDescent="0.2">
      <c r="A852" s="6">
        <v>44041.708333333336</v>
      </c>
      <c r="B852" s="1" t="s">
        <v>9</v>
      </c>
      <c r="C852">
        <v>26</v>
      </c>
      <c r="D852">
        <v>1</v>
      </c>
      <c r="E852">
        <v>434</v>
      </c>
      <c r="F852">
        <v>4974</v>
      </c>
      <c r="G852" s="3">
        <f t="shared" si="39"/>
        <v>19</v>
      </c>
      <c r="H852" s="4">
        <f t="shared" si="40"/>
        <v>3.8198632891033313E-3</v>
      </c>
      <c r="I852" s="1">
        <f t="shared" si="41"/>
        <v>0</v>
      </c>
    </row>
    <row r="853" spans="1:9" hidden="1" x14ac:dyDescent="0.2">
      <c r="A853" s="6">
        <v>44042.708333333336</v>
      </c>
      <c r="B853" s="1" t="s">
        <v>9</v>
      </c>
      <c r="C853">
        <v>49</v>
      </c>
      <c r="D853">
        <v>6</v>
      </c>
      <c r="E853">
        <v>434</v>
      </c>
      <c r="F853">
        <v>4990</v>
      </c>
      <c r="G853" s="3">
        <f t="shared" si="39"/>
        <v>16</v>
      </c>
      <c r="H853" s="4">
        <f t="shared" si="40"/>
        <v>3.2064128256512614E-3</v>
      </c>
      <c r="I853" s="1">
        <f t="shared" si="41"/>
        <v>0</v>
      </c>
    </row>
    <row r="854" spans="1:9" hidden="1" x14ac:dyDescent="0.2">
      <c r="A854" s="6">
        <v>44043.708333333336</v>
      </c>
      <c r="B854" s="1" t="s">
        <v>9</v>
      </c>
      <c r="C854">
        <v>48</v>
      </c>
      <c r="D854">
        <v>6</v>
      </c>
      <c r="E854">
        <v>435</v>
      </c>
      <c r="F854">
        <v>4999</v>
      </c>
      <c r="G854" s="3">
        <f t="shared" si="39"/>
        <v>9</v>
      </c>
      <c r="H854" s="4">
        <f t="shared" si="40"/>
        <v>1.8003600720144508E-3</v>
      </c>
      <c r="I854" s="1">
        <f t="shared" si="41"/>
        <v>1</v>
      </c>
    </row>
    <row r="855" spans="1:9" hidden="1" x14ac:dyDescent="0.2">
      <c r="A855" s="6">
        <v>44044.708333333336</v>
      </c>
      <c r="B855" s="1" t="s">
        <v>9</v>
      </c>
      <c r="C855">
        <v>39</v>
      </c>
      <c r="D855">
        <v>3</v>
      </c>
      <c r="E855">
        <v>435</v>
      </c>
      <c r="F855">
        <v>5009</v>
      </c>
      <c r="G855" s="3">
        <f t="shared" si="39"/>
        <v>10</v>
      </c>
      <c r="H855" s="4">
        <f t="shared" si="40"/>
        <v>1.9964064683569704E-3</v>
      </c>
      <c r="I855" s="1">
        <f t="shared" si="41"/>
        <v>0</v>
      </c>
    </row>
    <row r="856" spans="1:9" hidden="1" x14ac:dyDescent="0.2">
      <c r="A856" s="6">
        <v>44045.708333333336</v>
      </c>
      <c r="B856" s="1" t="s">
        <v>9</v>
      </c>
      <c r="C856">
        <v>35</v>
      </c>
      <c r="D856">
        <v>3</v>
      </c>
      <c r="E856">
        <v>435</v>
      </c>
      <c r="F856">
        <v>5016</v>
      </c>
      <c r="G856" s="3">
        <f t="shared" si="39"/>
        <v>7</v>
      </c>
      <c r="H856" s="4">
        <f t="shared" si="40"/>
        <v>1.395534290271172E-3</v>
      </c>
      <c r="I856" s="1">
        <f t="shared" si="41"/>
        <v>0</v>
      </c>
    </row>
    <row r="857" spans="1:9" hidden="1" x14ac:dyDescent="0.2">
      <c r="A857" s="6">
        <v>44046.708333333336</v>
      </c>
      <c r="B857" s="1" t="s">
        <v>9</v>
      </c>
      <c r="C857">
        <v>47</v>
      </c>
      <c r="D857">
        <v>2</v>
      </c>
      <c r="E857">
        <v>436</v>
      </c>
      <c r="F857">
        <v>5020</v>
      </c>
      <c r="G857" s="3">
        <f t="shared" si="39"/>
        <v>4</v>
      </c>
      <c r="H857" s="4">
        <f t="shared" si="40"/>
        <v>7.9681274900400556E-4</v>
      </c>
      <c r="I857" s="1">
        <f t="shared" si="41"/>
        <v>1</v>
      </c>
    </row>
    <row r="858" spans="1:9" hidden="1" x14ac:dyDescent="0.2">
      <c r="A858" s="6">
        <v>44047.708333333336</v>
      </c>
      <c r="B858" s="1" t="s">
        <v>9</v>
      </c>
      <c r="C858">
        <v>44</v>
      </c>
      <c r="D858">
        <v>2</v>
      </c>
      <c r="E858">
        <v>436</v>
      </c>
      <c r="F858">
        <v>5022</v>
      </c>
      <c r="G858" s="3">
        <f t="shared" si="39"/>
        <v>2</v>
      </c>
      <c r="H858" s="4">
        <f t="shared" si="40"/>
        <v>3.9824771007568316E-4</v>
      </c>
      <c r="I858" s="1">
        <f t="shared" si="41"/>
        <v>0</v>
      </c>
    </row>
    <row r="859" spans="1:9" hidden="1" x14ac:dyDescent="0.2">
      <c r="A859" s="6">
        <v>44048.708333333336</v>
      </c>
      <c r="B859" s="1" t="s">
        <v>9</v>
      </c>
      <c r="C859">
        <v>44</v>
      </c>
      <c r="D859">
        <v>1</v>
      </c>
      <c r="E859">
        <v>438</v>
      </c>
      <c r="F859">
        <v>5030</v>
      </c>
      <c r="G859" s="3">
        <f t="shared" si="39"/>
        <v>8</v>
      </c>
      <c r="H859" s="4">
        <f t="shared" si="40"/>
        <v>1.5904572564612307E-3</v>
      </c>
      <c r="I859" s="1">
        <f t="shared" si="41"/>
        <v>2</v>
      </c>
    </row>
    <row r="860" spans="1:9" hidden="1" x14ac:dyDescent="0.2">
      <c r="A860" s="6">
        <v>44049.708333333336</v>
      </c>
      <c r="B860" s="1" t="s">
        <v>9</v>
      </c>
      <c r="C860">
        <v>20</v>
      </c>
      <c r="D860">
        <v>1</v>
      </c>
      <c r="E860">
        <v>438</v>
      </c>
      <c r="F860">
        <v>5035</v>
      </c>
      <c r="G860" s="3">
        <f t="shared" si="39"/>
        <v>5</v>
      </c>
      <c r="H860" s="4">
        <f t="shared" si="40"/>
        <v>9.930486593843213E-4</v>
      </c>
      <c r="I860" s="1">
        <f t="shared" si="41"/>
        <v>0</v>
      </c>
    </row>
    <row r="861" spans="1:9" hidden="1" x14ac:dyDescent="0.2">
      <c r="A861" s="6">
        <v>44050.708333333336</v>
      </c>
      <c r="B861" s="1" t="s">
        <v>9</v>
      </c>
      <c r="C861">
        <v>32</v>
      </c>
      <c r="D861">
        <v>2</v>
      </c>
      <c r="E861">
        <v>438</v>
      </c>
      <c r="F861">
        <v>5050</v>
      </c>
      <c r="G861" s="3">
        <f t="shared" si="39"/>
        <v>15</v>
      </c>
      <c r="H861" s="4">
        <f t="shared" si="40"/>
        <v>2.9702970297029729E-3</v>
      </c>
      <c r="I861" s="1">
        <f t="shared" si="41"/>
        <v>0</v>
      </c>
    </row>
    <row r="862" spans="1:9" hidden="1" x14ac:dyDescent="0.2">
      <c r="A862" s="6">
        <v>44051.708333333336</v>
      </c>
      <c r="B862" s="1" t="s">
        <v>9</v>
      </c>
      <c r="C862">
        <v>32</v>
      </c>
      <c r="D862">
        <v>2</v>
      </c>
      <c r="E862">
        <v>438</v>
      </c>
      <c r="F862">
        <v>5055</v>
      </c>
      <c r="G862" s="3">
        <f t="shared" si="39"/>
        <v>5</v>
      </c>
      <c r="H862" s="4">
        <f t="shared" si="40"/>
        <v>9.8911968348169843E-4</v>
      </c>
      <c r="I862" s="1">
        <f t="shared" si="41"/>
        <v>0</v>
      </c>
    </row>
    <row r="863" spans="1:9" hidden="1" x14ac:dyDescent="0.2">
      <c r="A863" s="6">
        <v>44052.708333333336</v>
      </c>
      <c r="B863" s="1" t="s">
        <v>9</v>
      </c>
      <c r="C863">
        <v>29</v>
      </c>
      <c r="D863">
        <v>2</v>
      </c>
      <c r="E863">
        <v>438</v>
      </c>
      <c r="F863">
        <v>5077</v>
      </c>
      <c r="G863" s="3">
        <f t="shared" si="39"/>
        <v>22</v>
      </c>
      <c r="H863" s="4">
        <f t="shared" si="40"/>
        <v>4.3332676777624313E-3</v>
      </c>
      <c r="I863" s="1">
        <f t="shared" si="41"/>
        <v>0</v>
      </c>
    </row>
    <row r="864" spans="1:9" hidden="1" x14ac:dyDescent="0.2">
      <c r="A864" s="6">
        <v>44053.708333333336</v>
      </c>
      <c r="B864" s="1" t="s">
        <v>9</v>
      </c>
      <c r="C864">
        <v>34</v>
      </c>
      <c r="D864">
        <v>1</v>
      </c>
      <c r="E864">
        <v>439</v>
      </c>
      <c r="F864">
        <v>5091</v>
      </c>
      <c r="G864" s="3">
        <f t="shared" si="39"/>
        <v>14</v>
      </c>
      <c r="H864" s="4">
        <f t="shared" si="40"/>
        <v>2.7499508937340877E-3</v>
      </c>
      <c r="I864" s="1">
        <f t="shared" si="41"/>
        <v>1</v>
      </c>
    </row>
    <row r="865" spans="1:9" hidden="1" x14ac:dyDescent="0.2">
      <c r="A865" s="6">
        <v>44054.708333333336</v>
      </c>
      <c r="B865" s="1" t="s">
        <v>9</v>
      </c>
      <c r="C865">
        <v>44</v>
      </c>
      <c r="D865">
        <v>2</v>
      </c>
      <c r="E865">
        <v>440</v>
      </c>
      <c r="F865">
        <v>5114</v>
      </c>
      <c r="G865" s="3">
        <f t="shared" si="39"/>
        <v>23</v>
      </c>
      <c r="H865" s="4">
        <f t="shared" si="40"/>
        <v>4.4974579585451702E-3</v>
      </c>
      <c r="I865" s="1">
        <f t="shared" si="41"/>
        <v>1</v>
      </c>
    </row>
    <row r="866" spans="1:9" hidden="1" x14ac:dyDescent="0.2">
      <c r="A866" s="6">
        <v>44055.708333333336</v>
      </c>
      <c r="B866" s="1" t="s">
        <v>9</v>
      </c>
      <c r="C866">
        <v>43</v>
      </c>
      <c r="D866">
        <v>2</v>
      </c>
      <c r="E866">
        <v>440</v>
      </c>
      <c r="F866">
        <v>5143</v>
      </c>
      <c r="G866" s="3">
        <f t="shared" si="39"/>
        <v>29</v>
      </c>
      <c r="H866" s="4">
        <f t="shared" si="40"/>
        <v>5.6387322574372734E-3</v>
      </c>
      <c r="I866" s="1">
        <f t="shared" si="41"/>
        <v>0</v>
      </c>
    </row>
    <row r="867" spans="1:9" hidden="1" x14ac:dyDescent="0.2">
      <c r="A867" s="6">
        <v>44056.708333333336</v>
      </c>
      <c r="B867" s="1" t="s">
        <v>9</v>
      </c>
      <c r="C867">
        <v>38</v>
      </c>
      <c r="D867">
        <v>2</v>
      </c>
      <c r="E867">
        <v>440</v>
      </c>
      <c r="F867">
        <v>5170</v>
      </c>
      <c r="G867" s="3">
        <f t="shared" si="39"/>
        <v>27</v>
      </c>
      <c r="H867" s="4">
        <f t="shared" si="40"/>
        <v>5.2224371373307266E-3</v>
      </c>
      <c r="I867" s="1">
        <f t="shared" si="41"/>
        <v>0</v>
      </c>
    </row>
    <row r="868" spans="1:9" hidden="1" x14ac:dyDescent="0.2">
      <c r="A868" s="6">
        <v>44057.708333333336</v>
      </c>
      <c r="B868" s="1" t="s">
        <v>9</v>
      </c>
      <c r="C868">
        <v>47</v>
      </c>
      <c r="D868">
        <v>1</v>
      </c>
      <c r="E868">
        <v>440</v>
      </c>
      <c r="F868">
        <v>5214</v>
      </c>
      <c r="G868" s="3">
        <f t="shared" si="39"/>
        <v>44</v>
      </c>
      <c r="H868" s="4">
        <f t="shared" si="40"/>
        <v>8.4388185654008518E-3</v>
      </c>
      <c r="I868" s="1">
        <f t="shared" si="41"/>
        <v>0</v>
      </c>
    </row>
    <row r="869" spans="1:9" hidden="1" x14ac:dyDescent="0.2">
      <c r="A869" s="6">
        <v>44058.708333333336</v>
      </c>
      <c r="B869" s="1" t="s">
        <v>9</v>
      </c>
      <c r="C869">
        <v>34</v>
      </c>
      <c r="D869">
        <v>1</v>
      </c>
      <c r="E869">
        <v>440</v>
      </c>
      <c r="F869">
        <v>5232</v>
      </c>
      <c r="G869" s="3">
        <f t="shared" si="39"/>
        <v>18</v>
      </c>
      <c r="H869" s="4">
        <f t="shared" si="40"/>
        <v>3.4403669724770714E-3</v>
      </c>
      <c r="I869" s="1">
        <f t="shared" si="41"/>
        <v>0</v>
      </c>
    </row>
    <row r="870" spans="1:9" hidden="1" x14ac:dyDescent="0.2">
      <c r="A870" s="6">
        <v>44059.708333333336</v>
      </c>
      <c r="B870" s="1" t="s">
        <v>9</v>
      </c>
      <c r="C870">
        <v>43</v>
      </c>
      <c r="D870">
        <v>1</v>
      </c>
      <c r="E870">
        <v>440</v>
      </c>
      <c r="F870">
        <v>5278</v>
      </c>
      <c r="G870" s="3">
        <f t="shared" si="39"/>
        <v>46</v>
      </c>
      <c r="H870" s="4">
        <f t="shared" si="40"/>
        <v>8.7154225085259718E-3</v>
      </c>
      <c r="I870" s="1">
        <f t="shared" si="41"/>
        <v>0</v>
      </c>
    </row>
    <row r="871" spans="1:9" hidden="1" x14ac:dyDescent="0.2">
      <c r="A871" s="6">
        <v>44060.708333333336</v>
      </c>
      <c r="B871" s="1" t="s">
        <v>9</v>
      </c>
      <c r="C871">
        <v>47</v>
      </c>
      <c r="D871">
        <v>1</v>
      </c>
      <c r="E871">
        <v>440</v>
      </c>
      <c r="F871">
        <v>5312</v>
      </c>
      <c r="G871" s="3">
        <f t="shared" si="39"/>
        <v>34</v>
      </c>
      <c r="H871" s="4">
        <f t="shared" si="40"/>
        <v>6.4006024096385783E-3</v>
      </c>
      <c r="I871" s="1">
        <f t="shared" si="41"/>
        <v>0</v>
      </c>
    </row>
    <row r="872" spans="1:9" hidden="1" x14ac:dyDescent="0.2">
      <c r="A872" s="6">
        <v>44061.708333333336</v>
      </c>
      <c r="B872" s="1" t="s">
        <v>9</v>
      </c>
      <c r="C872">
        <v>49</v>
      </c>
      <c r="D872">
        <v>2</v>
      </c>
      <c r="E872">
        <v>440</v>
      </c>
      <c r="F872">
        <v>5347</v>
      </c>
      <c r="G872" s="3">
        <f t="shared" si="39"/>
        <v>35</v>
      </c>
      <c r="H872" s="4">
        <f t="shared" si="40"/>
        <v>6.5457265756498906E-3</v>
      </c>
      <c r="I872" s="1">
        <f t="shared" si="41"/>
        <v>0</v>
      </c>
    </row>
    <row r="873" spans="1:9" hidden="1" x14ac:dyDescent="0.2">
      <c r="A873" s="6">
        <v>44062.708333333336</v>
      </c>
      <c r="B873" s="1" t="s">
        <v>9</v>
      </c>
      <c r="C873">
        <v>51</v>
      </c>
      <c r="D873">
        <v>2</v>
      </c>
      <c r="E873">
        <v>440</v>
      </c>
      <c r="F873">
        <v>5403</v>
      </c>
      <c r="G873" s="3">
        <f t="shared" si="39"/>
        <v>56</v>
      </c>
      <c r="H873" s="4">
        <f t="shared" si="40"/>
        <v>1.0364612252452332E-2</v>
      </c>
      <c r="I873" s="1">
        <f t="shared" si="41"/>
        <v>0</v>
      </c>
    </row>
    <row r="874" spans="1:9" hidden="1" x14ac:dyDescent="0.2">
      <c r="A874" s="6">
        <v>44063.708333333336</v>
      </c>
      <c r="B874" s="1" t="s">
        <v>9</v>
      </c>
      <c r="C874">
        <v>56</v>
      </c>
      <c r="D874">
        <v>2</v>
      </c>
      <c r="E874">
        <v>440</v>
      </c>
      <c r="F874">
        <v>5456</v>
      </c>
      <c r="G874" s="3">
        <f t="shared" si="39"/>
        <v>53</v>
      </c>
      <c r="H874" s="4">
        <f t="shared" si="40"/>
        <v>9.7140762463343577E-3</v>
      </c>
      <c r="I874" s="1">
        <f t="shared" si="41"/>
        <v>0</v>
      </c>
    </row>
    <row r="875" spans="1:9" hidden="1" x14ac:dyDescent="0.2">
      <c r="A875" s="6">
        <v>44064.708333333336</v>
      </c>
      <c r="B875" s="1" t="s">
        <v>9</v>
      </c>
      <c r="C875">
        <v>66</v>
      </c>
      <c r="D875">
        <v>2</v>
      </c>
      <c r="E875">
        <v>440</v>
      </c>
      <c r="F875">
        <v>5523</v>
      </c>
      <c r="G875" s="3">
        <f t="shared" si="39"/>
        <v>67</v>
      </c>
      <c r="H875" s="4">
        <f t="shared" si="40"/>
        <v>1.2131088176715599E-2</v>
      </c>
      <c r="I875" s="1">
        <f t="shared" si="41"/>
        <v>0</v>
      </c>
    </row>
    <row r="876" spans="1:9" hidden="1" x14ac:dyDescent="0.2">
      <c r="A876" s="6">
        <v>44065.708333333336</v>
      </c>
      <c r="B876" s="1" t="s">
        <v>9</v>
      </c>
      <c r="C876">
        <v>55</v>
      </c>
      <c r="D876">
        <v>1</v>
      </c>
      <c r="E876">
        <v>440</v>
      </c>
      <c r="F876">
        <v>5584</v>
      </c>
      <c r="G876" s="3">
        <f t="shared" si="39"/>
        <v>61</v>
      </c>
      <c r="H876" s="4">
        <f t="shared" si="40"/>
        <v>1.0924068767908302E-2</v>
      </c>
      <c r="I876" s="1">
        <f t="shared" si="41"/>
        <v>0</v>
      </c>
    </row>
    <row r="877" spans="1:9" hidden="1" x14ac:dyDescent="0.2">
      <c r="A877" s="6">
        <v>44066.708333333336</v>
      </c>
      <c r="B877" s="1" t="s">
        <v>9</v>
      </c>
      <c r="C877">
        <v>61</v>
      </c>
      <c r="D877">
        <v>2</v>
      </c>
      <c r="E877">
        <v>441</v>
      </c>
      <c r="F877">
        <v>5722</v>
      </c>
      <c r="G877" s="3">
        <f t="shared" si="39"/>
        <v>138</v>
      </c>
      <c r="H877" s="4">
        <f t="shared" si="40"/>
        <v>2.4117441454037047E-2</v>
      </c>
      <c r="I877" s="1">
        <f t="shared" si="41"/>
        <v>1</v>
      </c>
    </row>
    <row r="878" spans="1:9" hidden="1" x14ac:dyDescent="0.2">
      <c r="A878" s="6">
        <v>44067.708333333336</v>
      </c>
      <c r="B878" s="1" t="s">
        <v>9</v>
      </c>
      <c r="C878">
        <v>72</v>
      </c>
      <c r="D878">
        <v>2</v>
      </c>
      <c r="E878">
        <v>441</v>
      </c>
      <c r="F878">
        <v>5838</v>
      </c>
      <c r="G878" s="3">
        <f t="shared" si="39"/>
        <v>116</v>
      </c>
      <c r="H878" s="4">
        <f t="shared" si="40"/>
        <v>1.9869818430969466E-2</v>
      </c>
      <c r="I878" s="1">
        <f t="shared" si="41"/>
        <v>0</v>
      </c>
    </row>
    <row r="879" spans="1:9" hidden="1" x14ac:dyDescent="0.2">
      <c r="A879" s="6">
        <v>44068.708333333336</v>
      </c>
      <c r="B879" s="1" t="s">
        <v>9</v>
      </c>
      <c r="C879">
        <v>76</v>
      </c>
      <c r="D879">
        <v>3</v>
      </c>
      <c r="E879">
        <v>442</v>
      </c>
      <c r="F879">
        <v>5976</v>
      </c>
      <c r="G879" s="3">
        <f t="shared" si="39"/>
        <v>138</v>
      </c>
      <c r="H879" s="4">
        <f t="shared" si="40"/>
        <v>2.3092369477911601E-2</v>
      </c>
      <c r="I879" s="1">
        <f t="shared" si="41"/>
        <v>1</v>
      </c>
    </row>
    <row r="880" spans="1:9" hidden="1" x14ac:dyDescent="0.2">
      <c r="A880" s="6">
        <v>44069.708333333336</v>
      </c>
      <c r="B880" s="1" t="s">
        <v>9</v>
      </c>
      <c r="C880">
        <v>75</v>
      </c>
      <c r="D880">
        <v>3</v>
      </c>
      <c r="E880">
        <v>443</v>
      </c>
      <c r="F880">
        <v>6111</v>
      </c>
      <c r="G880" s="3">
        <f t="shared" si="39"/>
        <v>135</v>
      </c>
      <c r="H880" s="4">
        <f t="shared" si="40"/>
        <v>2.2091310751104598E-2</v>
      </c>
      <c r="I880" s="1">
        <f t="shared" si="41"/>
        <v>1</v>
      </c>
    </row>
    <row r="881" spans="1:9" hidden="1" x14ac:dyDescent="0.2">
      <c r="A881" s="6">
        <v>44070.708333333336</v>
      </c>
      <c r="B881" s="1" t="s">
        <v>9</v>
      </c>
      <c r="C881">
        <v>108</v>
      </c>
      <c r="D881">
        <v>4</v>
      </c>
      <c r="E881">
        <v>445</v>
      </c>
      <c r="F881">
        <v>6241</v>
      </c>
      <c r="G881" s="3">
        <f t="shared" si="39"/>
        <v>130</v>
      </c>
      <c r="H881" s="4">
        <f t="shared" si="40"/>
        <v>2.0829995193078044E-2</v>
      </c>
      <c r="I881" s="1">
        <f t="shared" si="41"/>
        <v>2</v>
      </c>
    </row>
    <row r="882" spans="1:9" hidden="1" x14ac:dyDescent="0.2">
      <c r="A882" s="6">
        <v>44071.708333333336</v>
      </c>
      <c r="B882" s="1" t="s">
        <v>9</v>
      </c>
      <c r="C882">
        <v>121</v>
      </c>
      <c r="D882">
        <v>5</v>
      </c>
      <c r="E882">
        <v>445</v>
      </c>
      <c r="F882">
        <v>6424</v>
      </c>
      <c r="G882" s="3">
        <f t="shared" si="39"/>
        <v>183</v>
      </c>
      <c r="H882" s="4">
        <f t="shared" si="40"/>
        <v>2.8486924034869188E-2</v>
      </c>
      <c r="I882" s="1">
        <f t="shared" si="41"/>
        <v>0</v>
      </c>
    </row>
    <row r="883" spans="1:9" hidden="1" x14ac:dyDescent="0.2">
      <c r="A883" s="6">
        <v>44072.708333333336</v>
      </c>
      <c r="B883" s="1" t="s">
        <v>9</v>
      </c>
      <c r="C883">
        <v>72</v>
      </c>
      <c r="D883">
        <v>2</v>
      </c>
      <c r="E883">
        <v>445</v>
      </c>
      <c r="F883">
        <v>6612</v>
      </c>
      <c r="G883" s="3">
        <f t="shared" si="39"/>
        <v>188</v>
      </c>
      <c r="H883" s="4">
        <f t="shared" si="40"/>
        <v>2.8433151845130067E-2</v>
      </c>
      <c r="I883" s="1">
        <f t="shared" si="41"/>
        <v>0</v>
      </c>
    </row>
    <row r="884" spans="1:9" hidden="1" x14ac:dyDescent="0.2">
      <c r="A884" s="6">
        <v>44073.708333333336</v>
      </c>
      <c r="B884" s="1" t="s">
        <v>9</v>
      </c>
      <c r="C884">
        <v>110</v>
      </c>
      <c r="D884">
        <v>4</v>
      </c>
      <c r="E884">
        <v>445</v>
      </c>
      <c r="F884">
        <v>6882</v>
      </c>
      <c r="G884" s="3">
        <f t="shared" si="39"/>
        <v>270</v>
      </c>
      <c r="H884" s="4">
        <f t="shared" si="40"/>
        <v>3.9232781168265007E-2</v>
      </c>
      <c r="I884" s="1">
        <f t="shared" si="41"/>
        <v>0</v>
      </c>
    </row>
    <row r="885" spans="1:9" hidden="1" x14ac:dyDescent="0.2">
      <c r="A885" s="6">
        <v>44074.708333333336</v>
      </c>
      <c r="B885" s="1" t="s">
        <v>9</v>
      </c>
      <c r="C885">
        <v>95</v>
      </c>
      <c r="D885">
        <v>1</v>
      </c>
      <c r="E885">
        <v>445</v>
      </c>
      <c r="F885">
        <v>7066</v>
      </c>
      <c r="G885" s="3">
        <f t="shared" si="39"/>
        <v>184</v>
      </c>
      <c r="H885" s="4">
        <f t="shared" si="40"/>
        <v>2.6040192470987877E-2</v>
      </c>
      <c r="I885" s="1">
        <f t="shared" si="41"/>
        <v>0</v>
      </c>
    </row>
    <row r="886" spans="1:9" hidden="1" x14ac:dyDescent="0.2">
      <c r="A886" s="6">
        <v>44075.708333333336</v>
      </c>
      <c r="B886" s="1" t="s">
        <v>9</v>
      </c>
      <c r="C886">
        <v>143</v>
      </c>
      <c r="D886">
        <v>6</v>
      </c>
      <c r="E886">
        <v>446</v>
      </c>
      <c r="F886">
        <v>7168</v>
      </c>
      <c r="G886" s="3">
        <f t="shared" si="39"/>
        <v>102</v>
      </c>
      <c r="H886" s="4">
        <f t="shared" si="40"/>
        <v>1.4229910714285698E-2</v>
      </c>
      <c r="I886" s="1">
        <f t="shared" si="41"/>
        <v>1</v>
      </c>
    </row>
    <row r="887" spans="1:9" hidden="1" x14ac:dyDescent="0.2">
      <c r="A887" s="6">
        <v>44076.708333333336</v>
      </c>
      <c r="B887" s="1" t="s">
        <v>9</v>
      </c>
      <c r="C887">
        <v>163</v>
      </c>
      <c r="D887">
        <v>4</v>
      </c>
      <c r="E887">
        <v>446</v>
      </c>
      <c r="F887">
        <v>7285</v>
      </c>
      <c r="G887" s="3">
        <f t="shared" si="39"/>
        <v>117</v>
      </c>
      <c r="H887" s="4">
        <f t="shared" si="40"/>
        <v>1.6060398078242999E-2</v>
      </c>
      <c r="I887" s="1">
        <f t="shared" si="41"/>
        <v>0</v>
      </c>
    </row>
    <row r="888" spans="1:9" hidden="1" x14ac:dyDescent="0.2">
      <c r="A888" s="6">
        <v>44077.708333333336</v>
      </c>
      <c r="B888" s="1" t="s">
        <v>9</v>
      </c>
      <c r="C888">
        <v>185</v>
      </c>
      <c r="D888">
        <v>4</v>
      </c>
      <c r="E888">
        <v>446</v>
      </c>
      <c r="F888">
        <v>7478</v>
      </c>
      <c r="G888" s="3">
        <f t="shared" si="39"/>
        <v>193</v>
      </c>
      <c r="H888" s="4">
        <f t="shared" si="40"/>
        <v>2.5809039850227311E-2</v>
      </c>
      <c r="I888" s="1">
        <f t="shared" si="41"/>
        <v>0</v>
      </c>
    </row>
    <row r="889" spans="1:9" hidden="1" x14ac:dyDescent="0.2">
      <c r="A889" s="6">
        <v>44078.708333333336</v>
      </c>
      <c r="B889" s="1" t="s">
        <v>9</v>
      </c>
      <c r="C889">
        <v>196</v>
      </c>
      <c r="D889">
        <v>5</v>
      </c>
      <c r="E889">
        <v>447</v>
      </c>
      <c r="F889">
        <v>7649</v>
      </c>
      <c r="G889" s="3">
        <f t="shared" si="39"/>
        <v>171</v>
      </c>
      <c r="H889" s="4">
        <f t="shared" si="40"/>
        <v>2.2355863511570151E-2</v>
      </c>
      <c r="I889" s="1">
        <f t="shared" si="41"/>
        <v>1</v>
      </c>
    </row>
    <row r="890" spans="1:9" hidden="1" x14ac:dyDescent="0.2">
      <c r="A890" s="6">
        <v>44079.708333333336</v>
      </c>
      <c r="B890" s="1" t="s">
        <v>9</v>
      </c>
      <c r="C890">
        <v>207</v>
      </c>
      <c r="D890">
        <v>6</v>
      </c>
      <c r="E890">
        <v>448</v>
      </c>
      <c r="F890">
        <v>7768</v>
      </c>
      <c r="G890" s="3">
        <f t="shared" si="39"/>
        <v>119</v>
      </c>
      <c r="H890" s="4">
        <f t="shared" si="40"/>
        <v>1.5319258496395483E-2</v>
      </c>
      <c r="I890" s="1">
        <f t="shared" si="41"/>
        <v>1</v>
      </c>
    </row>
    <row r="891" spans="1:9" hidden="1" x14ac:dyDescent="0.2">
      <c r="A891" s="6">
        <v>44080.708333333336</v>
      </c>
      <c r="B891" s="1" t="s">
        <v>9</v>
      </c>
      <c r="C891">
        <v>221</v>
      </c>
      <c r="D891">
        <v>7</v>
      </c>
      <c r="E891">
        <v>448</v>
      </c>
      <c r="F891">
        <v>7868</v>
      </c>
      <c r="G891" s="3">
        <f t="shared" si="39"/>
        <v>100</v>
      </c>
      <c r="H891" s="4">
        <f t="shared" si="40"/>
        <v>1.2709710218607007E-2</v>
      </c>
      <c r="I891" s="1">
        <f t="shared" si="41"/>
        <v>0</v>
      </c>
    </row>
    <row r="892" spans="1:9" hidden="1" x14ac:dyDescent="0.2">
      <c r="A892" s="6">
        <v>44081.708333333336</v>
      </c>
      <c r="B892" s="1" t="s">
        <v>9</v>
      </c>
      <c r="C892">
        <v>223</v>
      </c>
      <c r="D892">
        <v>7</v>
      </c>
      <c r="E892">
        <v>448</v>
      </c>
      <c r="F892">
        <v>8128</v>
      </c>
      <c r="G892" s="3">
        <f t="shared" si="39"/>
        <v>260</v>
      </c>
      <c r="H892" s="4">
        <f t="shared" si="40"/>
        <v>3.1988188976378007E-2</v>
      </c>
      <c r="I892" s="1">
        <f t="shared" si="41"/>
        <v>0</v>
      </c>
    </row>
    <row r="893" spans="1:9" hidden="1" x14ac:dyDescent="0.2">
      <c r="A893" s="6">
        <v>44082.708333333336</v>
      </c>
      <c r="B893" s="1" t="s">
        <v>9</v>
      </c>
      <c r="C893">
        <v>220</v>
      </c>
      <c r="D893">
        <v>9</v>
      </c>
      <c r="E893">
        <v>448</v>
      </c>
      <c r="F893">
        <v>8377</v>
      </c>
      <c r="G893" s="3">
        <f t="shared" si="39"/>
        <v>249</v>
      </c>
      <c r="H893" s="4">
        <f t="shared" si="40"/>
        <v>2.9724244956428336E-2</v>
      </c>
      <c r="I893" s="1">
        <f t="shared" si="41"/>
        <v>0</v>
      </c>
    </row>
    <row r="894" spans="1:9" hidden="1" x14ac:dyDescent="0.2">
      <c r="A894" s="6">
        <v>44083.708333333336</v>
      </c>
      <c r="B894" s="1" t="s">
        <v>9</v>
      </c>
      <c r="C894">
        <v>226</v>
      </c>
      <c r="D894">
        <v>10</v>
      </c>
      <c r="E894">
        <v>449</v>
      </c>
      <c r="F894">
        <v>8580</v>
      </c>
      <c r="G894" s="3">
        <f t="shared" si="39"/>
        <v>203</v>
      </c>
      <c r="H894" s="4">
        <f t="shared" si="40"/>
        <v>2.3659673659673697E-2</v>
      </c>
      <c r="I894" s="1">
        <f t="shared" si="41"/>
        <v>1</v>
      </c>
    </row>
    <row r="895" spans="1:9" hidden="1" x14ac:dyDescent="0.2">
      <c r="A895" s="6">
        <v>44084.708333333336</v>
      </c>
      <c r="B895" s="1" t="s">
        <v>9</v>
      </c>
      <c r="C895">
        <v>232</v>
      </c>
      <c r="D895">
        <v>10</v>
      </c>
      <c r="E895">
        <v>450</v>
      </c>
      <c r="F895">
        <v>8760</v>
      </c>
      <c r="G895" s="3">
        <f t="shared" si="39"/>
        <v>180</v>
      </c>
      <c r="H895" s="4">
        <f t="shared" si="40"/>
        <v>2.0547945205479423E-2</v>
      </c>
      <c r="I895" s="1">
        <f t="shared" si="41"/>
        <v>1</v>
      </c>
    </row>
    <row r="896" spans="1:9" hidden="1" x14ac:dyDescent="0.2">
      <c r="A896" s="6">
        <v>44085.708333333336</v>
      </c>
      <c r="B896" s="1" t="s">
        <v>9</v>
      </c>
      <c r="C896">
        <v>239</v>
      </c>
      <c r="D896">
        <v>13</v>
      </c>
      <c r="E896">
        <v>451</v>
      </c>
      <c r="F896">
        <v>8900</v>
      </c>
      <c r="G896" s="3">
        <f t="shared" si="39"/>
        <v>140</v>
      </c>
      <c r="H896" s="4">
        <f t="shared" si="40"/>
        <v>1.5730337078651679E-2</v>
      </c>
      <c r="I896" s="1">
        <f t="shared" si="41"/>
        <v>1</v>
      </c>
    </row>
    <row r="897" spans="1:9" hidden="1" x14ac:dyDescent="0.2">
      <c r="A897" s="6">
        <v>44086.708333333336</v>
      </c>
      <c r="B897" s="1" t="s">
        <v>9</v>
      </c>
      <c r="C897">
        <v>254</v>
      </c>
      <c r="D897">
        <v>17</v>
      </c>
      <c r="E897">
        <v>451</v>
      </c>
      <c r="F897">
        <v>9003</v>
      </c>
      <c r="G897" s="3">
        <f t="shared" si="39"/>
        <v>103</v>
      </c>
      <c r="H897" s="4">
        <f t="shared" si="40"/>
        <v>1.1440630900810822E-2</v>
      </c>
      <c r="I897" s="1">
        <f t="shared" si="41"/>
        <v>0</v>
      </c>
    </row>
    <row r="898" spans="1:9" hidden="1" x14ac:dyDescent="0.2">
      <c r="A898" s="6">
        <v>44087.708333333336</v>
      </c>
      <c r="B898" s="1" t="s">
        <v>9</v>
      </c>
      <c r="C898">
        <v>271</v>
      </c>
      <c r="D898">
        <v>19</v>
      </c>
      <c r="E898">
        <v>451</v>
      </c>
      <c r="F898">
        <v>9125</v>
      </c>
      <c r="G898" s="3">
        <f t="shared" si="39"/>
        <v>122</v>
      </c>
      <c r="H898" s="4">
        <f t="shared" si="40"/>
        <v>1.336986301369858E-2</v>
      </c>
      <c r="I898" s="1">
        <f t="shared" si="41"/>
        <v>0</v>
      </c>
    </row>
    <row r="899" spans="1:9" hidden="1" x14ac:dyDescent="0.2">
      <c r="A899" s="6">
        <v>44088.708333333336</v>
      </c>
      <c r="B899" s="1" t="s">
        <v>9</v>
      </c>
      <c r="C899">
        <v>286</v>
      </c>
      <c r="D899">
        <v>19</v>
      </c>
      <c r="E899">
        <v>452</v>
      </c>
      <c r="F899">
        <v>9215</v>
      </c>
      <c r="G899" s="3">
        <f t="shared" ref="G899:G962" si="42">IF(AND(F899&gt;0,AND(B899=B898,F899&gt;0)),F899-F898,0)</f>
        <v>90</v>
      </c>
      <c r="H899" s="4">
        <f t="shared" ref="H899:H962" si="43">IF(AND(F898&gt;0,AND(B899=B898,F898&gt;0)),1-(F898/F899),0)</f>
        <v>9.7666847531199252E-3</v>
      </c>
      <c r="I899" s="1">
        <f t="shared" ref="I899:I962" si="44">IF(AND(E899&gt;0,AND(B899=B898,E899&gt;0)),E899-E898,0)</f>
        <v>1</v>
      </c>
    </row>
    <row r="900" spans="1:9" hidden="1" x14ac:dyDescent="0.2">
      <c r="A900" s="6">
        <v>44089.708333333336</v>
      </c>
      <c r="B900" s="1" t="s">
        <v>9</v>
      </c>
      <c r="C900">
        <v>295</v>
      </c>
      <c r="D900">
        <v>18</v>
      </c>
      <c r="E900">
        <v>452</v>
      </c>
      <c r="F900">
        <v>9351</v>
      </c>
      <c r="G900" s="3">
        <f t="shared" si="42"/>
        <v>136</v>
      </c>
      <c r="H900" s="4">
        <f t="shared" si="43"/>
        <v>1.4543899048230169E-2</v>
      </c>
      <c r="I900" s="1">
        <f t="shared" si="44"/>
        <v>0</v>
      </c>
    </row>
    <row r="901" spans="1:9" hidden="1" x14ac:dyDescent="0.2">
      <c r="A901" s="6">
        <v>44090.708333333336</v>
      </c>
      <c r="B901" s="1" t="s">
        <v>9</v>
      </c>
      <c r="C901">
        <v>301</v>
      </c>
      <c r="D901">
        <v>19</v>
      </c>
      <c r="E901">
        <v>452</v>
      </c>
      <c r="F901">
        <v>9537</v>
      </c>
      <c r="G901" s="3">
        <f t="shared" si="42"/>
        <v>186</v>
      </c>
      <c r="H901" s="4">
        <f t="shared" si="43"/>
        <v>1.9502988361119855E-2</v>
      </c>
      <c r="I901" s="1">
        <f t="shared" si="44"/>
        <v>0</v>
      </c>
    </row>
    <row r="902" spans="1:9" hidden="1" x14ac:dyDescent="0.2">
      <c r="A902" s="6">
        <v>44091.708333333336</v>
      </c>
      <c r="B902" s="1" t="s">
        <v>9</v>
      </c>
      <c r="C902">
        <v>302</v>
      </c>
      <c r="D902">
        <v>21</v>
      </c>
      <c r="E902">
        <v>455</v>
      </c>
      <c r="F902">
        <v>9732</v>
      </c>
      <c r="G902" s="3">
        <f t="shared" si="42"/>
        <v>195</v>
      </c>
      <c r="H902" s="4">
        <f t="shared" si="43"/>
        <v>2.0036991368680646E-2</v>
      </c>
      <c r="I902" s="1">
        <f t="shared" si="44"/>
        <v>3</v>
      </c>
    </row>
    <row r="903" spans="1:9" hidden="1" x14ac:dyDescent="0.2">
      <c r="A903" s="6">
        <v>44092.708333333336</v>
      </c>
      <c r="B903" s="1" t="s">
        <v>9</v>
      </c>
      <c r="C903">
        <v>318</v>
      </c>
      <c r="D903">
        <v>20</v>
      </c>
      <c r="E903">
        <v>455</v>
      </c>
      <c r="F903">
        <v>9940</v>
      </c>
      <c r="G903" s="3">
        <f t="shared" si="42"/>
        <v>208</v>
      </c>
      <c r="H903" s="4">
        <f t="shared" si="43"/>
        <v>2.0925553319919521E-2</v>
      </c>
      <c r="I903" s="1">
        <f t="shared" si="44"/>
        <v>0</v>
      </c>
    </row>
    <row r="904" spans="1:9" hidden="1" x14ac:dyDescent="0.2">
      <c r="A904" s="6">
        <v>44093.708333333336</v>
      </c>
      <c r="B904" s="1" t="s">
        <v>9</v>
      </c>
      <c r="C904">
        <v>327</v>
      </c>
      <c r="D904">
        <v>19</v>
      </c>
      <c r="E904">
        <v>456</v>
      </c>
      <c r="F904">
        <v>10089</v>
      </c>
      <c r="G904" s="3">
        <f t="shared" si="42"/>
        <v>149</v>
      </c>
      <c r="H904" s="4">
        <f t="shared" si="43"/>
        <v>1.476855981762315E-2</v>
      </c>
      <c r="I904" s="1">
        <f t="shared" si="44"/>
        <v>1</v>
      </c>
    </row>
    <row r="905" spans="1:9" hidden="1" x14ac:dyDescent="0.2">
      <c r="A905" s="6">
        <v>44094.708333333336</v>
      </c>
      <c r="B905" s="1" t="s">
        <v>9</v>
      </c>
      <c r="C905">
        <v>344</v>
      </c>
      <c r="D905">
        <v>22</v>
      </c>
      <c r="E905">
        <v>456</v>
      </c>
      <c r="F905">
        <v>10260</v>
      </c>
      <c r="G905" s="3">
        <f t="shared" si="42"/>
        <v>171</v>
      </c>
      <c r="H905" s="4">
        <f t="shared" si="43"/>
        <v>1.6666666666666718E-2</v>
      </c>
      <c r="I905" s="1">
        <f t="shared" si="44"/>
        <v>0</v>
      </c>
    </row>
    <row r="906" spans="1:9" hidden="1" x14ac:dyDescent="0.2">
      <c r="A906" s="6">
        <v>44095.708333333336</v>
      </c>
      <c r="B906" s="1" t="s">
        <v>9</v>
      </c>
      <c r="C906">
        <v>345</v>
      </c>
      <c r="D906">
        <v>21</v>
      </c>
      <c r="E906">
        <v>457</v>
      </c>
      <c r="F906">
        <v>10503</v>
      </c>
      <c r="G906" s="3">
        <f t="shared" si="42"/>
        <v>243</v>
      </c>
      <c r="H906" s="4">
        <f t="shared" si="43"/>
        <v>2.3136246786632397E-2</v>
      </c>
      <c r="I906" s="1">
        <f t="shared" si="44"/>
        <v>1</v>
      </c>
    </row>
    <row r="907" spans="1:9" hidden="1" x14ac:dyDescent="0.2">
      <c r="A907" s="6">
        <v>44096.708333333336</v>
      </c>
      <c r="B907" s="1" t="s">
        <v>9</v>
      </c>
      <c r="C907">
        <v>360</v>
      </c>
      <c r="D907">
        <v>23</v>
      </c>
      <c r="E907">
        <v>457</v>
      </c>
      <c r="F907">
        <v>10659</v>
      </c>
      <c r="G907" s="3">
        <f t="shared" si="42"/>
        <v>156</v>
      </c>
      <c r="H907" s="4">
        <f t="shared" si="43"/>
        <v>1.4635519279482145E-2</v>
      </c>
      <c r="I907" s="1">
        <f t="shared" si="44"/>
        <v>0</v>
      </c>
    </row>
    <row r="908" spans="1:9" hidden="1" x14ac:dyDescent="0.2">
      <c r="A908" s="6">
        <v>44097.708333333336</v>
      </c>
      <c r="B908" s="1" t="s">
        <v>9</v>
      </c>
      <c r="C908">
        <v>356</v>
      </c>
      <c r="D908">
        <v>22</v>
      </c>
      <c r="E908">
        <v>457</v>
      </c>
      <c r="F908">
        <v>10907</v>
      </c>
      <c r="G908" s="3">
        <f t="shared" si="42"/>
        <v>248</v>
      </c>
      <c r="H908" s="4">
        <f t="shared" si="43"/>
        <v>2.2737691390849912E-2</v>
      </c>
      <c r="I908" s="1">
        <f t="shared" si="44"/>
        <v>0</v>
      </c>
    </row>
    <row r="909" spans="1:9" hidden="1" x14ac:dyDescent="0.2">
      <c r="A909" s="6">
        <v>44098.708333333336</v>
      </c>
      <c r="B909" s="1" t="s">
        <v>9</v>
      </c>
      <c r="C909">
        <v>371</v>
      </c>
      <c r="D909">
        <v>25</v>
      </c>
      <c r="E909">
        <v>457</v>
      </c>
      <c r="F909">
        <v>11102</v>
      </c>
      <c r="G909" s="3">
        <f t="shared" si="42"/>
        <v>195</v>
      </c>
      <c r="H909" s="4">
        <f t="shared" si="43"/>
        <v>1.7564402810304469E-2</v>
      </c>
      <c r="I909" s="1">
        <f t="shared" si="44"/>
        <v>0</v>
      </c>
    </row>
    <row r="910" spans="1:9" hidden="1" x14ac:dyDescent="0.2">
      <c r="A910" s="6">
        <v>44099.708333333336</v>
      </c>
      <c r="B910" s="1" t="s">
        <v>9</v>
      </c>
      <c r="C910">
        <v>382</v>
      </c>
      <c r="D910">
        <v>27</v>
      </c>
      <c r="E910">
        <v>459</v>
      </c>
      <c r="F910">
        <v>11355</v>
      </c>
      <c r="G910" s="3">
        <f t="shared" si="42"/>
        <v>253</v>
      </c>
      <c r="H910" s="4">
        <f t="shared" si="43"/>
        <v>2.2280933509467249E-2</v>
      </c>
      <c r="I910" s="1">
        <f t="shared" si="44"/>
        <v>2</v>
      </c>
    </row>
    <row r="911" spans="1:9" hidden="1" x14ac:dyDescent="0.2">
      <c r="A911" s="6">
        <v>44100.708333333336</v>
      </c>
      <c r="B911" s="1" t="s">
        <v>9</v>
      </c>
      <c r="C911">
        <v>325</v>
      </c>
      <c r="D911">
        <v>29</v>
      </c>
      <c r="E911">
        <v>460</v>
      </c>
      <c r="F911">
        <v>11629</v>
      </c>
      <c r="G911" s="3">
        <f t="shared" si="42"/>
        <v>274</v>
      </c>
      <c r="H911" s="4">
        <f t="shared" si="43"/>
        <v>2.3561785192191986E-2</v>
      </c>
      <c r="I911" s="1">
        <f t="shared" si="44"/>
        <v>1</v>
      </c>
    </row>
    <row r="912" spans="1:9" hidden="1" x14ac:dyDescent="0.2">
      <c r="A912" s="6">
        <v>44101.708333333336</v>
      </c>
      <c r="B912" s="1" t="s">
        <v>9</v>
      </c>
      <c r="C912">
        <v>400</v>
      </c>
      <c r="D912">
        <v>30</v>
      </c>
      <c r="E912">
        <v>460</v>
      </c>
      <c r="F912">
        <v>11874</v>
      </c>
      <c r="G912" s="3">
        <f t="shared" si="42"/>
        <v>245</v>
      </c>
      <c r="H912" s="4">
        <f t="shared" si="43"/>
        <v>2.0633316489809705E-2</v>
      </c>
      <c r="I912" s="1">
        <f t="shared" si="44"/>
        <v>0</v>
      </c>
    </row>
    <row r="913" spans="1:9" hidden="1" x14ac:dyDescent="0.2">
      <c r="A913" s="6">
        <v>44102.708333333336</v>
      </c>
      <c r="B913" s="1" t="s">
        <v>9</v>
      </c>
      <c r="C913">
        <v>412</v>
      </c>
      <c r="D913">
        <v>30</v>
      </c>
      <c r="E913">
        <v>461</v>
      </c>
      <c r="F913">
        <v>12169</v>
      </c>
      <c r="G913" s="3">
        <f t="shared" si="42"/>
        <v>295</v>
      </c>
      <c r="H913" s="4">
        <f t="shared" si="43"/>
        <v>2.4241926205933129E-2</v>
      </c>
      <c r="I913" s="1">
        <f t="shared" si="44"/>
        <v>1</v>
      </c>
    </row>
    <row r="914" spans="1:9" hidden="1" x14ac:dyDescent="0.2">
      <c r="A914" s="6">
        <v>44103.708333333336</v>
      </c>
      <c r="B914" s="1" t="s">
        <v>9</v>
      </c>
      <c r="C914">
        <v>417</v>
      </c>
      <c r="D914">
        <v>35</v>
      </c>
      <c r="E914">
        <v>463</v>
      </c>
      <c r="F914">
        <v>12455</v>
      </c>
      <c r="G914" s="3">
        <f t="shared" si="42"/>
        <v>286</v>
      </c>
      <c r="H914" s="4">
        <f t="shared" si="43"/>
        <v>2.2962665596146126E-2</v>
      </c>
      <c r="I914" s="1">
        <f t="shared" si="44"/>
        <v>2</v>
      </c>
    </row>
    <row r="915" spans="1:9" hidden="1" x14ac:dyDescent="0.2">
      <c r="A915" s="6">
        <v>44104.708333333336</v>
      </c>
      <c r="B915" s="1" t="s">
        <v>9</v>
      </c>
      <c r="C915">
        <v>414</v>
      </c>
      <c r="D915">
        <v>39</v>
      </c>
      <c r="E915">
        <v>463</v>
      </c>
      <c r="F915">
        <v>12742</v>
      </c>
      <c r="G915" s="3">
        <f t="shared" si="42"/>
        <v>287</v>
      </c>
      <c r="H915" s="4">
        <f t="shared" si="43"/>
        <v>2.2523936587662829E-2</v>
      </c>
      <c r="I915" s="1">
        <f t="shared" si="44"/>
        <v>0</v>
      </c>
    </row>
    <row r="916" spans="1:9" hidden="1" x14ac:dyDescent="0.2">
      <c r="A916" s="6">
        <v>44105.708333333336</v>
      </c>
      <c r="B916" s="1" t="s">
        <v>9</v>
      </c>
      <c r="C916">
        <v>421</v>
      </c>
      <c r="D916">
        <v>38</v>
      </c>
      <c r="E916">
        <v>463</v>
      </c>
      <c r="F916">
        <v>13132</v>
      </c>
      <c r="G916" s="3">
        <f t="shared" si="42"/>
        <v>390</v>
      </c>
      <c r="H916" s="4">
        <f t="shared" si="43"/>
        <v>2.9698446542796186E-2</v>
      </c>
      <c r="I916" s="1">
        <f t="shared" si="44"/>
        <v>0</v>
      </c>
    </row>
    <row r="917" spans="1:9" hidden="1" x14ac:dyDescent="0.2">
      <c r="A917" s="6">
        <v>44106.708333333336</v>
      </c>
      <c r="B917" s="1" t="s">
        <v>9</v>
      </c>
      <c r="C917">
        <v>439</v>
      </c>
      <c r="D917">
        <v>39</v>
      </c>
      <c r="E917">
        <v>464</v>
      </c>
      <c r="F917">
        <v>13524</v>
      </c>
      <c r="G917" s="3">
        <f t="shared" si="42"/>
        <v>392</v>
      </c>
      <c r="H917" s="4">
        <f t="shared" si="43"/>
        <v>2.8985507246376829E-2</v>
      </c>
      <c r="I917" s="1">
        <f t="shared" si="44"/>
        <v>1</v>
      </c>
    </row>
    <row r="918" spans="1:9" hidden="1" x14ac:dyDescent="0.2">
      <c r="A918" s="6">
        <v>44107.708333333336</v>
      </c>
      <c r="B918" s="1" t="s">
        <v>9</v>
      </c>
      <c r="C918">
        <v>434</v>
      </c>
      <c r="D918">
        <v>40</v>
      </c>
      <c r="E918">
        <v>465</v>
      </c>
      <c r="F918">
        <v>13925</v>
      </c>
      <c r="G918" s="3">
        <f t="shared" si="42"/>
        <v>401</v>
      </c>
      <c r="H918" s="4">
        <f t="shared" si="43"/>
        <v>2.8797127468581651E-2</v>
      </c>
      <c r="I918" s="1">
        <f t="shared" si="44"/>
        <v>1</v>
      </c>
    </row>
    <row r="919" spans="1:9" hidden="1" x14ac:dyDescent="0.2">
      <c r="A919" s="6">
        <v>44108.708333333336</v>
      </c>
      <c r="B919" s="1" t="s">
        <v>9</v>
      </c>
      <c r="C919">
        <v>450</v>
      </c>
      <c r="D919">
        <v>41</v>
      </c>
      <c r="E919">
        <v>465</v>
      </c>
      <c r="F919">
        <v>14337</v>
      </c>
      <c r="G919" s="3">
        <f t="shared" si="42"/>
        <v>412</v>
      </c>
      <c r="H919" s="4">
        <f t="shared" si="43"/>
        <v>2.8736834763200103E-2</v>
      </c>
      <c r="I919" s="1">
        <f t="shared" si="44"/>
        <v>0</v>
      </c>
    </row>
    <row r="920" spans="1:9" hidden="1" x14ac:dyDescent="0.2">
      <c r="A920" s="6">
        <v>44109.708333333336</v>
      </c>
      <c r="B920" s="1" t="s">
        <v>9</v>
      </c>
      <c r="C920">
        <v>463</v>
      </c>
      <c r="D920">
        <v>43</v>
      </c>
      <c r="E920">
        <v>466</v>
      </c>
      <c r="F920">
        <v>14768</v>
      </c>
      <c r="G920" s="3">
        <f t="shared" si="42"/>
        <v>431</v>
      </c>
      <c r="H920" s="4">
        <f t="shared" si="43"/>
        <v>2.9184723726977224E-2</v>
      </c>
      <c r="I920" s="1">
        <f t="shared" si="44"/>
        <v>1</v>
      </c>
    </row>
    <row r="921" spans="1:9" hidden="1" x14ac:dyDescent="0.2">
      <c r="A921" s="6">
        <v>44110.708333333336</v>
      </c>
      <c r="B921" s="1" t="s">
        <v>9</v>
      </c>
      <c r="C921">
        <v>488</v>
      </c>
      <c r="D921">
        <v>47</v>
      </c>
      <c r="E921">
        <v>468</v>
      </c>
      <c r="F921">
        <v>15163</v>
      </c>
      <c r="G921" s="3">
        <f t="shared" si="42"/>
        <v>395</v>
      </c>
      <c r="H921" s="4">
        <f t="shared" si="43"/>
        <v>2.6050253907538123E-2</v>
      </c>
      <c r="I921" s="1">
        <f t="shared" si="44"/>
        <v>2</v>
      </c>
    </row>
    <row r="922" spans="1:9" hidden="1" x14ac:dyDescent="0.2">
      <c r="A922" s="6">
        <v>44111.708333333336</v>
      </c>
      <c r="B922" s="1" t="s">
        <v>9</v>
      </c>
      <c r="C922">
        <v>520</v>
      </c>
      <c r="D922">
        <v>52</v>
      </c>
      <c r="E922">
        <v>469</v>
      </c>
      <c r="F922">
        <v>15707</v>
      </c>
      <c r="G922" s="3">
        <f t="shared" si="42"/>
        <v>544</v>
      </c>
      <c r="H922" s="4">
        <f t="shared" si="43"/>
        <v>3.463423951104605E-2</v>
      </c>
      <c r="I922" s="1">
        <f t="shared" si="44"/>
        <v>1</v>
      </c>
    </row>
    <row r="923" spans="1:9" hidden="1" x14ac:dyDescent="0.2">
      <c r="A923" s="6">
        <v>44112.708333333336</v>
      </c>
      <c r="B923" s="1" t="s">
        <v>9</v>
      </c>
      <c r="C923">
        <v>548</v>
      </c>
      <c r="D923">
        <v>55</v>
      </c>
      <c r="E923">
        <v>470</v>
      </c>
      <c r="F923">
        <v>16464</v>
      </c>
      <c r="G923" s="3">
        <f t="shared" si="42"/>
        <v>757</v>
      </c>
      <c r="H923" s="4">
        <f t="shared" si="43"/>
        <v>4.5979105928085517E-2</v>
      </c>
      <c r="I923" s="1">
        <f t="shared" si="44"/>
        <v>1</v>
      </c>
    </row>
    <row r="924" spans="1:9" hidden="1" x14ac:dyDescent="0.2">
      <c r="A924" s="6">
        <v>44113.708333333336</v>
      </c>
      <c r="B924" s="1" t="s">
        <v>9</v>
      </c>
      <c r="C924">
        <v>576</v>
      </c>
      <c r="D924">
        <v>63</v>
      </c>
      <c r="E924">
        <v>475</v>
      </c>
      <c r="F924">
        <v>17233</v>
      </c>
      <c r="G924" s="3">
        <f t="shared" si="42"/>
        <v>769</v>
      </c>
      <c r="H924" s="4">
        <f t="shared" si="43"/>
        <v>4.4623687111936428E-2</v>
      </c>
      <c r="I924" s="1">
        <f t="shared" si="44"/>
        <v>5</v>
      </c>
    </row>
    <row r="925" spans="1:9" hidden="1" x14ac:dyDescent="0.2">
      <c r="A925" s="6">
        <v>44114.708333333336</v>
      </c>
      <c r="B925" s="1" t="s">
        <v>9</v>
      </c>
      <c r="C925">
        <v>635</v>
      </c>
      <c r="D925">
        <v>63</v>
      </c>
      <c r="E925">
        <v>477</v>
      </c>
      <c r="F925">
        <v>17897</v>
      </c>
      <c r="G925" s="3">
        <f t="shared" si="42"/>
        <v>664</v>
      </c>
      <c r="H925" s="4">
        <f t="shared" si="43"/>
        <v>3.7101190143599472E-2</v>
      </c>
      <c r="I925" s="1">
        <f t="shared" si="44"/>
        <v>2</v>
      </c>
    </row>
    <row r="926" spans="1:9" hidden="1" x14ac:dyDescent="0.2">
      <c r="A926" s="6">
        <v>44115.708333333336</v>
      </c>
      <c r="B926" s="1" t="s">
        <v>9</v>
      </c>
      <c r="C926">
        <v>664</v>
      </c>
      <c r="D926">
        <v>61</v>
      </c>
      <c r="E926">
        <v>479</v>
      </c>
      <c r="F926">
        <v>18530</v>
      </c>
      <c r="G926" s="3">
        <f t="shared" si="42"/>
        <v>633</v>
      </c>
      <c r="H926" s="4">
        <f t="shared" si="43"/>
        <v>3.4160820291419314E-2</v>
      </c>
      <c r="I926" s="1">
        <f t="shared" si="44"/>
        <v>2</v>
      </c>
    </row>
    <row r="927" spans="1:9" hidden="1" x14ac:dyDescent="0.2">
      <c r="A927" s="6">
        <v>43885.75</v>
      </c>
      <c r="B927" s="1" t="s">
        <v>77</v>
      </c>
      <c r="C927">
        <v>10</v>
      </c>
      <c r="D927">
        <v>2</v>
      </c>
      <c r="E927">
        <v>0</v>
      </c>
      <c r="F927">
        <v>18</v>
      </c>
      <c r="G927" s="3">
        <f t="shared" si="42"/>
        <v>0</v>
      </c>
      <c r="H927" s="4">
        <f t="shared" si="43"/>
        <v>0</v>
      </c>
      <c r="I927" s="1">
        <f t="shared" si="44"/>
        <v>0</v>
      </c>
    </row>
    <row r="928" spans="1:9" hidden="1" x14ac:dyDescent="0.2">
      <c r="A928" s="6">
        <v>43886.75</v>
      </c>
      <c r="B928" s="1" t="s">
        <v>77</v>
      </c>
      <c r="C928">
        <v>15</v>
      </c>
      <c r="D928">
        <v>2</v>
      </c>
      <c r="E928">
        <v>0</v>
      </c>
      <c r="F928">
        <v>26</v>
      </c>
      <c r="G928" s="3">
        <f t="shared" si="42"/>
        <v>8</v>
      </c>
      <c r="H928" s="4">
        <f t="shared" si="43"/>
        <v>0.30769230769230771</v>
      </c>
      <c r="I928" s="1">
        <f t="shared" si="44"/>
        <v>0</v>
      </c>
    </row>
    <row r="929" spans="1:9" hidden="1" x14ac:dyDescent="0.2">
      <c r="A929" s="6">
        <v>43887.75</v>
      </c>
      <c r="B929" s="1" t="s">
        <v>77</v>
      </c>
      <c r="C929">
        <v>20</v>
      </c>
      <c r="D929">
        <v>3</v>
      </c>
      <c r="E929">
        <v>1</v>
      </c>
      <c r="F929">
        <v>47</v>
      </c>
      <c r="G929" s="3">
        <f t="shared" si="42"/>
        <v>21</v>
      </c>
      <c r="H929" s="4">
        <f t="shared" si="43"/>
        <v>0.44680851063829785</v>
      </c>
      <c r="I929" s="1">
        <f t="shared" si="44"/>
        <v>1</v>
      </c>
    </row>
    <row r="930" spans="1:9" hidden="1" x14ac:dyDescent="0.2">
      <c r="A930" s="6">
        <v>43888.75</v>
      </c>
      <c r="B930" s="1" t="s">
        <v>77</v>
      </c>
      <c r="C930">
        <v>36</v>
      </c>
      <c r="D930">
        <v>6</v>
      </c>
      <c r="E930">
        <v>1</v>
      </c>
      <c r="F930">
        <v>97</v>
      </c>
      <c r="G930" s="3">
        <f t="shared" si="42"/>
        <v>50</v>
      </c>
      <c r="H930" s="4">
        <f t="shared" si="43"/>
        <v>0.51546391752577314</v>
      </c>
      <c r="I930" s="1">
        <f t="shared" si="44"/>
        <v>0</v>
      </c>
    </row>
    <row r="931" spans="1:9" hidden="1" x14ac:dyDescent="0.2">
      <c r="A931" s="6">
        <v>43889.75</v>
      </c>
      <c r="B931" s="1" t="s">
        <v>77</v>
      </c>
      <c r="C931">
        <v>56</v>
      </c>
      <c r="D931">
        <v>6</v>
      </c>
      <c r="E931">
        <v>2</v>
      </c>
      <c r="F931">
        <v>145</v>
      </c>
      <c r="G931" s="3">
        <f t="shared" si="42"/>
        <v>48</v>
      </c>
      <c r="H931" s="4">
        <f t="shared" si="43"/>
        <v>0.33103448275862069</v>
      </c>
      <c r="I931" s="1">
        <f t="shared" si="44"/>
        <v>1</v>
      </c>
    </row>
    <row r="932" spans="1:9" hidden="1" x14ac:dyDescent="0.2">
      <c r="A932" s="6">
        <v>43890.708333333336</v>
      </c>
      <c r="B932" s="1" t="s">
        <v>77</v>
      </c>
      <c r="C932">
        <v>86</v>
      </c>
      <c r="D932">
        <v>11</v>
      </c>
      <c r="E932">
        <v>4</v>
      </c>
      <c r="F932">
        <v>217</v>
      </c>
      <c r="G932" s="3">
        <f t="shared" si="42"/>
        <v>72</v>
      </c>
      <c r="H932" s="4">
        <f t="shared" si="43"/>
        <v>0.33179723502304148</v>
      </c>
      <c r="I932" s="1">
        <f t="shared" si="44"/>
        <v>2</v>
      </c>
    </row>
    <row r="933" spans="1:9" hidden="1" x14ac:dyDescent="0.2">
      <c r="A933" s="6">
        <v>43891.708333333336</v>
      </c>
      <c r="B933" s="1" t="s">
        <v>77</v>
      </c>
      <c r="C933">
        <v>127</v>
      </c>
      <c r="D933">
        <v>13</v>
      </c>
      <c r="E933">
        <v>8</v>
      </c>
      <c r="F933">
        <v>285</v>
      </c>
      <c r="G933" s="3">
        <f t="shared" si="42"/>
        <v>68</v>
      </c>
      <c r="H933" s="4">
        <f t="shared" si="43"/>
        <v>0.23859649122807014</v>
      </c>
      <c r="I933" s="1">
        <f t="shared" si="44"/>
        <v>4</v>
      </c>
    </row>
    <row r="934" spans="1:9" hidden="1" x14ac:dyDescent="0.2">
      <c r="A934" s="6">
        <v>43892.75</v>
      </c>
      <c r="B934" s="1" t="s">
        <v>77</v>
      </c>
      <c r="C934">
        <v>148</v>
      </c>
      <c r="D934">
        <v>16</v>
      </c>
      <c r="E934">
        <v>11</v>
      </c>
      <c r="F934">
        <v>335</v>
      </c>
      <c r="G934" s="3">
        <f t="shared" si="42"/>
        <v>50</v>
      </c>
      <c r="H934" s="4">
        <f t="shared" si="43"/>
        <v>0.14925373134328357</v>
      </c>
      <c r="I934" s="1">
        <f t="shared" si="44"/>
        <v>3</v>
      </c>
    </row>
    <row r="935" spans="1:9" hidden="1" x14ac:dyDescent="0.2">
      <c r="A935" s="6">
        <v>43893.75</v>
      </c>
      <c r="B935" s="1" t="s">
        <v>77</v>
      </c>
      <c r="C935">
        <v>187</v>
      </c>
      <c r="D935">
        <v>24</v>
      </c>
      <c r="E935">
        <v>18</v>
      </c>
      <c r="F935">
        <v>420</v>
      </c>
      <c r="G935" s="3">
        <f t="shared" si="42"/>
        <v>85</v>
      </c>
      <c r="H935" s="4">
        <f t="shared" si="43"/>
        <v>0.20238095238095233</v>
      </c>
      <c r="I935" s="1">
        <f t="shared" si="44"/>
        <v>7</v>
      </c>
    </row>
    <row r="936" spans="1:9" hidden="1" x14ac:dyDescent="0.2">
      <c r="A936" s="6">
        <v>43894.708333333336</v>
      </c>
      <c r="B936" s="1" t="s">
        <v>77</v>
      </c>
      <c r="C936">
        <v>256</v>
      </c>
      <c r="D936">
        <v>26</v>
      </c>
      <c r="E936">
        <v>22</v>
      </c>
      <c r="F936">
        <v>544</v>
      </c>
      <c r="G936" s="3">
        <f t="shared" si="42"/>
        <v>124</v>
      </c>
      <c r="H936" s="4">
        <f t="shared" si="43"/>
        <v>0.2279411764705882</v>
      </c>
      <c r="I936" s="1">
        <f t="shared" si="44"/>
        <v>4</v>
      </c>
    </row>
    <row r="937" spans="1:9" hidden="1" x14ac:dyDescent="0.2">
      <c r="A937" s="6">
        <v>43895.708333333336</v>
      </c>
      <c r="B937" s="1" t="s">
        <v>77</v>
      </c>
      <c r="C937">
        <v>327</v>
      </c>
      <c r="D937">
        <v>32</v>
      </c>
      <c r="E937">
        <v>30</v>
      </c>
      <c r="F937">
        <v>698</v>
      </c>
      <c r="G937" s="3">
        <f t="shared" si="42"/>
        <v>154</v>
      </c>
      <c r="H937" s="4">
        <f t="shared" si="43"/>
        <v>0.22063037249283668</v>
      </c>
      <c r="I937" s="1">
        <f t="shared" si="44"/>
        <v>8</v>
      </c>
    </row>
    <row r="938" spans="1:9" hidden="1" x14ac:dyDescent="0.2">
      <c r="A938" s="6">
        <v>43896.708333333336</v>
      </c>
      <c r="B938" s="1" t="s">
        <v>77</v>
      </c>
      <c r="C938">
        <v>397</v>
      </c>
      <c r="D938">
        <v>53</v>
      </c>
      <c r="E938">
        <v>37</v>
      </c>
      <c r="F938">
        <v>870</v>
      </c>
      <c r="G938" s="3">
        <f t="shared" si="42"/>
        <v>172</v>
      </c>
      <c r="H938" s="4">
        <f t="shared" si="43"/>
        <v>0.19770114942528738</v>
      </c>
      <c r="I938" s="1">
        <f t="shared" si="44"/>
        <v>7</v>
      </c>
    </row>
    <row r="939" spans="1:9" hidden="1" x14ac:dyDescent="0.2">
      <c r="A939" s="6">
        <v>43897.75</v>
      </c>
      <c r="B939" s="1" t="s">
        <v>77</v>
      </c>
      <c r="C939">
        <v>464</v>
      </c>
      <c r="D939">
        <v>64</v>
      </c>
      <c r="E939">
        <v>48</v>
      </c>
      <c r="F939">
        <v>1010</v>
      </c>
      <c r="G939" s="3">
        <f t="shared" si="42"/>
        <v>140</v>
      </c>
      <c r="H939" s="4">
        <f t="shared" si="43"/>
        <v>0.13861386138613863</v>
      </c>
      <c r="I939" s="1">
        <f t="shared" si="44"/>
        <v>11</v>
      </c>
    </row>
    <row r="940" spans="1:9" hidden="1" x14ac:dyDescent="0.2">
      <c r="A940" s="6">
        <v>43898.75</v>
      </c>
      <c r="B940" s="1" t="s">
        <v>77</v>
      </c>
      <c r="C940">
        <v>542</v>
      </c>
      <c r="D940">
        <v>75</v>
      </c>
      <c r="E940">
        <v>56</v>
      </c>
      <c r="F940">
        <v>1180</v>
      </c>
      <c r="G940" s="3">
        <f t="shared" si="42"/>
        <v>170</v>
      </c>
      <c r="H940" s="4">
        <f t="shared" si="43"/>
        <v>0.14406779661016944</v>
      </c>
      <c r="I940" s="1">
        <f t="shared" si="44"/>
        <v>8</v>
      </c>
    </row>
    <row r="941" spans="1:9" hidden="1" x14ac:dyDescent="0.2">
      <c r="A941" s="6">
        <v>43899.75</v>
      </c>
      <c r="B941" s="1" t="s">
        <v>77</v>
      </c>
      <c r="C941">
        <v>576</v>
      </c>
      <c r="D941">
        <v>90</v>
      </c>
      <c r="E941">
        <v>70</v>
      </c>
      <c r="F941">
        <v>1386</v>
      </c>
      <c r="G941" s="3">
        <f t="shared" si="42"/>
        <v>206</v>
      </c>
      <c r="H941" s="4">
        <f t="shared" si="43"/>
        <v>0.14862914862914867</v>
      </c>
      <c r="I941" s="1">
        <f t="shared" si="44"/>
        <v>14</v>
      </c>
    </row>
    <row r="942" spans="1:9" hidden="1" x14ac:dyDescent="0.2">
      <c r="A942" s="6">
        <v>43900.75</v>
      </c>
      <c r="B942" s="1" t="s">
        <v>77</v>
      </c>
      <c r="C942">
        <v>669</v>
      </c>
      <c r="D942">
        <v>98</v>
      </c>
      <c r="E942">
        <v>85</v>
      </c>
      <c r="F942">
        <v>1533</v>
      </c>
      <c r="G942" s="3">
        <f t="shared" si="42"/>
        <v>147</v>
      </c>
      <c r="H942" s="4">
        <f t="shared" si="43"/>
        <v>9.589041095890416E-2</v>
      </c>
      <c r="I942" s="1">
        <f t="shared" si="44"/>
        <v>15</v>
      </c>
    </row>
    <row r="943" spans="1:9" hidden="1" x14ac:dyDescent="0.2">
      <c r="A943" s="6">
        <v>43901.708333333336</v>
      </c>
      <c r="B943" s="1" t="s">
        <v>77</v>
      </c>
      <c r="C943">
        <v>745</v>
      </c>
      <c r="D943">
        <v>104</v>
      </c>
      <c r="E943">
        <v>113</v>
      </c>
      <c r="F943">
        <v>1739</v>
      </c>
      <c r="G943" s="3">
        <f t="shared" si="42"/>
        <v>206</v>
      </c>
      <c r="H943" s="4">
        <f t="shared" si="43"/>
        <v>0.11845888441633123</v>
      </c>
      <c r="I943" s="1">
        <f t="shared" si="44"/>
        <v>28</v>
      </c>
    </row>
    <row r="944" spans="1:9" hidden="1" x14ac:dyDescent="0.2">
      <c r="A944" s="6">
        <v>43902.708333333336</v>
      </c>
      <c r="B944" s="1" t="s">
        <v>77</v>
      </c>
      <c r="C944">
        <v>814</v>
      </c>
      <c r="D944">
        <v>112</v>
      </c>
      <c r="E944">
        <v>146</v>
      </c>
      <c r="F944">
        <v>1947</v>
      </c>
      <c r="G944" s="3">
        <f t="shared" si="42"/>
        <v>208</v>
      </c>
      <c r="H944" s="4">
        <f t="shared" si="43"/>
        <v>0.10683102208525941</v>
      </c>
      <c r="I944" s="1">
        <f t="shared" si="44"/>
        <v>33</v>
      </c>
    </row>
    <row r="945" spans="1:9" hidden="1" x14ac:dyDescent="0.2">
      <c r="A945" s="6">
        <v>43903.708333333336</v>
      </c>
      <c r="B945" s="1" t="s">
        <v>77</v>
      </c>
      <c r="C945">
        <v>942</v>
      </c>
      <c r="D945">
        <v>128</v>
      </c>
      <c r="E945">
        <v>201</v>
      </c>
      <c r="F945">
        <v>2263</v>
      </c>
      <c r="G945" s="3">
        <f t="shared" si="42"/>
        <v>316</v>
      </c>
      <c r="H945" s="4">
        <f t="shared" si="43"/>
        <v>0.139637649138312</v>
      </c>
      <c r="I945" s="1">
        <f t="shared" si="44"/>
        <v>55</v>
      </c>
    </row>
    <row r="946" spans="1:9" hidden="1" x14ac:dyDescent="0.2">
      <c r="A946" s="6">
        <v>43904.708333333336</v>
      </c>
      <c r="B946" s="1" t="s">
        <v>77</v>
      </c>
      <c r="C946">
        <v>1076</v>
      </c>
      <c r="D946">
        <v>152</v>
      </c>
      <c r="E946">
        <v>241</v>
      </c>
      <c r="F946">
        <v>2644</v>
      </c>
      <c r="G946" s="3">
        <f t="shared" si="42"/>
        <v>381</v>
      </c>
      <c r="H946" s="4">
        <f t="shared" si="43"/>
        <v>0.14409984871406956</v>
      </c>
      <c r="I946" s="1">
        <f t="shared" si="44"/>
        <v>40</v>
      </c>
    </row>
    <row r="947" spans="1:9" hidden="1" x14ac:dyDescent="0.2">
      <c r="A947" s="6">
        <v>43905.708333333336</v>
      </c>
      <c r="B947" s="1" t="s">
        <v>77</v>
      </c>
      <c r="C947">
        <v>1215</v>
      </c>
      <c r="D947">
        <v>169</v>
      </c>
      <c r="E947">
        <v>284</v>
      </c>
      <c r="F947">
        <v>3093</v>
      </c>
      <c r="G947" s="3">
        <f t="shared" si="42"/>
        <v>449</v>
      </c>
      <c r="H947" s="4">
        <f t="shared" si="43"/>
        <v>0.14516650501131589</v>
      </c>
      <c r="I947" s="1">
        <f t="shared" si="44"/>
        <v>43</v>
      </c>
    </row>
    <row r="948" spans="1:9" hidden="1" x14ac:dyDescent="0.2">
      <c r="A948" s="6">
        <v>43906.708333333336</v>
      </c>
      <c r="B948" s="1" t="s">
        <v>77</v>
      </c>
      <c r="C948">
        <v>1362</v>
      </c>
      <c r="D948">
        <v>197</v>
      </c>
      <c r="E948">
        <v>346</v>
      </c>
      <c r="F948">
        <v>3522</v>
      </c>
      <c r="G948" s="3">
        <f t="shared" si="42"/>
        <v>429</v>
      </c>
      <c r="H948" s="4">
        <f t="shared" si="43"/>
        <v>0.12180579216354348</v>
      </c>
      <c r="I948" s="1">
        <f t="shared" si="44"/>
        <v>62</v>
      </c>
    </row>
    <row r="949" spans="1:9" hidden="1" x14ac:dyDescent="0.2">
      <c r="A949" s="6">
        <v>43907.708333333336</v>
      </c>
      <c r="B949" s="1" t="s">
        <v>77</v>
      </c>
      <c r="C949">
        <v>1566</v>
      </c>
      <c r="D949">
        <v>223</v>
      </c>
      <c r="E949">
        <v>393</v>
      </c>
      <c r="F949">
        <v>3931</v>
      </c>
      <c r="G949" s="3">
        <f t="shared" si="42"/>
        <v>409</v>
      </c>
      <c r="H949" s="4">
        <f t="shared" si="43"/>
        <v>0.10404477232256426</v>
      </c>
      <c r="I949" s="1">
        <f t="shared" si="44"/>
        <v>47</v>
      </c>
    </row>
    <row r="950" spans="1:9" hidden="1" x14ac:dyDescent="0.2">
      <c r="A950" s="6">
        <v>43908.708333333336</v>
      </c>
      <c r="B950" s="1" t="s">
        <v>77</v>
      </c>
      <c r="C950">
        <v>1784</v>
      </c>
      <c r="D950">
        <v>247</v>
      </c>
      <c r="E950">
        <v>458</v>
      </c>
      <c r="F950">
        <v>4525</v>
      </c>
      <c r="G950" s="3">
        <f t="shared" si="42"/>
        <v>594</v>
      </c>
      <c r="H950" s="4">
        <f t="shared" si="43"/>
        <v>0.13127071823204417</v>
      </c>
      <c r="I950" s="1">
        <f t="shared" si="44"/>
        <v>65</v>
      </c>
    </row>
    <row r="951" spans="1:9" hidden="1" x14ac:dyDescent="0.2">
      <c r="A951" s="6">
        <v>43909.708333333336</v>
      </c>
      <c r="B951" s="1" t="s">
        <v>77</v>
      </c>
      <c r="C951">
        <v>1900</v>
      </c>
      <c r="D951">
        <v>260</v>
      </c>
      <c r="E951">
        <v>531</v>
      </c>
      <c r="F951">
        <v>5214</v>
      </c>
      <c r="G951" s="3">
        <f t="shared" si="42"/>
        <v>689</v>
      </c>
      <c r="H951" s="4">
        <f t="shared" si="43"/>
        <v>0.13214422708093598</v>
      </c>
      <c r="I951" s="1">
        <f t="shared" si="44"/>
        <v>73</v>
      </c>
    </row>
    <row r="952" spans="1:9" hidden="1" x14ac:dyDescent="0.2">
      <c r="A952" s="6">
        <v>43910.708333333336</v>
      </c>
      <c r="B952" s="1" t="s">
        <v>77</v>
      </c>
      <c r="C952">
        <v>2083</v>
      </c>
      <c r="D952">
        <v>267</v>
      </c>
      <c r="E952">
        <v>640</v>
      </c>
      <c r="F952">
        <v>5968</v>
      </c>
      <c r="G952" s="3">
        <f t="shared" si="42"/>
        <v>754</v>
      </c>
      <c r="H952" s="4">
        <f t="shared" si="43"/>
        <v>0.12634048257372654</v>
      </c>
      <c r="I952" s="1">
        <f t="shared" si="44"/>
        <v>109</v>
      </c>
    </row>
    <row r="953" spans="1:9" hidden="1" x14ac:dyDescent="0.2">
      <c r="A953" s="6">
        <v>43911.708333333336</v>
      </c>
      <c r="B953" s="1" t="s">
        <v>77</v>
      </c>
      <c r="C953">
        <v>2267</v>
      </c>
      <c r="D953">
        <v>265</v>
      </c>
      <c r="E953">
        <v>715</v>
      </c>
      <c r="F953">
        <v>6705</v>
      </c>
      <c r="G953" s="3">
        <f t="shared" si="42"/>
        <v>737</v>
      </c>
      <c r="H953" s="4">
        <f t="shared" si="43"/>
        <v>0.10991797166293815</v>
      </c>
      <c r="I953" s="1">
        <f t="shared" si="44"/>
        <v>75</v>
      </c>
    </row>
    <row r="954" spans="1:9" hidden="1" x14ac:dyDescent="0.2">
      <c r="A954" s="6">
        <v>43912.708333333336</v>
      </c>
      <c r="B954" s="1" t="s">
        <v>77</v>
      </c>
      <c r="C954">
        <v>2429</v>
      </c>
      <c r="D954">
        <v>269</v>
      </c>
      <c r="E954">
        <v>816</v>
      </c>
      <c r="F954">
        <v>7555</v>
      </c>
      <c r="G954" s="3">
        <f t="shared" si="42"/>
        <v>850</v>
      </c>
      <c r="H954" s="4">
        <f t="shared" si="43"/>
        <v>0.11250827266710783</v>
      </c>
      <c r="I954" s="1">
        <f t="shared" si="44"/>
        <v>101</v>
      </c>
    </row>
    <row r="955" spans="1:9" hidden="1" x14ac:dyDescent="0.2">
      <c r="A955" s="6">
        <v>43913.708333333336</v>
      </c>
      <c r="B955" s="1" t="s">
        <v>77</v>
      </c>
      <c r="C955">
        <v>2846</v>
      </c>
      <c r="D955">
        <v>276</v>
      </c>
      <c r="E955">
        <v>892</v>
      </c>
      <c r="F955">
        <v>8535</v>
      </c>
      <c r="G955" s="3">
        <f t="shared" si="42"/>
        <v>980</v>
      </c>
      <c r="H955" s="4">
        <f t="shared" si="43"/>
        <v>0.11482132396016398</v>
      </c>
      <c r="I955" s="1">
        <f t="shared" si="44"/>
        <v>76</v>
      </c>
    </row>
    <row r="956" spans="1:9" hidden="1" x14ac:dyDescent="0.2">
      <c r="A956" s="6">
        <v>43914.708333333336</v>
      </c>
      <c r="B956" s="1" t="s">
        <v>77</v>
      </c>
      <c r="C956">
        <v>2974</v>
      </c>
      <c r="D956">
        <v>291</v>
      </c>
      <c r="E956">
        <v>985</v>
      </c>
      <c r="F956">
        <v>9254</v>
      </c>
      <c r="G956" s="3">
        <f t="shared" si="42"/>
        <v>719</v>
      </c>
      <c r="H956" s="4">
        <f t="shared" si="43"/>
        <v>7.7696131402636648E-2</v>
      </c>
      <c r="I956" s="1">
        <f t="shared" si="44"/>
        <v>93</v>
      </c>
    </row>
    <row r="957" spans="1:9" hidden="1" x14ac:dyDescent="0.2">
      <c r="A957" s="6">
        <v>43915.708333333336</v>
      </c>
      <c r="B957" s="1" t="s">
        <v>77</v>
      </c>
      <c r="C957">
        <v>3180</v>
      </c>
      <c r="D957">
        <v>294</v>
      </c>
      <c r="E957">
        <v>1077</v>
      </c>
      <c r="F957">
        <v>10054</v>
      </c>
      <c r="G957" s="3">
        <f t="shared" si="42"/>
        <v>800</v>
      </c>
      <c r="H957" s="4">
        <f t="shared" si="43"/>
        <v>7.9570320270539119E-2</v>
      </c>
      <c r="I957" s="1">
        <f t="shared" si="44"/>
        <v>92</v>
      </c>
    </row>
    <row r="958" spans="1:9" hidden="1" x14ac:dyDescent="0.2">
      <c r="A958" s="6">
        <v>43916.708333333336</v>
      </c>
      <c r="B958" s="1" t="s">
        <v>77</v>
      </c>
      <c r="C958">
        <v>3354</v>
      </c>
      <c r="D958">
        <v>301</v>
      </c>
      <c r="E958">
        <v>1174</v>
      </c>
      <c r="F958">
        <v>10816</v>
      </c>
      <c r="G958" s="3">
        <f t="shared" si="42"/>
        <v>762</v>
      </c>
      <c r="H958" s="4">
        <f t="shared" si="43"/>
        <v>7.0451183431952669E-2</v>
      </c>
      <c r="I958" s="1">
        <f t="shared" si="44"/>
        <v>97</v>
      </c>
    </row>
    <row r="959" spans="1:9" hidden="1" x14ac:dyDescent="0.2">
      <c r="A959" s="6">
        <v>43917.708333333336</v>
      </c>
      <c r="B959" s="1" t="s">
        <v>77</v>
      </c>
      <c r="C959">
        <v>3461</v>
      </c>
      <c r="D959">
        <v>308</v>
      </c>
      <c r="E959">
        <v>1267</v>
      </c>
      <c r="F959">
        <v>11588</v>
      </c>
      <c r="G959" s="3">
        <f t="shared" si="42"/>
        <v>772</v>
      </c>
      <c r="H959" s="4">
        <f t="shared" si="43"/>
        <v>6.6620642043493272E-2</v>
      </c>
      <c r="I959" s="1">
        <f t="shared" si="44"/>
        <v>93</v>
      </c>
    </row>
    <row r="960" spans="1:9" hidden="1" x14ac:dyDescent="0.2">
      <c r="A960" s="6">
        <v>43918.708333333336</v>
      </c>
      <c r="B960" s="1" t="s">
        <v>77</v>
      </c>
      <c r="C960">
        <v>3695</v>
      </c>
      <c r="D960">
        <v>316</v>
      </c>
      <c r="E960">
        <v>1344</v>
      </c>
      <c r="F960">
        <v>12383</v>
      </c>
      <c r="G960" s="3">
        <f t="shared" si="42"/>
        <v>795</v>
      </c>
      <c r="H960" s="4">
        <f t="shared" si="43"/>
        <v>6.420092061697491E-2</v>
      </c>
      <c r="I960" s="1">
        <f t="shared" si="44"/>
        <v>77</v>
      </c>
    </row>
    <row r="961" spans="1:9" hidden="1" x14ac:dyDescent="0.2">
      <c r="A961" s="6">
        <v>43919.708333333336</v>
      </c>
      <c r="B961" s="1" t="s">
        <v>77</v>
      </c>
      <c r="C961">
        <v>3769</v>
      </c>
      <c r="D961">
        <v>333</v>
      </c>
      <c r="E961">
        <v>1443</v>
      </c>
      <c r="F961">
        <v>13119</v>
      </c>
      <c r="G961" s="3">
        <f t="shared" si="42"/>
        <v>736</v>
      </c>
      <c r="H961" s="4">
        <f t="shared" si="43"/>
        <v>5.6101837030261503E-2</v>
      </c>
      <c r="I961" s="1">
        <f t="shared" si="44"/>
        <v>99</v>
      </c>
    </row>
    <row r="962" spans="1:9" hidden="1" x14ac:dyDescent="0.2">
      <c r="A962" s="6">
        <v>43920.708333333336</v>
      </c>
      <c r="B962" s="1" t="s">
        <v>77</v>
      </c>
      <c r="C962">
        <v>3779</v>
      </c>
      <c r="D962">
        <v>351</v>
      </c>
      <c r="E962">
        <v>1538</v>
      </c>
      <c r="F962">
        <v>13531</v>
      </c>
      <c r="G962" s="3">
        <f t="shared" si="42"/>
        <v>412</v>
      </c>
      <c r="H962" s="4">
        <f t="shared" si="43"/>
        <v>3.0448599512231223E-2</v>
      </c>
      <c r="I962" s="1">
        <f t="shared" si="44"/>
        <v>95</v>
      </c>
    </row>
    <row r="963" spans="1:9" hidden="1" x14ac:dyDescent="0.2">
      <c r="A963" s="6">
        <v>43921.708333333336</v>
      </c>
      <c r="B963" s="1" t="s">
        <v>77</v>
      </c>
      <c r="C963">
        <v>3765</v>
      </c>
      <c r="D963">
        <v>353</v>
      </c>
      <c r="E963">
        <v>1644</v>
      </c>
      <c r="F963">
        <v>14074</v>
      </c>
      <c r="G963" s="3">
        <f t="shared" ref="G963:G1026" si="45">IF(AND(F963&gt;0,AND(B963=B962,F963&gt;0)),F963-F962,0)</f>
        <v>543</v>
      </c>
      <c r="H963" s="4">
        <f t="shared" ref="H963:H1026" si="46">IF(AND(F962&gt;0,AND(B963=B962,F962&gt;0)),1-(F962/F963),0)</f>
        <v>3.8581782009379006E-2</v>
      </c>
      <c r="I963" s="1">
        <f t="shared" ref="I963:I1026" si="47">IF(AND(E963&gt;0,AND(B963=B962,E963&gt;0)),E963-E962,0)</f>
        <v>106</v>
      </c>
    </row>
    <row r="964" spans="1:9" hidden="1" x14ac:dyDescent="0.2">
      <c r="A964" s="6">
        <v>43922.708333333336</v>
      </c>
      <c r="B964" s="1" t="s">
        <v>77</v>
      </c>
      <c r="C964">
        <v>3898</v>
      </c>
      <c r="D964">
        <v>359</v>
      </c>
      <c r="E964">
        <v>1732</v>
      </c>
      <c r="F964">
        <v>14787</v>
      </c>
      <c r="G964" s="3">
        <f t="shared" si="45"/>
        <v>713</v>
      </c>
      <c r="H964" s="4">
        <f t="shared" si="46"/>
        <v>4.8218029350104774E-2</v>
      </c>
      <c r="I964" s="1">
        <f t="shared" si="47"/>
        <v>88</v>
      </c>
    </row>
    <row r="965" spans="1:9" hidden="1" x14ac:dyDescent="0.2">
      <c r="A965" s="6">
        <v>43923.708333333336</v>
      </c>
      <c r="B965" s="1" t="s">
        <v>77</v>
      </c>
      <c r="C965">
        <v>3944</v>
      </c>
      <c r="D965">
        <v>366</v>
      </c>
      <c r="E965">
        <v>1811</v>
      </c>
      <c r="F965">
        <v>15333</v>
      </c>
      <c r="G965" s="3">
        <f t="shared" si="45"/>
        <v>546</v>
      </c>
      <c r="H965" s="4">
        <f t="shared" si="46"/>
        <v>3.5609469771081925E-2</v>
      </c>
      <c r="I965" s="1">
        <f t="shared" si="47"/>
        <v>79</v>
      </c>
    </row>
    <row r="966" spans="1:9" hidden="1" x14ac:dyDescent="0.2">
      <c r="A966" s="6">
        <v>43924.708333333336</v>
      </c>
      <c r="B966" s="1" t="s">
        <v>77</v>
      </c>
      <c r="C966">
        <v>3915</v>
      </c>
      <c r="D966">
        <v>364</v>
      </c>
      <c r="E966">
        <v>1902</v>
      </c>
      <c r="F966">
        <v>15932</v>
      </c>
      <c r="G966" s="3">
        <f t="shared" si="45"/>
        <v>599</v>
      </c>
      <c r="H966" s="4">
        <f t="shared" si="46"/>
        <v>3.7597288476023061E-2</v>
      </c>
      <c r="I966" s="1">
        <f t="shared" si="47"/>
        <v>91</v>
      </c>
    </row>
    <row r="967" spans="1:9" hidden="1" x14ac:dyDescent="0.2">
      <c r="A967" s="6">
        <v>43925.708333333336</v>
      </c>
      <c r="B967" s="1" t="s">
        <v>77</v>
      </c>
      <c r="C967">
        <v>3859</v>
      </c>
      <c r="D967">
        <v>358</v>
      </c>
      <c r="E967">
        <v>1977</v>
      </c>
      <c r="F967">
        <v>16540</v>
      </c>
      <c r="G967" s="3">
        <f t="shared" si="45"/>
        <v>608</v>
      </c>
      <c r="H967" s="4">
        <f t="shared" si="46"/>
        <v>3.67593712212817E-2</v>
      </c>
      <c r="I967" s="1">
        <f t="shared" si="47"/>
        <v>75</v>
      </c>
    </row>
    <row r="968" spans="1:9" hidden="1" x14ac:dyDescent="0.2">
      <c r="A968" s="6">
        <v>43926.708333333336</v>
      </c>
      <c r="B968" s="1" t="s">
        <v>77</v>
      </c>
      <c r="C968">
        <v>3839</v>
      </c>
      <c r="D968">
        <v>375</v>
      </c>
      <c r="E968">
        <v>2051</v>
      </c>
      <c r="F968">
        <v>17089</v>
      </c>
      <c r="G968" s="3">
        <f t="shared" si="45"/>
        <v>549</v>
      </c>
      <c r="H968" s="4">
        <f t="shared" si="46"/>
        <v>3.2125928960149763E-2</v>
      </c>
      <c r="I968" s="1">
        <f t="shared" si="47"/>
        <v>74</v>
      </c>
    </row>
    <row r="969" spans="1:9" hidden="1" x14ac:dyDescent="0.2">
      <c r="A969" s="6">
        <v>43927.708333333336</v>
      </c>
      <c r="B969" s="1" t="s">
        <v>77</v>
      </c>
      <c r="C969">
        <v>3804</v>
      </c>
      <c r="D969">
        <v>372</v>
      </c>
      <c r="E969">
        <v>2108</v>
      </c>
      <c r="F969">
        <v>17556</v>
      </c>
      <c r="G969" s="3">
        <f t="shared" si="45"/>
        <v>467</v>
      </c>
      <c r="H969" s="4">
        <f t="shared" si="46"/>
        <v>2.6600592390066069E-2</v>
      </c>
      <c r="I969" s="1">
        <f t="shared" si="47"/>
        <v>57</v>
      </c>
    </row>
    <row r="970" spans="1:9" hidden="1" x14ac:dyDescent="0.2">
      <c r="A970" s="6">
        <v>43928.708333333336</v>
      </c>
      <c r="B970" s="1" t="s">
        <v>77</v>
      </c>
      <c r="C970">
        <v>3750</v>
      </c>
      <c r="D970">
        <v>366</v>
      </c>
      <c r="E970">
        <v>2180</v>
      </c>
      <c r="F970">
        <v>17825</v>
      </c>
      <c r="G970" s="3">
        <f t="shared" si="45"/>
        <v>269</v>
      </c>
      <c r="H970" s="4">
        <f t="shared" si="46"/>
        <v>1.5091164095371701E-2</v>
      </c>
      <c r="I970" s="1">
        <f t="shared" si="47"/>
        <v>72</v>
      </c>
    </row>
    <row r="971" spans="1:9" hidden="1" x14ac:dyDescent="0.2">
      <c r="A971" s="6">
        <v>43929.708333333336</v>
      </c>
      <c r="B971" s="1" t="s">
        <v>77</v>
      </c>
      <c r="C971">
        <v>3769</v>
      </c>
      <c r="D971">
        <v>361</v>
      </c>
      <c r="E971">
        <v>2234</v>
      </c>
      <c r="F971">
        <v>18234</v>
      </c>
      <c r="G971" s="3">
        <f t="shared" si="45"/>
        <v>409</v>
      </c>
      <c r="H971" s="4">
        <f t="shared" si="46"/>
        <v>2.2430624108807695E-2</v>
      </c>
      <c r="I971" s="1">
        <f t="shared" si="47"/>
        <v>54</v>
      </c>
    </row>
    <row r="972" spans="1:9" hidden="1" x14ac:dyDescent="0.2">
      <c r="A972" s="6">
        <v>43930.708333333336</v>
      </c>
      <c r="B972" s="1" t="s">
        <v>77</v>
      </c>
      <c r="C972">
        <v>3722</v>
      </c>
      <c r="D972">
        <v>355</v>
      </c>
      <c r="E972">
        <v>2316</v>
      </c>
      <c r="F972">
        <v>18677</v>
      </c>
      <c r="G972" s="3">
        <f t="shared" si="45"/>
        <v>443</v>
      </c>
      <c r="H972" s="4">
        <f t="shared" si="46"/>
        <v>2.3719012689404129E-2</v>
      </c>
      <c r="I972" s="1">
        <f t="shared" si="47"/>
        <v>82</v>
      </c>
    </row>
    <row r="973" spans="1:9" hidden="1" x14ac:dyDescent="0.2">
      <c r="A973" s="6">
        <v>43931.708333333336</v>
      </c>
      <c r="B973" s="1" t="s">
        <v>77</v>
      </c>
      <c r="C973">
        <v>3596</v>
      </c>
      <c r="D973">
        <v>349</v>
      </c>
      <c r="E973">
        <v>2397</v>
      </c>
      <c r="F973">
        <v>19128</v>
      </c>
      <c r="G973" s="3">
        <f t="shared" si="45"/>
        <v>451</v>
      </c>
      <c r="H973" s="4">
        <f t="shared" si="46"/>
        <v>2.3578000836470103E-2</v>
      </c>
      <c r="I973" s="1">
        <f t="shared" si="47"/>
        <v>81</v>
      </c>
    </row>
    <row r="974" spans="1:9" hidden="1" x14ac:dyDescent="0.2">
      <c r="A974" s="6">
        <v>43932.708333333336</v>
      </c>
      <c r="B974" s="1" t="s">
        <v>77</v>
      </c>
      <c r="C974">
        <v>3530</v>
      </c>
      <c r="D974">
        <v>341</v>
      </c>
      <c r="E974">
        <v>2481</v>
      </c>
      <c r="F974">
        <v>19635</v>
      </c>
      <c r="G974" s="3">
        <f t="shared" si="45"/>
        <v>507</v>
      </c>
      <c r="H974" s="4">
        <f t="shared" si="46"/>
        <v>2.5821237585943457E-2</v>
      </c>
      <c r="I974" s="1">
        <f t="shared" si="47"/>
        <v>84</v>
      </c>
    </row>
    <row r="975" spans="1:9" hidden="1" x14ac:dyDescent="0.2">
      <c r="A975" s="6">
        <v>43933.708333333336</v>
      </c>
      <c r="B975" s="1" t="s">
        <v>77</v>
      </c>
      <c r="C975">
        <v>3491</v>
      </c>
      <c r="D975">
        <v>335</v>
      </c>
      <c r="E975">
        <v>2564</v>
      </c>
      <c r="F975">
        <v>20098</v>
      </c>
      <c r="G975" s="3">
        <f t="shared" si="45"/>
        <v>463</v>
      </c>
      <c r="H975" s="4">
        <f t="shared" si="46"/>
        <v>2.3037118121206124E-2</v>
      </c>
      <c r="I975" s="1">
        <f t="shared" si="47"/>
        <v>83</v>
      </c>
    </row>
    <row r="976" spans="1:9" hidden="1" x14ac:dyDescent="0.2">
      <c r="A976" s="6">
        <v>43934.708333333336</v>
      </c>
      <c r="B976" s="1" t="s">
        <v>77</v>
      </c>
      <c r="C976">
        <v>3490</v>
      </c>
      <c r="D976">
        <v>331</v>
      </c>
      <c r="E976">
        <v>2615</v>
      </c>
      <c r="F976">
        <v>20440</v>
      </c>
      <c r="G976" s="3">
        <f t="shared" si="45"/>
        <v>342</v>
      </c>
      <c r="H976" s="4">
        <f t="shared" si="46"/>
        <v>1.6731898238747545E-2</v>
      </c>
      <c r="I976" s="1">
        <f t="shared" si="47"/>
        <v>51</v>
      </c>
    </row>
    <row r="977" spans="1:9" hidden="1" x14ac:dyDescent="0.2">
      <c r="A977" s="6">
        <v>43935.708333333336</v>
      </c>
      <c r="B977" s="1" t="s">
        <v>77</v>
      </c>
      <c r="C977">
        <v>3473</v>
      </c>
      <c r="D977">
        <v>328</v>
      </c>
      <c r="E977">
        <v>2705</v>
      </c>
      <c r="F977">
        <v>20752</v>
      </c>
      <c r="G977" s="3">
        <f t="shared" si="45"/>
        <v>312</v>
      </c>
      <c r="H977" s="4">
        <f t="shared" si="46"/>
        <v>1.5034695451040858E-2</v>
      </c>
      <c r="I977" s="1">
        <f t="shared" si="47"/>
        <v>90</v>
      </c>
    </row>
    <row r="978" spans="1:9" hidden="1" x14ac:dyDescent="0.2">
      <c r="A978" s="6">
        <v>43936.708333333336</v>
      </c>
      <c r="B978" s="1" t="s">
        <v>77</v>
      </c>
      <c r="C978">
        <v>3388</v>
      </c>
      <c r="D978">
        <v>325</v>
      </c>
      <c r="E978">
        <v>2788</v>
      </c>
      <c r="F978">
        <v>21029</v>
      </c>
      <c r="G978" s="3">
        <f t="shared" si="45"/>
        <v>277</v>
      </c>
      <c r="H978" s="4">
        <f t="shared" si="46"/>
        <v>1.3172285890912572E-2</v>
      </c>
      <c r="I978" s="1">
        <f t="shared" si="47"/>
        <v>83</v>
      </c>
    </row>
    <row r="979" spans="1:9" hidden="1" x14ac:dyDescent="0.2">
      <c r="A979" s="6">
        <v>43937.708333333336</v>
      </c>
      <c r="B979" s="1" t="s">
        <v>77</v>
      </c>
      <c r="C979">
        <v>3360</v>
      </c>
      <c r="D979">
        <v>316</v>
      </c>
      <c r="E979">
        <v>2843</v>
      </c>
      <c r="F979">
        <v>21486</v>
      </c>
      <c r="G979" s="3">
        <f t="shared" si="45"/>
        <v>457</v>
      </c>
      <c r="H979" s="4">
        <f t="shared" si="46"/>
        <v>2.1269663967234509E-2</v>
      </c>
      <c r="I979" s="1">
        <f t="shared" si="47"/>
        <v>55</v>
      </c>
    </row>
    <row r="980" spans="1:9" hidden="1" x14ac:dyDescent="0.2">
      <c r="A980" s="6">
        <v>43938.708333333336</v>
      </c>
      <c r="B980" s="1" t="s">
        <v>77</v>
      </c>
      <c r="C980">
        <v>3330</v>
      </c>
      <c r="D980">
        <v>309</v>
      </c>
      <c r="E980">
        <v>2903</v>
      </c>
      <c r="F980">
        <v>21834</v>
      </c>
      <c r="G980" s="3">
        <f t="shared" si="45"/>
        <v>348</v>
      </c>
      <c r="H980" s="4">
        <f t="shared" si="46"/>
        <v>1.5938444627644932E-2</v>
      </c>
      <c r="I980" s="1">
        <f t="shared" si="47"/>
        <v>60</v>
      </c>
    </row>
    <row r="981" spans="1:9" hidden="1" x14ac:dyDescent="0.2">
      <c r="A981" s="6">
        <v>43939.708333333336</v>
      </c>
      <c r="B981" s="1" t="s">
        <v>77</v>
      </c>
      <c r="C981">
        <v>3234</v>
      </c>
      <c r="D981">
        <v>296</v>
      </c>
      <c r="E981">
        <v>2965</v>
      </c>
      <c r="F981">
        <v>22184</v>
      </c>
      <c r="G981" s="3">
        <f t="shared" si="45"/>
        <v>350</v>
      </c>
      <c r="H981" s="4">
        <f t="shared" si="46"/>
        <v>1.5777136675081183E-2</v>
      </c>
      <c r="I981" s="1">
        <f t="shared" si="47"/>
        <v>62</v>
      </c>
    </row>
    <row r="982" spans="1:9" hidden="1" x14ac:dyDescent="0.2">
      <c r="A982" s="6">
        <v>43940.708333333336</v>
      </c>
      <c r="B982" s="1" t="s">
        <v>77</v>
      </c>
      <c r="C982">
        <v>3166</v>
      </c>
      <c r="D982">
        <v>289</v>
      </c>
      <c r="E982">
        <v>3023</v>
      </c>
      <c r="F982">
        <v>22560</v>
      </c>
      <c r="G982" s="3">
        <f t="shared" si="45"/>
        <v>376</v>
      </c>
      <c r="H982" s="4">
        <f t="shared" si="46"/>
        <v>1.6666666666666718E-2</v>
      </c>
      <c r="I982" s="1">
        <f t="shared" si="47"/>
        <v>58</v>
      </c>
    </row>
    <row r="983" spans="1:9" hidden="1" x14ac:dyDescent="0.2">
      <c r="A983" s="6">
        <v>43941.708333333336</v>
      </c>
      <c r="B983" s="1" t="s">
        <v>77</v>
      </c>
      <c r="C983">
        <v>3144</v>
      </c>
      <c r="D983">
        <v>283</v>
      </c>
      <c r="E983">
        <v>3079</v>
      </c>
      <c r="F983">
        <v>22867</v>
      </c>
      <c r="G983" s="3">
        <f t="shared" si="45"/>
        <v>307</v>
      </c>
      <c r="H983" s="4">
        <f t="shared" si="46"/>
        <v>1.3425460270258482E-2</v>
      </c>
      <c r="I983" s="1">
        <f t="shared" si="47"/>
        <v>56</v>
      </c>
    </row>
    <row r="984" spans="1:9" hidden="1" x14ac:dyDescent="0.2">
      <c r="A984" s="6">
        <v>43942.708333333336</v>
      </c>
      <c r="B984" s="1" t="s">
        <v>77</v>
      </c>
      <c r="C984">
        <v>3045</v>
      </c>
      <c r="D984">
        <v>282</v>
      </c>
      <c r="E984">
        <v>3147</v>
      </c>
      <c r="F984">
        <v>23092</v>
      </c>
      <c r="G984" s="3">
        <f t="shared" si="45"/>
        <v>225</v>
      </c>
      <c r="H984" s="4">
        <f t="shared" si="46"/>
        <v>9.7436341590161346E-3</v>
      </c>
      <c r="I984" s="1">
        <f t="shared" si="47"/>
        <v>68</v>
      </c>
    </row>
    <row r="985" spans="1:9" hidden="1" x14ac:dyDescent="0.2">
      <c r="A985" s="6">
        <v>43943.708333333336</v>
      </c>
      <c r="B985" s="1" t="s">
        <v>77</v>
      </c>
      <c r="C985">
        <v>2964</v>
      </c>
      <c r="D985">
        <v>282</v>
      </c>
      <c r="E985">
        <v>3204</v>
      </c>
      <c r="F985">
        <v>23434</v>
      </c>
      <c r="G985" s="3">
        <f t="shared" si="45"/>
        <v>342</v>
      </c>
      <c r="H985" s="4">
        <f t="shared" si="46"/>
        <v>1.4594179397456664E-2</v>
      </c>
      <c r="I985" s="1">
        <f t="shared" si="47"/>
        <v>57</v>
      </c>
    </row>
    <row r="986" spans="1:9" hidden="1" x14ac:dyDescent="0.2">
      <c r="A986" s="6">
        <v>43944.708333333336</v>
      </c>
      <c r="B986" s="1" t="s">
        <v>77</v>
      </c>
      <c r="C986">
        <v>2889</v>
      </c>
      <c r="D986">
        <v>266</v>
      </c>
      <c r="E986">
        <v>3269</v>
      </c>
      <c r="F986">
        <v>23723</v>
      </c>
      <c r="G986" s="3">
        <f t="shared" si="45"/>
        <v>289</v>
      </c>
      <c r="H986" s="4">
        <f t="shared" si="46"/>
        <v>1.2182270370526438E-2</v>
      </c>
      <c r="I986" s="1">
        <f t="shared" si="47"/>
        <v>65</v>
      </c>
    </row>
    <row r="987" spans="1:9" hidden="1" x14ac:dyDescent="0.2">
      <c r="A987" s="6">
        <v>43945.708333333336</v>
      </c>
      <c r="B987" s="1" t="s">
        <v>77</v>
      </c>
      <c r="C987">
        <v>2807</v>
      </c>
      <c r="D987">
        <v>264</v>
      </c>
      <c r="E987">
        <v>3303</v>
      </c>
      <c r="F987">
        <v>23970</v>
      </c>
      <c r="G987" s="3">
        <f t="shared" si="45"/>
        <v>247</v>
      </c>
      <c r="H987" s="4">
        <f t="shared" si="46"/>
        <v>1.0304547350855287E-2</v>
      </c>
      <c r="I987" s="1">
        <f t="shared" si="47"/>
        <v>34</v>
      </c>
    </row>
    <row r="988" spans="1:9" hidden="1" x14ac:dyDescent="0.2">
      <c r="A988" s="6">
        <v>43946.708333333336</v>
      </c>
      <c r="B988" s="1" t="s">
        <v>77</v>
      </c>
      <c r="C988">
        <v>2718</v>
      </c>
      <c r="D988">
        <v>246</v>
      </c>
      <c r="E988">
        <v>3347</v>
      </c>
      <c r="F988">
        <v>24209</v>
      </c>
      <c r="G988" s="3">
        <f t="shared" si="45"/>
        <v>239</v>
      </c>
      <c r="H988" s="4">
        <f t="shared" si="46"/>
        <v>9.8723615184435065E-3</v>
      </c>
      <c r="I988" s="1">
        <f t="shared" si="47"/>
        <v>44</v>
      </c>
    </row>
    <row r="989" spans="1:9" hidden="1" x14ac:dyDescent="0.2">
      <c r="A989" s="6">
        <v>43947.708333333336</v>
      </c>
      <c r="B989" s="1" t="s">
        <v>77</v>
      </c>
      <c r="C989">
        <v>2695</v>
      </c>
      <c r="D989">
        <v>245</v>
      </c>
      <c r="E989">
        <v>3386</v>
      </c>
      <c r="F989">
        <v>24450</v>
      </c>
      <c r="G989" s="3">
        <f t="shared" si="45"/>
        <v>241</v>
      </c>
      <c r="H989" s="4">
        <f t="shared" si="46"/>
        <v>9.8568507157463792E-3</v>
      </c>
      <c r="I989" s="1">
        <f t="shared" si="47"/>
        <v>39</v>
      </c>
    </row>
    <row r="990" spans="1:9" hidden="1" x14ac:dyDescent="0.2">
      <c r="A990" s="6">
        <v>43948.708333333336</v>
      </c>
      <c r="B990" s="1" t="s">
        <v>77</v>
      </c>
      <c r="C990">
        <v>2640</v>
      </c>
      <c r="D990">
        <v>247</v>
      </c>
      <c r="E990">
        <v>3431</v>
      </c>
      <c r="F990">
        <v>24662</v>
      </c>
      <c r="G990" s="3">
        <f t="shared" si="45"/>
        <v>212</v>
      </c>
      <c r="H990" s="4">
        <f t="shared" si="46"/>
        <v>8.5962209066580142E-3</v>
      </c>
      <c r="I990" s="1">
        <f t="shared" si="47"/>
        <v>45</v>
      </c>
    </row>
    <row r="991" spans="1:9" hidden="1" x14ac:dyDescent="0.2">
      <c r="A991" s="6">
        <v>43949.708333333336</v>
      </c>
      <c r="B991" s="1" t="s">
        <v>77</v>
      </c>
      <c r="C991">
        <v>2574</v>
      </c>
      <c r="D991">
        <v>228</v>
      </c>
      <c r="E991">
        <v>3472</v>
      </c>
      <c r="F991">
        <v>24914</v>
      </c>
      <c r="G991" s="3">
        <f t="shared" si="45"/>
        <v>252</v>
      </c>
      <c r="H991" s="4">
        <f t="shared" si="46"/>
        <v>1.0114794894436896E-2</v>
      </c>
      <c r="I991" s="1">
        <f t="shared" si="47"/>
        <v>41</v>
      </c>
    </row>
    <row r="992" spans="1:9" hidden="1" x14ac:dyDescent="0.2">
      <c r="A992" s="6">
        <v>43950.708333333336</v>
      </c>
      <c r="B992" s="1" t="s">
        <v>77</v>
      </c>
      <c r="C992">
        <v>2527</v>
      </c>
      <c r="D992">
        <v>226</v>
      </c>
      <c r="E992">
        <v>3512</v>
      </c>
      <c r="F992">
        <v>25177</v>
      </c>
      <c r="G992" s="3">
        <f t="shared" si="45"/>
        <v>263</v>
      </c>
      <c r="H992" s="4">
        <f t="shared" si="46"/>
        <v>1.0446042022480784E-2</v>
      </c>
      <c r="I992" s="1">
        <f t="shared" si="47"/>
        <v>40</v>
      </c>
    </row>
    <row r="993" spans="1:9" hidden="1" x14ac:dyDescent="0.2">
      <c r="A993" s="6">
        <v>43951.708333333336</v>
      </c>
      <c r="B993" s="1" t="s">
        <v>77</v>
      </c>
      <c r="C993">
        <v>2146</v>
      </c>
      <c r="D993">
        <v>206</v>
      </c>
      <c r="E993">
        <v>3551</v>
      </c>
      <c r="F993">
        <v>25436</v>
      </c>
      <c r="G993" s="3">
        <f t="shared" si="45"/>
        <v>259</v>
      </c>
      <c r="H993" s="4">
        <f t="shared" si="46"/>
        <v>1.0182418619279709E-2</v>
      </c>
      <c r="I993" s="1">
        <f t="shared" si="47"/>
        <v>39</v>
      </c>
    </row>
    <row r="994" spans="1:9" hidden="1" x14ac:dyDescent="0.2">
      <c r="A994" s="6">
        <v>43952.708333333336</v>
      </c>
      <c r="B994" s="1" t="s">
        <v>77</v>
      </c>
      <c r="C994">
        <v>2112</v>
      </c>
      <c r="D994">
        <v>197</v>
      </c>
      <c r="E994">
        <v>3579</v>
      </c>
      <c r="F994">
        <v>25644</v>
      </c>
      <c r="G994" s="3">
        <f t="shared" si="45"/>
        <v>208</v>
      </c>
      <c r="H994" s="4">
        <f t="shared" si="46"/>
        <v>8.1110591171423829E-3</v>
      </c>
      <c r="I994" s="1">
        <f t="shared" si="47"/>
        <v>28</v>
      </c>
    </row>
    <row r="995" spans="1:9" hidden="1" x14ac:dyDescent="0.2">
      <c r="A995" s="6">
        <v>43953.708333333336</v>
      </c>
      <c r="B995" s="1" t="s">
        <v>77</v>
      </c>
      <c r="C995">
        <v>2033</v>
      </c>
      <c r="D995">
        <v>196</v>
      </c>
      <c r="E995">
        <v>3614</v>
      </c>
      <c r="F995">
        <v>25850</v>
      </c>
      <c r="G995" s="3">
        <f t="shared" si="45"/>
        <v>206</v>
      </c>
      <c r="H995" s="4">
        <f t="shared" si="46"/>
        <v>7.9690522243713868E-3</v>
      </c>
      <c r="I995" s="1">
        <f t="shared" si="47"/>
        <v>35</v>
      </c>
    </row>
    <row r="996" spans="1:9" hidden="1" x14ac:dyDescent="0.2">
      <c r="A996" s="6">
        <v>43954.708333333336</v>
      </c>
      <c r="B996" s="1" t="s">
        <v>77</v>
      </c>
      <c r="C996">
        <v>1997</v>
      </c>
      <c r="D996">
        <v>197</v>
      </c>
      <c r="E996">
        <v>3642</v>
      </c>
      <c r="F996">
        <v>26016</v>
      </c>
      <c r="G996" s="3">
        <f t="shared" si="45"/>
        <v>166</v>
      </c>
      <c r="H996" s="4">
        <f t="shared" si="46"/>
        <v>6.3806888068880241E-3</v>
      </c>
      <c r="I996" s="1">
        <f t="shared" si="47"/>
        <v>28</v>
      </c>
    </row>
    <row r="997" spans="1:9" hidden="1" x14ac:dyDescent="0.2">
      <c r="A997" s="6">
        <v>43955.708333333336</v>
      </c>
      <c r="B997" s="1" t="s">
        <v>77</v>
      </c>
      <c r="C997">
        <v>1968</v>
      </c>
      <c r="D997">
        <v>199</v>
      </c>
      <c r="E997">
        <v>3666</v>
      </c>
      <c r="F997">
        <v>26175</v>
      </c>
      <c r="G997" s="3">
        <f t="shared" si="45"/>
        <v>159</v>
      </c>
      <c r="H997" s="4">
        <f t="shared" si="46"/>
        <v>6.0744985673352181E-3</v>
      </c>
      <c r="I997" s="1">
        <f t="shared" si="47"/>
        <v>24</v>
      </c>
    </row>
    <row r="998" spans="1:9" hidden="1" x14ac:dyDescent="0.2">
      <c r="A998" s="6">
        <v>43956.708333333336</v>
      </c>
      <c r="B998" s="1" t="s">
        <v>77</v>
      </c>
      <c r="C998">
        <v>1917</v>
      </c>
      <c r="D998">
        <v>191</v>
      </c>
      <c r="E998">
        <v>3705</v>
      </c>
      <c r="F998">
        <v>26275</v>
      </c>
      <c r="G998" s="3">
        <f t="shared" si="45"/>
        <v>100</v>
      </c>
      <c r="H998" s="4">
        <f t="shared" si="46"/>
        <v>3.8058991436726863E-3</v>
      </c>
      <c r="I998" s="1">
        <f t="shared" si="47"/>
        <v>39</v>
      </c>
    </row>
    <row r="999" spans="1:9" hidden="1" x14ac:dyDescent="0.2">
      <c r="A999" s="6">
        <v>43957.708333333336</v>
      </c>
      <c r="B999" s="1" t="s">
        <v>77</v>
      </c>
      <c r="C999">
        <v>1816</v>
      </c>
      <c r="D999">
        <v>176</v>
      </c>
      <c r="E999">
        <v>3737</v>
      </c>
      <c r="F999">
        <v>26379</v>
      </c>
      <c r="G999" s="3">
        <f t="shared" si="45"/>
        <v>104</v>
      </c>
      <c r="H999" s="4">
        <f t="shared" si="46"/>
        <v>3.9425300428370669E-3</v>
      </c>
      <c r="I999" s="1">
        <f t="shared" si="47"/>
        <v>32</v>
      </c>
    </row>
    <row r="1000" spans="1:9" hidden="1" x14ac:dyDescent="0.2">
      <c r="A1000" s="6">
        <v>43958.708333333336</v>
      </c>
      <c r="B1000" s="1" t="s">
        <v>77</v>
      </c>
      <c r="C1000">
        <v>1726</v>
      </c>
      <c r="D1000">
        <v>173</v>
      </c>
      <c r="E1000">
        <v>3766</v>
      </c>
      <c r="F1000">
        <v>26487</v>
      </c>
      <c r="G1000" s="3">
        <f t="shared" si="45"/>
        <v>108</v>
      </c>
      <c r="H1000" s="4">
        <f t="shared" si="46"/>
        <v>4.0774719673801751E-3</v>
      </c>
      <c r="I1000" s="1">
        <f t="shared" si="47"/>
        <v>29</v>
      </c>
    </row>
    <row r="1001" spans="1:9" hidden="1" x14ac:dyDescent="0.2">
      <c r="A1001" s="6">
        <v>43959.708333333336</v>
      </c>
      <c r="B1001" s="1" t="s">
        <v>77</v>
      </c>
      <c r="C1001">
        <v>1680</v>
      </c>
      <c r="D1001">
        <v>163</v>
      </c>
      <c r="E1001">
        <v>3797</v>
      </c>
      <c r="F1001">
        <v>26598</v>
      </c>
      <c r="G1001" s="3">
        <f t="shared" si="45"/>
        <v>111</v>
      </c>
      <c r="H1001" s="4">
        <f t="shared" si="46"/>
        <v>4.1732461087299333E-3</v>
      </c>
      <c r="I1001" s="1">
        <f t="shared" si="47"/>
        <v>31</v>
      </c>
    </row>
    <row r="1002" spans="1:9" hidden="1" x14ac:dyDescent="0.2">
      <c r="A1002" s="6">
        <v>43960.708333333336</v>
      </c>
      <c r="B1002" s="1" t="s">
        <v>77</v>
      </c>
      <c r="C1002">
        <v>1604</v>
      </c>
      <c r="D1002">
        <v>155</v>
      </c>
      <c r="E1002">
        <v>3827</v>
      </c>
      <c r="F1002">
        <v>26719</v>
      </c>
      <c r="G1002" s="3">
        <f t="shared" si="45"/>
        <v>121</v>
      </c>
      <c r="H1002" s="4">
        <f t="shared" si="46"/>
        <v>4.5286125977768155E-3</v>
      </c>
      <c r="I1002" s="1">
        <f t="shared" si="47"/>
        <v>30</v>
      </c>
    </row>
    <row r="1003" spans="1:9" hidden="1" x14ac:dyDescent="0.2">
      <c r="A1003" s="6">
        <v>43961.708333333336</v>
      </c>
      <c r="B1003" s="1" t="s">
        <v>77</v>
      </c>
      <c r="C1003">
        <v>1562</v>
      </c>
      <c r="D1003">
        <v>150</v>
      </c>
      <c r="E1003">
        <v>3845</v>
      </c>
      <c r="F1003">
        <v>26796</v>
      </c>
      <c r="G1003" s="3">
        <f t="shared" si="45"/>
        <v>77</v>
      </c>
      <c r="H1003" s="4">
        <f t="shared" si="46"/>
        <v>2.8735632183908288E-3</v>
      </c>
      <c r="I1003" s="1">
        <f t="shared" si="47"/>
        <v>18</v>
      </c>
    </row>
    <row r="1004" spans="1:9" hidden="1" x14ac:dyDescent="0.2">
      <c r="A1004" s="6">
        <v>43962.708333333336</v>
      </c>
      <c r="B1004" s="1" t="s">
        <v>77</v>
      </c>
      <c r="C1004">
        <v>1537</v>
      </c>
      <c r="D1004">
        <v>141</v>
      </c>
      <c r="E1004">
        <v>3867</v>
      </c>
      <c r="F1004">
        <v>26876</v>
      </c>
      <c r="G1004" s="3">
        <f t="shared" si="45"/>
        <v>80</v>
      </c>
      <c r="H1004" s="4">
        <f t="shared" si="46"/>
        <v>2.9766334275933559E-3</v>
      </c>
      <c r="I1004" s="1">
        <f t="shared" si="47"/>
        <v>22</v>
      </c>
    </row>
    <row r="1005" spans="1:9" hidden="1" x14ac:dyDescent="0.2">
      <c r="A1005" s="6">
        <v>43963.708333333336</v>
      </c>
      <c r="B1005" s="1" t="s">
        <v>77</v>
      </c>
      <c r="C1005">
        <v>1384</v>
      </c>
      <c r="D1005">
        <v>136</v>
      </c>
      <c r="E1005">
        <v>3885</v>
      </c>
      <c r="F1005">
        <v>26929</v>
      </c>
      <c r="G1005" s="3">
        <f t="shared" si="45"/>
        <v>53</v>
      </c>
      <c r="H1005" s="4">
        <f t="shared" si="46"/>
        <v>1.9681384381150524E-3</v>
      </c>
      <c r="I1005" s="1">
        <f t="shared" si="47"/>
        <v>18</v>
      </c>
    </row>
    <row r="1006" spans="1:9" hidden="1" x14ac:dyDescent="0.2">
      <c r="A1006" s="6">
        <v>43964.708333333336</v>
      </c>
      <c r="B1006" s="1" t="s">
        <v>77</v>
      </c>
      <c r="C1006">
        <v>1165</v>
      </c>
      <c r="D1006">
        <v>123</v>
      </c>
      <c r="E1006">
        <v>3905</v>
      </c>
      <c r="F1006">
        <v>26979</v>
      </c>
      <c r="G1006" s="3">
        <f t="shared" si="45"/>
        <v>50</v>
      </c>
      <c r="H1006" s="4">
        <f t="shared" si="46"/>
        <v>1.853293302197967E-3</v>
      </c>
      <c r="I1006" s="1">
        <f t="shared" si="47"/>
        <v>20</v>
      </c>
    </row>
    <row r="1007" spans="1:9" hidden="1" x14ac:dyDescent="0.2">
      <c r="A1007" s="6">
        <v>43965.708333333336</v>
      </c>
      <c r="B1007" s="1" t="s">
        <v>77</v>
      </c>
      <c r="C1007">
        <v>861</v>
      </c>
      <c r="D1007">
        <v>122</v>
      </c>
      <c r="E1007">
        <v>3930</v>
      </c>
      <c r="F1007">
        <v>27056</v>
      </c>
      <c r="G1007" s="3">
        <f t="shared" si="45"/>
        <v>77</v>
      </c>
      <c r="H1007" s="4">
        <f t="shared" si="46"/>
        <v>2.8459491425192329E-3</v>
      </c>
      <c r="I1007" s="1">
        <f t="shared" si="47"/>
        <v>25</v>
      </c>
    </row>
    <row r="1008" spans="1:9" hidden="1" x14ac:dyDescent="0.2">
      <c r="A1008" s="6">
        <v>43966.708333333336</v>
      </c>
      <c r="B1008" s="1" t="s">
        <v>77</v>
      </c>
      <c r="C1008">
        <v>763</v>
      </c>
      <c r="D1008">
        <v>114</v>
      </c>
      <c r="E1008">
        <v>3943</v>
      </c>
      <c r="F1008">
        <v>27110</v>
      </c>
      <c r="G1008" s="3">
        <f t="shared" si="45"/>
        <v>54</v>
      </c>
      <c r="H1008" s="4">
        <f t="shared" si="46"/>
        <v>1.9918849133161443E-3</v>
      </c>
      <c r="I1008" s="1">
        <f t="shared" si="47"/>
        <v>13</v>
      </c>
    </row>
    <row r="1009" spans="1:9" hidden="1" x14ac:dyDescent="0.2">
      <c r="A1009" s="6">
        <v>43967.708333333336</v>
      </c>
      <c r="B1009" s="1" t="s">
        <v>77</v>
      </c>
      <c r="C1009">
        <v>740</v>
      </c>
      <c r="D1009">
        <v>112</v>
      </c>
      <c r="E1009">
        <v>3960</v>
      </c>
      <c r="F1009">
        <v>27182</v>
      </c>
      <c r="G1009" s="3">
        <f t="shared" si="45"/>
        <v>72</v>
      </c>
      <c r="H1009" s="4">
        <f t="shared" si="46"/>
        <v>2.6488117136340694E-3</v>
      </c>
      <c r="I1009" s="1">
        <f t="shared" si="47"/>
        <v>17</v>
      </c>
    </row>
    <row r="1010" spans="1:9" hidden="1" x14ac:dyDescent="0.2">
      <c r="A1010" s="6">
        <v>43968.708333333336</v>
      </c>
      <c r="B1010" s="1" t="s">
        <v>77</v>
      </c>
      <c r="C1010">
        <v>721</v>
      </c>
      <c r="D1010">
        <v>111</v>
      </c>
      <c r="E1010">
        <v>3973</v>
      </c>
      <c r="F1010">
        <v>27232</v>
      </c>
      <c r="G1010" s="3">
        <f t="shared" si="45"/>
        <v>50</v>
      </c>
      <c r="H1010" s="4">
        <f t="shared" si="46"/>
        <v>1.8360752056404417E-3</v>
      </c>
      <c r="I1010" s="1">
        <f t="shared" si="47"/>
        <v>13</v>
      </c>
    </row>
    <row r="1011" spans="1:9" hidden="1" x14ac:dyDescent="0.2">
      <c r="A1011" s="6">
        <v>43969.708333333336</v>
      </c>
      <c r="B1011" s="1" t="s">
        <v>77</v>
      </c>
      <c r="C1011">
        <v>708</v>
      </c>
      <c r="D1011">
        <v>105</v>
      </c>
      <c r="E1011">
        <v>3986</v>
      </c>
      <c r="F1011">
        <v>27267</v>
      </c>
      <c r="G1011" s="3">
        <f t="shared" si="45"/>
        <v>35</v>
      </c>
      <c r="H1011" s="4">
        <f t="shared" si="46"/>
        <v>1.2836028899402274E-3</v>
      </c>
      <c r="I1011" s="1">
        <f t="shared" si="47"/>
        <v>13</v>
      </c>
    </row>
    <row r="1012" spans="1:9" hidden="1" x14ac:dyDescent="0.2">
      <c r="A1012" s="6">
        <v>43970.708333333336</v>
      </c>
      <c r="B1012" s="1" t="s">
        <v>77</v>
      </c>
      <c r="C1012">
        <v>670</v>
      </c>
      <c r="D1012">
        <v>99</v>
      </c>
      <c r="E1012">
        <v>3997</v>
      </c>
      <c r="F1012">
        <v>27314</v>
      </c>
      <c r="G1012" s="3">
        <f t="shared" si="45"/>
        <v>47</v>
      </c>
      <c r="H1012" s="4">
        <f t="shared" si="46"/>
        <v>1.7207292963316023E-3</v>
      </c>
      <c r="I1012" s="1">
        <f t="shared" si="47"/>
        <v>11</v>
      </c>
    </row>
    <row r="1013" spans="1:9" hidden="1" x14ac:dyDescent="0.2">
      <c r="A1013" s="6">
        <v>43971.708333333336</v>
      </c>
      <c r="B1013" s="1" t="s">
        <v>77</v>
      </c>
      <c r="C1013">
        <v>626</v>
      </c>
      <c r="D1013">
        <v>96</v>
      </c>
      <c r="E1013">
        <v>4008</v>
      </c>
      <c r="F1013">
        <v>27364</v>
      </c>
      <c r="G1013" s="3">
        <f t="shared" si="45"/>
        <v>50</v>
      </c>
      <c r="H1013" s="4">
        <f t="shared" si="46"/>
        <v>1.8272182429469597E-3</v>
      </c>
      <c r="I1013" s="1">
        <f t="shared" si="47"/>
        <v>11</v>
      </c>
    </row>
    <row r="1014" spans="1:9" hidden="1" x14ac:dyDescent="0.2">
      <c r="A1014" s="6">
        <v>43972.708333333336</v>
      </c>
      <c r="B1014" s="1" t="s">
        <v>77</v>
      </c>
      <c r="C1014">
        <v>592</v>
      </c>
      <c r="D1014">
        <v>92</v>
      </c>
      <c r="E1014">
        <v>4025</v>
      </c>
      <c r="F1014">
        <v>27417</v>
      </c>
      <c r="G1014" s="3">
        <f t="shared" si="45"/>
        <v>53</v>
      </c>
      <c r="H1014" s="4">
        <f t="shared" si="46"/>
        <v>1.9331071962650492E-3</v>
      </c>
      <c r="I1014" s="1">
        <f t="shared" si="47"/>
        <v>17</v>
      </c>
    </row>
    <row r="1015" spans="1:9" hidden="1" x14ac:dyDescent="0.2">
      <c r="A1015" s="6">
        <v>43973.708333333336</v>
      </c>
      <c r="B1015" s="1" t="s">
        <v>77</v>
      </c>
      <c r="C1015">
        <v>552</v>
      </c>
      <c r="D1015">
        <v>89</v>
      </c>
      <c r="E1015">
        <v>4037</v>
      </c>
      <c r="F1015">
        <v>27470</v>
      </c>
      <c r="G1015" s="3">
        <f t="shared" si="45"/>
        <v>53</v>
      </c>
      <c r="H1015" s="4">
        <f t="shared" si="46"/>
        <v>1.9293775027302562E-3</v>
      </c>
      <c r="I1015" s="1">
        <f t="shared" si="47"/>
        <v>12</v>
      </c>
    </row>
    <row r="1016" spans="1:9" hidden="1" x14ac:dyDescent="0.2">
      <c r="A1016" s="6">
        <v>43974.708333333336</v>
      </c>
      <c r="B1016" s="1" t="s">
        <v>77</v>
      </c>
      <c r="C1016">
        <v>524</v>
      </c>
      <c r="D1016">
        <v>84</v>
      </c>
      <c r="E1016">
        <v>4047</v>
      </c>
      <c r="F1016">
        <v>27513</v>
      </c>
      <c r="G1016" s="3">
        <f t="shared" si="45"/>
        <v>43</v>
      </c>
      <c r="H1016" s="4">
        <f t="shared" si="46"/>
        <v>1.5628975393450206E-3</v>
      </c>
      <c r="I1016" s="1">
        <f t="shared" si="47"/>
        <v>10</v>
      </c>
    </row>
    <row r="1017" spans="1:9" hidden="1" x14ac:dyDescent="0.2">
      <c r="A1017" s="6">
        <v>43975.708333333336</v>
      </c>
      <c r="B1017" s="1" t="s">
        <v>77</v>
      </c>
      <c r="C1017">
        <v>519</v>
      </c>
      <c r="D1017">
        <v>83</v>
      </c>
      <c r="E1017">
        <v>4055</v>
      </c>
      <c r="F1017">
        <v>27558</v>
      </c>
      <c r="G1017" s="3">
        <f t="shared" si="45"/>
        <v>45</v>
      </c>
      <c r="H1017" s="4">
        <f t="shared" si="46"/>
        <v>1.6329196603527274E-3</v>
      </c>
      <c r="I1017" s="1">
        <f t="shared" si="47"/>
        <v>8</v>
      </c>
    </row>
    <row r="1018" spans="1:9" hidden="1" x14ac:dyDescent="0.2">
      <c r="A1018" s="6">
        <v>43976.708333333336</v>
      </c>
      <c r="B1018" s="1" t="s">
        <v>77</v>
      </c>
      <c r="C1018">
        <v>514</v>
      </c>
      <c r="D1018">
        <v>82</v>
      </c>
      <c r="E1018">
        <v>4068</v>
      </c>
      <c r="F1018">
        <v>27587</v>
      </c>
      <c r="G1018" s="3">
        <f t="shared" si="45"/>
        <v>29</v>
      </c>
      <c r="H1018" s="4">
        <f t="shared" si="46"/>
        <v>1.0512197774313892E-3</v>
      </c>
      <c r="I1018" s="1">
        <f t="shared" si="47"/>
        <v>13</v>
      </c>
    </row>
    <row r="1019" spans="1:9" hidden="1" x14ac:dyDescent="0.2">
      <c r="A1019" s="6">
        <v>43977.708333333336</v>
      </c>
      <c r="B1019" s="1" t="s">
        <v>77</v>
      </c>
      <c r="C1019">
        <v>493</v>
      </c>
      <c r="D1019">
        <v>80</v>
      </c>
      <c r="E1019">
        <v>4076</v>
      </c>
      <c r="F1019">
        <v>27611</v>
      </c>
      <c r="G1019" s="3">
        <f t="shared" si="45"/>
        <v>24</v>
      </c>
      <c r="H1019" s="4">
        <f t="shared" si="46"/>
        <v>8.6921878961288002E-4</v>
      </c>
      <c r="I1019" s="1">
        <f t="shared" si="47"/>
        <v>8</v>
      </c>
    </row>
    <row r="1020" spans="1:9" hidden="1" x14ac:dyDescent="0.2">
      <c r="A1020" s="6">
        <v>43978.708333333336</v>
      </c>
      <c r="B1020" s="1" t="s">
        <v>77</v>
      </c>
      <c r="C1020">
        <v>459</v>
      </c>
      <c r="D1020">
        <v>78</v>
      </c>
      <c r="E1020">
        <v>4083</v>
      </c>
      <c r="F1020">
        <v>27627</v>
      </c>
      <c r="G1020" s="3">
        <f t="shared" si="45"/>
        <v>16</v>
      </c>
      <c r="H1020" s="4">
        <f t="shared" si="46"/>
        <v>5.7914359141419958E-4</v>
      </c>
      <c r="I1020" s="1">
        <f t="shared" si="47"/>
        <v>7</v>
      </c>
    </row>
    <row r="1021" spans="1:9" hidden="1" x14ac:dyDescent="0.2">
      <c r="A1021" s="6">
        <v>43979.708333333336</v>
      </c>
      <c r="B1021" s="1" t="s">
        <v>77</v>
      </c>
      <c r="C1021">
        <v>449</v>
      </c>
      <c r="D1021">
        <v>77</v>
      </c>
      <c r="E1021">
        <v>4094</v>
      </c>
      <c r="F1021">
        <v>27701</v>
      </c>
      <c r="G1021" s="3">
        <f t="shared" si="45"/>
        <v>74</v>
      </c>
      <c r="H1021" s="4">
        <f t="shared" si="46"/>
        <v>2.671383704559438E-3</v>
      </c>
      <c r="I1021" s="1">
        <f t="shared" si="47"/>
        <v>11</v>
      </c>
    </row>
    <row r="1022" spans="1:9" hidden="1" x14ac:dyDescent="0.2">
      <c r="A1022" s="6">
        <v>43980.708333333336</v>
      </c>
      <c r="B1022" s="1" t="s">
        <v>77</v>
      </c>
      <c r="C1022">
        <v>429</v>
      </c>
      <c r="D1022">
        <v>76</v>
      </c>
      <c r="E1022">
        <v>4102</v>
      </c>
      <c r="F1022">
        <v>27739</v>
      </c>
      <c r="G1022" s="3">
        <f t="shared" si="45"/>
        <v>38</v>
      </c>
      <c r="H1022" s="4">
        <f t="shared" si="46"/>
        <v>1.3699123977072292E-3</v>
      </c>
      <c r="I1022" s="1">
        <f t="shared" si="47"/>
        <v>8</v>
      </c>
    </row>
    <row r="1023" spans="1:9" hidden="1" x14ac:dyDescent="0.2">
      <c r="A1023" s="6">
        <v>43981.708333333336</v>
      </c>
      <c r="B1023" s="1" t="s">
        <v>77</v>
      </c>
      <c r="C1023">
        <v>398</v>
      </c>
      <c r="D1023">
        <v>65</v>
      </c>
      <c r="E1023">
        <v>4107</v>
      </c>
      <c r="F1023">
        <v>27759</v>
      </c>
      <c r="G1023" s="3">
        <f t="shared" si="45"/>
        <v>20</v>
      </c>
      <c r="H1023" s="4">
        <f t="shared" si="46"/>
        <v>7.2048704924532192E-4</v>
      </c>
      <c r="I1023" s="1">
        <f t="shared" si="47"/>
        <v>5</v>
      </c>
    </row>
    <row r="1024" spans="1:9" hidden="1" x14ac:dyDescent="0.2">
      <c r="A1024" s="6">
        <v>43982.708333333336</v>
      </c>
      <c r="B1024" s="1" t="s">
        <v>77</v>
      </c>
      <c r="C1024">
        <v>393</v>
      </c>
      <c r="D1024">
        <v>57</v>
      </c>
      <c r="E1024">
        <v>4114</v>
      </c>
      <c r="F1024">
        <v>27790</v>
      </c>
      <c r="G1024" s="3">
        <f t="shared" si="45"/>
        <v>31</v>
      </c>
      <c r="H1024" s="4">
        <f t="shared" si="46"/>
        <v>1.1155091759625924E-3</v>
      </c>
      <c r="I1024" s="1">
        <f t="shared" si="47"/>
        <v>7</v>
      </c>
    </row>
    <row r="1025" spans="1:9" hidden="1" x14ac:dyDescent="0.2">
      <c r="A1025" s="6">
        <v>43983.708333333336</v>
      </c>
      <c r="B1025" s="1" t="s">
        <v>77</v>
      </c>
      <c r="C1025">
        <v>383</v>
      </c>
      <c r="D1025">
        <v>54</v>
      </c>
      <c r="E1025">
        <v>4124</v>
      </c>
      <c r="F1025">
        <v>27809</v>
      </c>
      <c r="G1025" s="3">
        <f t="shared" si="45"/>
        <v>19</v>
      </c>
      <c r="H1025" s="4">
        <f t="shared" si="46"/>
        <v>6.8323204717901653E-4</v>
      </c>
      <c r="I1025" s="1">
        <f t="shared" si="47"/>
        <v>10</v>
      </c>
    </row>
    <row r="1026" spans="1:9" hidden="1" x14ac:dyDescent="0.2">
      <c r="A1026" s="6">
        <v>43984.708333333336</v>
      </c>
      <c r="B1026" s="1" t="s">
        <v>77</v>
      </c>
      <c r="C1026">
        <v>358</v>
      </c>
      <c r="D1026">
        <v>50</v>
      </c>
      <c r="E1026">
        <v>4136</v>
      </c>
      <c r="F1026">
        <v>27828</v>
      </c>
      <c r="G1026" s="3">
        <f t="shared" si="45"/>
        <v>19</v>
      </c>
      <c r="H1026" s="4">
        <f t="shared" si="46"/>
        <v>6.8276555986779286E-4</v>
      </c>
      <c r="I1026" s="1">
        <f t="shared" si="47"/>
        <v>12</v>
      </c>
    </row>
    <row r="1027" spans="1:9" hidden="1" x14ac:dyDescent="0.2">
      <c r="A1027" s="6">
        <v>43985.708333333336</v>
      </c>
      <c r="B1027" s="1" t="s">
        <v>77</v>
      </c>
      <c r="C1027">
        <v>342</v>
      </c>
      <c r="D1027">
        <v>50</v>
      </c>
      <c r="E1027">
        <v>4147</v>
      </c>
      <c r="F1027">
        <v>27842</v>
      </c>
      <c r="G1027" s="3">
        <f t="shared" ref="G1027:G1090" si="48">IF(AND(F1027&gt;0,AND(B1027=B1026,F1027&gt;0)),F1027-F1026,0)</f>
        <v>14</v>
      </c>
      <c r="H1027" s="4">
        <f t="shared" ref="H1027:H1090" si="49">IF(AND(F1026&gt;0,AND(B1027=B1026,F1026&gt;0)),1-(F1026/F1027),0)</f>
        <v>5.0283743983914331E-4</v>
      </c>
      <c r="I1027" s="1">
        <f t="shared" ref="I1027:I1090" si="50">IF(AND(E1027&gt;0,AND(B1027=B1026,E1027&gt;0)),E1027-E1026,0)</f>
        <v>11</v>
      </c>
    </row>
    <row r="1028" spans="1:9" hidden="1" x14ac:dyDescent="0.2">
      <c r="A1028" s="6">
        <v>43986.708333333336</v>
      </c>
      <c r="B1028" s="1" t="s">
        <v>77</v>
      </c>
      <c r="C1028">
        <v>320</v>
      </c>
      <c r="D1028">
        <v>49</v>
      </c>
      <c r="E1028">
        <v>4154</v>
      </c>
      <c r="F1028">
        <v>27860</v>
      </c>
      <c r="G1028" s="3">
        <f t="shared" si="48"/>
        <v>18</v>
      </c>
      <c r="H1028" s="4">
        <f t="shared" si="49"/>
        <v>6.4608758076090123E-4</v>
      </c>
      <c r="I1028" s="1">
        <f t="shared" si="50"/>
        <v>7</v>
      </c>
    </row>
    <row r="1029" spans="1:9" hidden="1" x14ac:dyDescent="0.2">
      <c r="A1029" s="6">
        <v>43987.708333333336</v>
      </c>
      <c r="B1029" s="1" t="s">
        <v>77</v>
      </c>
      <c r="C1029">
        <v>281</v>
      </c>
      <c r="D1029">
        <v>38</v>
      </c>
      <c r="E1029">
        <v>4167</v>
      </c>
      <c r="F1029">
        <v>27877</v>
      </c>
      <c r="G1029" s="3">
        <f t="shared" si="48"/>
        <v>17</v>
      </c>
      <c r="H1029" s="4">
        <f t="shared" si="49"/>
        <v>6.0982171682744113E-4</v>
      </c>
      <c r="I1029" s="1">
        <f t="shared" si="50"/>
        <v>13</v>
      </c>
    </row>
    <row r="1030" spans="1:9" hidden="1" x14ac:dyDescent="0.2">
      <c r="A1030" s="6">
        <v>43988.708333333336</v>
      </c>
      <c r="B1030" s="1" t="s">
        <v>77</v>
      </c>
      <c r="C1030">
        <v>256</v>
      </c>
      <c r="D1030">
        <v>35</v>
      </c>
      <c r="E1030">
        <v>4171</v>
      </c>
      <c r="F1030">
        <v>27894</v>
      </c>
      <c r="G1030" s="3">
        <f t="shared" si="48"/>
        <v>17</v>
      </c>
      <c r="H1030" s="4">
        <f t="shared" si="49"/>
        <v>6.0945006094503817E-4</v>
      </c>
      <c r="I1030" s="1">
        <f t="shared" si="50"/>
        <v>4</v>
      </c>
    </row>
    <row r="1031" spans="1:9" hidden="1" x14ac:dyDescent="0.2">
      <c r="A1031" s="6">
        <v>43989.708333333336</v>
      </c>
      <c r="B1031" s="1" t="s">
        <v>77</v>
      </c>
      <c r="C1031">
        <v>245</v>
      </c>
      <c r="D1031">
        <v>32</v>
      </c>
      <c r="E1031">
        <v>4175</v>
      </c>
      <c r="F1031">
        <v>27908</v>
      </c>
      <c r="G1031" s="3">
        <f t="shared" si="48"/>
        <v>14</v>
      </c>
      <c r="H1031" s="4">
        <f t="shared" si="49"/>
        <v>5.0164827289667091E-4</v>
      </c>
      <c r="I1031" s="1">
        <f t="shared" si="50"/>
        <v>4</v>
      </c>
    </row>
    <row r="1032" spans="1:9" hidden="1" x14ac:dyDescent="0.2">
      <c r="A1032" s="6">
        <v>43990.708333333336</v>
      </c>
      <c r="B1032" s="1" t="s">
        <v>77</v>
      </c>
      <c r="C1032">
        <v>239</v>
      </c>
      <c r="D1032">
        <v>31</v>
      </c>
      <c r="E1032">
        <v>4179</v>
      </c>
      <c r="F1032">
        <v>27928</v>
      </c>
      <c r="G1032" s="3">
        <f t="shared" si="48"/>
        <v>20</v>
      </c>
      <c r="H1032" s="4">
        <f t="shared" si="49"/>
        <v>7.16127184187898E-4</v>
      </c>
      <c r="I1032" s="1">
        <f t="shared" si="50"/>
        <v>4</v>
      </c>
    </row>
    <row r="1033" spans="1:9" hidden="1" x14ac:dyDescent="0.2">
      <c r="A1033" s="6">
        <v>43991.708333333336</v>
      </c>
      <c r="B1033" s="1" t="s">
        <v>77</v>
      </c>
      <c r="C1033">
        <v>226</v>
      </c>
      <c r="D1033">
        <v>31</v>
      </c>
      <c r="E1033">
        <v>4185</v>
      </c>
      <c r="F1033">
        <v>27946</v>
      </c>
      <c r="G1033" s="3">
        <f t="shared" si="48"/>
        <v>18</v>
      </c>
      <c r="H1033" s="4">
        <f t="shared" si="49"/>
        <v>6.4409933443065892E-4</v>
      </c>
      <c r="I1033" s="1">
        <f t="shared" si="50"/>
        <v>6</v>
      </c>
    </row>
    <row r="1034" spans="1:9" hidden="1" x14ac:dyDescent="0.2">
      <c r="A1034" s="6">
        <v>43992.708333333336</v>
      </c>
      <c r="B1034" s="1" t="s">
        <v>77</v>
      </c>
      <c r="C1034">
        <v>228</v>
      </c>
      <c r="D1034">
        <v>25</v>
      </c>
      <c r="E1034">
        <v>4192</v>
      </c>
      <c r="F1034">
        <v>27970</v>
      </c>
      <c r="G1034" s="3">
        <f t="shared" si="48"/>
        <v>24</v>
      </c>
      <c r="H1034" s="4">
        <f t="shared" si="49"/>
        <v>8.5806220951023526E-4</v>
      </c>
      <c r="I1034" s="1">
        <f t="shared" si="50"/>
        <v>7</v>
      </c>
    </row>
    <row r="1035" spans="1:9" hidden="1" x14ac:dyDescent="0.2">
      <c r="A1035" s="6">
        <v>43993.708333333336</v>
      </c>
      <c r="B1035" s="1" t="s">
        <v>77</v>
      </c>
      <c r="C1035">
        <v>216</v>
      </c>
      <c r="D1035">
        <v>18</v>
      </c>
      <c r="E1035">
        <v>4192</v>
      </c>
      <c r="F1035">
        <v>27995</v>
      </c>
      <c r="G1035" s="3">
        <f t="shared" si="48"/>
        <v>25</v>
      </c>
      <c r="H1035" s="4">
        <f t="shared" si="49"/>
        <v>8.9301661010898759E-4</v>
      </c>
      <c r="I1035" s="1">
        <f t="shared" si="50"/>
        <v>0</v>
      </c>
    </row>
    <row r="1036" spans="1:9" hidden="1" x14ac:dyDescent="0.2">
      <c r="A1036" s="6">
        <v>43994.708333333336</v>
      </c>
      <c r="B1036" s="1" t="s">
        <v>77</v>
      </c>
      <c r="C1036">
        <v>200</v>
      </c>
      <c r="D1036">
        <v>17</v>
      </c>
      <c r="E1036">
        <v>4196</v>
      </c>
      <c r="F1036">
        <v>28028</v>
      </c>
      <c r="G1036" s="3">
        <f t="shared" si="48"/>
        <v>33</v>
      </c>
      <c r="H1036" s="4">
        <f t="shared" si="49"/>
        <v>1.1773940345368716E-3</v>
      </c>
      <c r="I1036" s="1">
        <f t="shared" si="50"/>
        <v>4</v>
      </c>
    </row>
    <row r="1037" spans="1:9" hidden="1" x14ac:dyDescent="0.2">
      <c r="A1037" s="6">
        <v>43995.708333333336</v>
      </c>
      <c r="B1037" s="1" t="s">
        <v>77</v>
      </c>
      <c r="C1037">
        <v>192</v>
      </c>
      <c r="D1037">
        <v>15</v>
      </c>
      <c r="E1037">
        <v>4199</v>
      </c>
      <c r="F1037">
        <v>28056</v>
      </c>
      <c r="G1037" s="3">
        <f t="shared" si="48"/>
        <v>28</v>
      </c>
      <c r="H1037" s="4">
        <f t="shared" si="49"/>
        <v>9.9800399201599443E-4</v>
      </c>
      <c r="I1037" s="1">
        <f t="shared" si="50"/>
        <v>3</v>
      </c>
    </row>
    <row r="1038" spans="1:9" hidden="1" x14ac:dyDescent="0.2">
      <c r="A1038" s="6">
        <v>43996.708333333336</v>
      </c>
      <c r="B1038" s="1" t="s">
        <v>77</v>
      </c>
      <c r="C1038">
        <v>192</v>
      </c>
      <c r="D1038">
        <v>14</v>
      </c>
      <c r="E1038">
        <v>4204</v>
      </c>
      <c r="F1038">
        <v>28073</v>
      </c>
      <c r="G1038" s="3">
        <f t="shared" si="48"/>
        <v>17</v>
      </c>
      <c r="H1038" s="4">
        <f t="shared" si="49"/>
        <v>6.0556406511591554E-4</v>
      </c>
      <c r="I1038" s="1">
        <f t="shared" si="50"/>
        <v>5</v>
      </c>
    </row>
    <row r="1039" spans="1:9" hidden="1" x14ac:dyDescent="0.2">
      <c r="A1039" s="6">
        <v>43997.708333333336</v>
      </c>
      <c r="B1039" s="1" t="s">
        <v>77</v>
      </c>
      <c r="C1039">
        <v>188</v>
      </c>
      <c r="D1039">
        <v>13</v>
      </c>
      <c r="E1039">
        <v>4207</v>
      </c>
      <c r="F1039">
        <v>28084</v>
      </c>
      <c r="G1039" s="3">
        <f t="shared" si="48"/>
        <v>11</v>
      </c>
      <c r="H1039" s="4">
        <f t="shared" si="49"/>
        <v>3.9168209656748054E-4</v>
      </c>
      <c r="I1039" s="1">
        <f t="shared" si="50"/>
        <v>3</v>
      </c>
    </row>
    <row r="1040" spans="1:9" hidden="1" x14ac:dyDescent="0.2">
      <c r="A1040" s="6">
        <v>43998.708333333336</v>
      </c>
      <c r="B1040" s="1" t="s">
        <v>77</v>
      </c>
      <c r="C1040">
        <v>180</v>
      </c>
      <c r="D1040">
        <v>11</v>
      </c>
      <c r="E1040">
        <v>4209</v>
      </c>
      <c r="F1040">
        <v>28097</v>
      </c>
      <c r="G1040" s="3">
        <f t="shared" si="48"/>
        <v>13</v>
      </c>
      <c r="H1040" s="4">
        <f t="shared" si="49"/>
        <v>4.6268284870265575E-4</v>
      </c>
      <c r="I1040" s="1">
        <f t="shared" si="50"/>
        <v>2</v>
      </c>
    </row>
    <row r="1041" spans="1:9" hidden="1" x14ac:dyDescent="0.2">
      <c r="A1041" s="6">
        <v>43999.708333333336</v>
      </c>
      <c r="B1041" s="1" t="s">
        <v>77</v>
      </c>
      <c r="C1041">
        <v>173</v>
      </c>
      <c r="D1041">
        <v>11</v>
      </c>
      <c r="E1041">
        <v>4215</v>
      </c>
      <c r="F1041">
        <v>28111</v>
      </c>
      <c r="G1041" s="3">
        <f t="shared" si="48"/>
        <v>14</v>
      </c>
      <c r="H1041" s="4">
        <f t="shared" si="49"/>
        <v>4.9802568389600843E-4</v>
      </c>
      <c r="I1041" s="1">
        <f t="shared" si="50"/>
        <v>6</v>
      </c>
    </row>
    <row r="1042" spans="1:9" hidden="1" x14ac:dyDescent="0.2">
      <c r="A1042" s="6">
        <v>44000.708333333336</v>
      </c>
      <c r="B1042" s="1" t="s">
        <v>77</v>
      </c>
      <c r="C1042">
        <v>159</v>
      </c>
      <c r="D1042">
        <v>11</v>
      </c>
      <c r="E1042">
        <v>4219</v>
      </c>
      <c r="F1042">
        <v>28143</v>
      </c>
      <c r="G1042" s="3">
        <f t="shared" si="48"/>
        <v>32</v>
      </c>
      <c r="H1042" s="4">
        <f t="shared" si="49"/>
        <v>1.137050065735723E-3</v>
      </c>
      <c r="I1042" s="1">
        <f t="shared" si="50"/>
        <v>4</v>
      </c>
    </row>
    <row r="1043" spans="1:9" hidden="1" x14ac:dyDescent="0.2">
      <c r="A1043" s="6">
        <v>44001.708333333336</v>
      </c>
      <c r="B1043" s="1" t="s">
        <v>77</v>
      </c>
      <c r="C1043">
        <v>145</v>
      </c>
      <c r="D1043">
        <v>11</v>
      </c>
      <c r="E1043">
        <v>4224</v>
      </c>
      <c r="F1043">
        <v>28170</v>
      </c>
      <c r="G1043" s="3">
        <f t="shared" si="48"/>
        <v>27</v>
      </c>
      <c r="H1043" s="4">
        <f t="shared" si="49"/>
        <v>9.5846645367414496E-4</v>
      </c>
      <c r="I1043" s="1">
        <f t="shared" si="50"/>
        <v>5</v>
      </c>
    </row>
    <row r="1044" spans="1:9" hidden="1" x14ac:dyDescent="0.2">
      <c r="A1044" s="6">
        <v>44002.708333333336</v>
      </c>
      <c r="B1044" s="1" t="s">
        <v>77</v>
      </c>
      <c r="C1044">
        <v>140</v>
      </c>
      <c r="D1044">
        <v>11</v>
      </c>
      <c r="E1044">
        <v>4230</v>
      </c>
      <c r="F1044">
        <v>28198</v>
      </c>
      <c r="G1044" s="3">
        <f t="shared" si="48"/>
        <v>28</v>
      </c>
      <c r="H1044" s="4">
        <f t="shared" si="49"/>
        <v>9.9297822540600489E-4</v>
      </c>
      <c r="I1044" s="1">
        <f t="shared" si="50"/>
        <v>6</v>
      </c>
    </row>
    <row r="1045" spans="1:9" hidden="1" x14ac:dyDescent="0.2">
      <c r="A1045" s="6">
        <v>44003.708333333336</v>
      </c>
      <c r="B1045" s="1" t="s">
        <v>77</v>
      </c>
      <c r="C1045">
        <v>131</v>
      </c>
      <c r="D1045">
        <v>12</v>
      </c>
      <c r="E1045">
        <v>4231</v>
      </c>
      <c r="F1045">
        <v>28221</v>
      </c>
      <c r="G1045" s="3">
        <f t="shared" si="48"/>
        <v>23</v>
      </c>
      <c r="H1045" s="4">
        <f t="shared" si="49"/>
        <v>8.1499592502032314E-4</v>
      </c>
      <c r="I1045" s="1">
        <f t="shared" si="50"/>
        <v>1</v>
      </c>
    </row>
    <row r="1046" spans="1:9" hidden="1" x14ac:dyDescent="0.2">
      <c r="A1046" s="6">
        <v>44004.708333333336</v>
      </c>
      <c r="B1046" s="1" t="s">
        <v>77</v>
      </c>
      <c r="C1046">
        <v>129</v>
      </c>
      <c r="D1046">
        <v>12</v>
      </c>
      <c r="E1046">
        <v>4235</v>
      </c>
      <c r="F1046">
        <v>28243</v>
      </c>
      <c r="G1046" s="3">
        <f t="shared" si="48"/>
        <v>22</v>
      </c>
      <c r="H1046" s="4">
        <f t="shared" si="49"/>
        <v>7.7895407711647824E-4</v>
      </c>
      <c r="I1046" s="1">
        <f t="shared" si="50"/>
        <v>4</v>
      </c>
    </row>
    <row r="1047" spans="1:9" hidden="1" x14ac:dyDescent="0.2">
      <c r="A1047" s="6">
        <v>44005.708333333336</v>
      </c>
      <c r="B1047" s="1" t="s">
        <v>77</v>
      </c>
      <c r="C1047">
        <v>121</v>
      </c>
      <c r="D1047">
        <v>12</v>
      </c>
      <c r="E1047">
        <v>4236</v>
      </c>
      <c r="F1047">
        <v>28260</v>
      </c>
      <c r="G1047" s="3">
        <f t="shared" si="48"/>
        <v>17</v>
      </c>
      <c r="H1047" s="4">
        <f t="shared" si="49"/>
        <v>6.0155697098374095E-4</v>
      </c>
      <c r="I1047" s="1">
        <f t="shared" si="50"/>
        <v>1</v>
      </c>
    </row>
    <row r="1048" spans="1:9" hidden="1" x14ac:dyDescent="0.2">
      <c r="A1048" s="6">
        <v>44006.708333333336</v>
      </c>
      <c r="B1048" s="1" t="s">
        <v>77</v>
      </c>
      <c r="C1048">
        <v>117</v>
      </c>
      <c r="D1048">
        <v>12</v>
      </c>
      <c r="E1048">
        <v>4245</v>
      </c>
      <c r="F1048">
        <v>28304</v>
      </c>
      <c r="G1048" s="3">
        <f t="shared" si="48"/>
        <v>44</v>
      </c>
      <c r="H1048" s="4">
        <f t="shared" si="49"/>
        <v>1.5545505935556925E-3</v>
      </c>
      <c r="I1048" s="1">
        <f t="shared" si="50"/>
        <v>9</v>
      </c>
    </row>
    <row r="1049" spans="1:9" hidden="1" x14ac:dyDescent="0.2">
      <c r="A1049" s="6">
        <v>44007.708333333336</v>
      </c>
      <c r="B1049" s="1" t="s">
        <v>77</v>
      </c>
      <c r="C1049">
        <v>114</v>
      </c>
      <c r="D1049">
        <v>11</v>
      </c>
      <c r="E1049">
        <v>4249</v>
      </c>
      <c r="F1049">
        <v>28351</v>
      </c>
      <c r="G1049" s="3">
        <f t="shared" si="48"/>
        <v>47</v>
      </c>
      <c r="H1049" s="4">
        <f t="shared" si="49"/>
        <v>1.6577898486825893E-3</v>
      </c>
      <c r="I1049" s="1">
        <f t="shared" si="50"/>
        <v>4</v>
      </c>
    </row>
    <row r="1050" spans="1:9" hidden="1" x14ac:dyDescent="0.2">
      <c r="A1050" s="6">
        <v>44008.708333333336</v>
      </c>
      <c r="B1050" s="1" t="s">
        <v>77</v>
      </c>
      <c r="C1050">
        <v>109</v>
      </c>
      <c r="D1050">
        <v>12</v>
      </c>
      <c r="E1050">
        <v>4252</v>
      </c>
      <c r="F1050">
        <v>28393</v>
      </c>
      <c r="G1050" s="3">
        <f t="shared" si="48"/>
        <v>42</v>
      </c>
      <c r="H1050" s="4">
        <f t="shared" si="49"/>
        <v>1.4792378403127859E-3</v>
      </c>
      <c r="I1050" s="1">
        <f t="shared" si="50"/>
        <v>3</v>
      </c>
    </row>
    <row r="1051" spans="1:9" hidden="1" x14ac:dyDescent="0.2">
      <c r="A1051" s="6">
        <v>44009.708333333336</v>
      </c>
      <c r="B1051" s="1" t="s">
        <v>77</v>
      </c>
      <c r="C1051">
        <v>106</v>
      </c>
      <c r="D1051">
        <v>11</v>
      </c>
      <c r="E1051">
        <v>4252</v>
      </c>
      <c r="F1051">
        <v>28435</v>
      </c>
      <c r="G1051" s="3">
        <f t="shared" si="48"/>
        <v>42</v>
      </c>
      <c r="H1051" s="4">
        <f t="shared" si="49"/>
        <v>1.4770529277299271E-3</v>
      </c>
      <c r="I1051" s="1">
        <f t="shared" si="50"/>
        <v>0</v>
      </c>
    </row>
    <row r="1052" spans="1:9" hidden="1" x14ac:dyDescent="0.2">
      <c r="A1052" s="6">
        <v>44010.708333333336</v>
      </c>
      <c r="B1052" s="1" t="s">
        <v>77</v>
      </c>
      <c r="C1052">
        <v>108</v>
      </c>
      <c r="D1052">
        <v>12</v>
      </c>
      <c r="E1052">
        <v>4253</v>
      </c>
      <c r="F1052">
        <v>28456</v>
      </c>
      <c r="G1052" s="3">
        <f t="shared" si="48"/>
        <v>21</v>
      </c>
      <c r="H1052" s="4">
        <f t="shared" si="49"/>
        <v>7.3798144503800511E-4</v>
      </c>
      <c r="I1052" s="1">
        <f t="shared" si="50"/>
        <v>1</v>
      </c>
    </row>
    <row r="1053" spans="1:9" hidden="1" x14ac:dyDescent="0.2">
      <c r="A1053" s="6">
        <v>44011.708333333336</v>
      </c>
      <c r="B1053" s="1" t="s">
        <v>77</v>
      </c>
      <c r="C1053">
        <v>111</v>
      </c>
      <c r="D1053">
        <v>12</v>
      </c>
      <c r="E1053">
        <v>4255</v>
      </c>
      <c r="F1053">
        <v>28472</v>
      </c>
      <c r="G1053" s="3">
        <f t="shared" si="48"/>
        <v>16</v>
      </c>
      <c r="H1053" s="4">
        <f t="shared" si="49"/>
        <v>5.619556055072028E-4</v>
      </c>
      <c r="I1053" s="1">
        <f t="shared" si="50"/>
        <v>2</v>
      </c>
    </row>
    <row r="1054" spans="1:9" hidden="1" x14ac:dyDescent="0.2">
      <c r="A1054" s="6">
        <v>44012.708333333336</v>
      </c>
      <c r="B1054" s="1" t="s">
        <v>77</v>
      </c>
      <c r="C1054">
        <v>108</v>
      </c>
      <c r="D1054">
        <v>12</v>
      </c>
      <c r="E1054">
        <v>4260</v>
      </c>
      <c r="F1054">
        <v>28492</v>
      </c>
      <c r="G1054" s="3">
        <f t="shared" si="48"/>
        <v>20</v>
      </c>
      <c r="H1054" s="4">
        <f t="shared" si="49"/>
        <v>7.0195142496143337E-4</v>
      </c>
      <c r="I1054" s="1">
        <f t="shared" si="50"/>
        <v>5</v>
      </c>
    </row>
    <row r="1055" spans="1:9" hidden="1" x14ac:dyDescent="0.2">
      <c r="A1055" s="6">
        <v>44013.708333333336</v>
      </c>
      <c r="B1055" s="1" t="s">
        <v>77</v>
      </c>
      <c r="C1055">
        <v>104</v>
      </c>
      <c r="D1055">
        <v>10</v>
      </c>
      <c r="E1055">
        <v>4264</v>
      </c>
      <c r="F1055">
        <v>28508</v>
      </c>
      <c r="G1055" s="3">
        <f t="shared" si="48"/>
        <v>16</v>
      </c>
      <c r="H1055" s="4">
        <f t="shared" si="49"/>
        <v>5.6124596604456567E-4</v>
      </c>
      <c r="I1055" s="1">
        <f t="shared" si="50"/>
        <v>4</v>
      </c>
    </row>
    <row r="1056" spans="1:9" hidden="1" x14ac:dyDescent="0.2">
      <c r="A1056" s="6">
        <v>44014.708333333336</v>
      </c>
      <c r="B1056" s="1" t="s">
        <v>77</v>
      </c>
      <c r="C1056">
        <v>96</v>
      </c>
      <c r="D1056">
        <v>9</v>
      </c>
      <c r="E1056">
        <v>4265</v>
      </c>
      <c r="F1056">
        <v>28535</v>
      </c>
      <c r="G1056" s="3">
        <f t="shared" si="48"/>
        <v>27</v>
      </c>
      <c r="H1056" s="4">
        <f t="shared" si="49"/>
        <v>9.4620641317677556E-4</v>
      </c>
      <c r="I1056" s="1">
        <f t="shared" si="50"/>
        <v>1</v>
      </c>
    </row>
    <row r="1057" spans="1:9" hidden="1" x14ac:dyDescent="0.2">
      <c r="A1057" s="6">
        <v>44015.708333333336</v>
      </c>
      <c r="B1057" s="1" t="s">
        <v>77</v>
      </c>
      <c r="C1057">
        <v>87</v>
      </c>
      <c r="D1057">
        <v>9</v>
      </c>
      <c r="E1057">
        <v>4267</v>
      </c>
      <c r="F1057">
        <v>28562</v>
      </c>
      <c r="G1057" s="3">
        <f t="shared" si="48"/>
        <v>27</v>
      </c>
      <c r="H1057" s="4">
        <f t="shared" si="49"/>
        <v>9.4531195294444981E-4</v>
      </c>
      <c r="I1057" s="1">
        <f t="shared" si="50"/>
        <v>2</v>
      </c>
    </row>
    <row r="1058" spans="1:9" hidden="1" x14ac:dyDescent="0.2">
      <c r="A1058" s="6">
        <v>44016.708333333336</v>
      </c>
      <c r="B1058" s="1" t="s">
        <v>77</v>
      </c>
      <c r="C1058">
        <v>88</v>
      </c>
      <c r="D1058">
        <v>8</v>
      </c>
      <c r="E1058">
        <v>4267</v>
      </c>
      <c r="F1058">
        <v>28613</v>
      </c>
      <c r="G1058" s="3">
        <f t="shared" si="48"/>
        <v>51</v>
      </c>
      <c r="H1058" s="4">
        <f t="shared" si="49"/>
        <v>1.7824065983993442E-3</v>
      </c>
      <c r="I1058" s="1">
        <f t="shared" si="50"/>
        <v>0</v>
      </c>
    </row>
    <row r="1059" spans="1:9" hidden="1" x14ac:dyDescent="0.2">
      <c r="A1059" s="6">
        <v>44017.708333333336</v>
      </c>
      <c r="B1059" s="1" t="s">
        <v>77</v>
      </c>
      <c r="C1059">
        <v>88</v>
      </c>
      <c r="D1059">
        <v>9</v>
      </c>
      <c r="E1059">
        <v>4268</v>
      </c>
      <c r="F1059">
        <v>28637</v>
      </c>
      <c r="G1059" s="3">
        <f t="shared" si="48"/>
        <v>24</v>
      </c>
      <c r="H1059" s="4">
        <f t="shared" si="49"/>
        <v>8.3807661417045765E-4</v>
      </c>
      <c r="I1059" s="1">
        <f t="shared" si="50"/>
        <v>1</v>
      </c>
    </row>
    <row r="1060" spans="1:9" hidden="1" x14ac:dyDescent="0.2">
      <c r="A1060" s="6">
        <v>44018.708333333336</v>
      </c>
      <c r="B1060" s="1" t="s">
        <v>77</v>
      </c>
      <c r="C1060">
        <v>90</v>
      </c>
      <c r="D1060">
        <v>9</v>
      </c>
      <c r="E1060">
        <v>4268</v>
      </c>
      <c r="F1060">
        <v>28675</v>
      </c>
      <c r="G1060" s="3">
        <f t="shared" si="48"/>
        <v>38</v>
      </c>
      <c r="H1060" s="4">
        <f t="shared" si="49"/>
        <v>1.3251961639058063E-3</v>
      </c>
      <c r="I1060" s="1">
        <f t="shared" si="50"/>
        <v>0</v>
      </c>
    </row>
    <row r="1061" spans="1:9" hidden="1" x14ac:dyDescent="0.2">
      <c r="A1061" s="6">
        <v>44019.708333333336</v>
      </c>
      <c r="B1061" s="1" t="s">
        <v>77</v>
      </c>
      <c r="C1061">
        <v>98</v>
      </c>
      <c r="D1061">
        <v>10</v>
      </c>
      <c r="E1061">
        <v>4269</v>
      </c>
      <c r="F1061">
        <v>28706</v>
      </c>
      <c r="G1061" s="3">
        <f t="shared" si="48"/>
        <v>31</v>
      </c>
      <c r="H1061" s="4">
        <f t="shared" si="49"/>
        <v>1.0799136069113979E-3</v>
      </c>
      <c r="I1061" s="1">
        <f t="shared" si="50"/>
        <v>1</v>
      </c>
    </row>
    <row r="1062" spans="1:9" hidden="1" x14ac:dyDescent="0.2">
      <c r="A1062" s="6">
        <v>44020.708333333336</v>
      </c>
      <c r="B1062" s="1" t="s">
        <v>77</v>
      </c>
      <c r="C1062">
        <v>99</v>
      </c>
      <c r="D1062">
        <v>10</v>
      </c>
      <c r="E1062">
        <v>4269</v>
      </c>
      <c r="F1062">
        <v>28755</v>
      </c>
      <c r="G1062" s="3">
        <f t="shared" si="48"/>
        <v>49</v>
      </c>
      <c r="H1062" s="4">
        <f t="shared" si="49"/>
        <v>1.7040514693096309E-3</v>
      </c>
      <c r="I1062" s="1">
        <f t="shared" si="50"/>
        <v>0</v>
      </c>
    </row>
    <row r="1063" spans="1:9" hidden="1" x14ac:dyDescent="0.2">
      <c r="A1063" s="6">
        <v>44021.708333333336</v>
      </c>
      <c r="B1063" s="1" t="s">
        <v>77</v>
      </c>
      <c r="C1063">
        <v>96</v>
      </c>
      <c r="D1063">
        <v>10</v>
      </c>
      <c r="E1063">
        <v>4269</v>
      </c>
      <c r="F1063">
        <v>28769</v>
      </c>
      <c r="G1063" s="3">
        <f t="shared" si="48"/>
        <v>14</v>
      </c>
      <c r="H1063" s="4">
        <f t="shared" si="49"/>
        <v>4.8663491953149229E-4</v>
      </c>
      <c r="I1063" s="1">
        <f t="shared" si="50"/>
        <v>0</v>
      </c>
    </row>
    <row r="1064" spans="1:9" hidden="1" x14ac:dyDescent="0.2">
      <c r="A1064" s="6">
        <v>44022.708333333336</v>
      </c>
      <c r="B1064" s="1" t="s">
        <v>77</v>
      </c>
      <c r="C1064">
        <v>96</v>
      </c>
      <c r="D1064">
        <v>10</v>
      </c>
      <c r="E1064">
        <v>4269</v>
      </c>
      <c r="F1064">
        <v>28822</v>
      </c>
      <c r="G1064" s="3">
        <f t="shared" si="48"/>
        <v>53</v>
      </c>
      <c r="H1064" s="4">
        <f t="shared" si="49"/>
        <v>1.8388730830615208E-3</v>
      </c>
      <c r="I1064" s="1">
        <f t="shared" si="50"/>
        <v>0</v>
      </c>
    </row>
    <row r="1065" spans="1:9" hidden="1" x14ac:dyDescent="0.2">
      <c r="A1065" s="6">
        <v>44023.708333333336</v>
      </c>
      <c r="B1065" s="1" t="s">
        <v>77</v>
      </c>
      <c r="C1065">
        <v>93</v>
      </c>
      <c r="D1065">
        <v>10</v>
      </c>
      <c r="E1065">
        <v>4269</v>
      </c>
      <c r="F1065">
        <v>28869</v>
      </c>
      <c r="G1065" s="3">
        <f t="shared" si="48"/>
        <v>47</v>
      </c>
      <c r="H1065" s="4">
        <f t="shared" si="49"/>
        <v>1.6280439225466736E-3</v>
      </c>
      <c r="I1065" s="1">
        <f t="shared" si="50"/>
        <v>0</v>
      </c>
    </row>
    <row r="1066" spans="1:9" hidden="1" x14ac:dyDescent="0.2">
      <c r="A1066" s="6">
        <v>44024.708333333336</v>
      </c>
      <c r="B1066" s="1" t="s">
        <v>77</v>
      </c>
      <c r="C1066">
        <v>93</v>
      </c>
      <c r="D1066">
        <v>10</v>
      </c>
      <c r="E1066">
        <v>4269</v>
      </c>
      <c r="F1066">
        <v>28940</v>
      </c>
      <c r="G1066" s="3">
        <f t="shared" si="48"/>
        <v>71</v>
      </c>
      <c r="H1066" s="4">
        <f t="shared" si="49"/>
        <v>2.4533517622667977E-3</v>
      </c>
      <c r="I1066" s="1">
        <f t="shared" si="50"/>
        <v>0</v>
      </c>
    </row>
    <row r="1067" spans="1:9" hidden="1" x14ac:dyDescent="0.2">
      <c r="A1067" s="6">
        <v>44025.708333333336</v>
      </c>
      <c r="B1067" s="1" t="s">
        <v>77</v>
      </c>
      <c r="C1067">
        <v>93</v>
      </c>
      <c r="D1067">
        <v>9</v>
      </c>
      <c r="E1067">
        <v>4269</v>
      </c>
      <c r="F1067">
        <v>28958</v>
      </c>
      <c r="G1067" s="3">
        <f t="shared" si="48"/>
        <v>18</v>
      </c>
      <c r="H1067" s="4">
        <f t="shared" si="49"/>
        <v>6.2158988880445243E-4</v>
      </c>
      <c r="I1067" s="1">
        <f t="shared" si="50"/>
        <v>0</v>
      </c>
    </row>
    <row r="1068" spans="1:9" hidden="1" x14ac:dyDescent="0.2">
      <c r="A1068" s="6">
        <v>44026.708333333336</v>
      </c>
      <c r="B1068" s="1" t="s">
        <v>77</v>
      </c>
      <c r="C1068">
        <v>93</v>
      </c>
      <c r="D1068">
        <v>9</v>
      </c>
      <c r="E1068">
        <v>4271</v>
      </c>
      <c r="F1068">
        <v>28971</v>
      </c>
      <c r="G1068" s="3">
        <f t="shared" si="48"/>
        <v>13</v>
      </c>
      <c r="H1068" s="4">
        <f t="shared" si="49"/>
        <v>4.4872458665556891E-4</v>
      </c>
      <c r="I1068" s="1">
        <f t="shared" si="50"/>
        <v>2</v>
      </c>
    </row>
    <row r="1069" spans="1:9" hidden="1" x14ac:dyDescent="0.2">
      <c r="A1069" s="6">
        <v>44027.708333333336</v>
      </c>
      <c r="B1069" s="1" t="s">
        <v>77</v>
      </c>
      <c r="C1069">
        <v>88</v>
      </c>
      <c r="D1069">
        <v>9</v>
      </c>
      <c r="E1069">
        <v>4271</v>
      </c>
      <c r="F1069">
        <v>28989</v>
      </c>
      <c r="G1069" s="3">
        <f t="shared" si="48"/>
        <v>18</v>
      </c>
      <c r="H1069" s="4">
        <f t="shared" si="49"/>
        <v>6.2092517851597417E-4</v>
      </c>
      <c r="I1069" s="1">
        <f t="shared" si="50"/>
        <v>0</v>
      </c>
    </row>
    <row r="1070" spans="1:9" hidden="1" x14ac:dyDescent="0.2">
      <c r="A1070" s="6">
        <v>44028.708333333336</v>
      </c>
      <c r="B1070" s="1" t="s">
        <v>77</v>
      </c>
      <c r="C1070">
        <v>88</v>
      </c>
      <c r="D1070">
        <v>9</v>
      </c>
      <c r="E1070">
        <v>4271</v>
      </c>
      <c r="F1070">
        <v>29035</v>
      </c>
      <c r="G1070" s="3">
        <f t="shared" si="48"/>
        <v>46</v>
      </c>
      <c r="H1070" s="4">
        <f t="shared" si="49"/>
        <v>1.5842948166006066E-3</v>
      </c>
      <c r="I1070" s="1">
        <f t="shared" si="50"/>
        <v>0</v>
      </c>
    </row>
    <row r="1071" spans="1:9" hidden="1" x14ac:dyDescent="0.2">
      <c r="A1071" s="6">
        <v>44029.708333333336</v>
      </c>
      <c r="B1071" s="1" t="s">
        <v>77</v>
      </c>
      <c r="C1071">
        <v>87</v>
      </c>
      <c r="D1071">
        <v>8</v>
      </c>
      <c r="E1071">
        <v>4273</v>
      </c>
      <c r="F1071">
        <v>29087</v>
      </c>
      <c r="G1071" s="3">
        <f t="shared" si="48"/>
        <v>52</v>
      </c>
      <c r="H1071" s="4">
        <f t="shared" si="49"/>
        <v>1.7877402275930931E-3</v>
      </c>
      <c r="I1071" s="1">
        <f t="shared" si="50"/>
        <v>2</v>
      </c>
    </row>
    <row r="1072" spans="1:9" hidden="1" x14ac:dyDescent="0.2">
      <c r="A1072" s="6">
        <v>44030.708333333336</v>
      </c>
      <c r="B1072" s="1" t="s">
        <v>77</v>
      </c>
      <c r="C1072">
        <v>85</v>
      </c>
      <c r="D1072">
        <v>8</v>
      </c>
      <c r="E1072">
        <v>4274</v>
      </c>
      <c r="F1072">
        <v>29127</v>
      </c>
      <c r="G1072" s="3">
        <f t="shared" si="48"/>
        <v>40</v>
      </c>
      <c r="H1072" s="4">
        <f t="shared" si="49"/>
        <v>1.3732962543344662E-3</v>
      </c>
      <c r="I1072" s="1">
        <f t="shared" si="50"/>
        <v>1</v>
      </c>
    </row>
    <row r="1073" spans="1:9" hidden="1" x14ac:dyDescent="0.2">
      <c r="A1073" s="6">
        <v>44031.708333333336</v>
      </c>
      <c r="B1073" s="1" t="s">
        <v>77</v>
      </c>
      <c r="C1073">
        <v>81</v>
      </c>
      <c r="D1073">
        <v>8</v>
      </c>
      <c r="E1073">
        <v>4274</v>
      </c>
      <c r="F1073">
        <v>29178</v>
      </c>
      <c r="G1073" s="3">
        <f t="shared" si="48"/>
        <v>51</v>
      </c>
      <c r="H1073" s="4">
        <f t="shared" si="49"/>
        <v>1.7478922475837599E-3</v>
      </c>
      <c r="I1073" s="1">
        <f t="shared" si="50"/>
        <v>0</v>
      </c>
    </row>
    <row r="1074" spans="1:9" hidden="1" x14ac:dyDescent="0.2">
      <c r="A1074" s="6">
        <v>44032.708333333336</v>
      </c>
      <c r="B1074" s="1" t="s">
        <v>77</v>
      </c>
      <c r="C1074">
        <v>91</v>
      </c>
      <c r="D1074">
        <v>6</v>
      </c>
      <c r="E1074">
        <v>4277</v>
      </c>
      <c r="F1074">
        <v>29220</v>
      </c>
      <c r="G1074" s="3">
        <f t="shared" si="48"/>
        <v>42</v>
      </c>
      <c r="H1074" s="4">
        <f t="shared" si="49"/>
        <v>1.4373716632443134E-3</v>
      </c>
      <c r="I1074" s="1">
        <f t="shared" si="50"/>
        <v>3</v>
      </c>
    </row>
    <row r="1075" spans="1:9" hidden="1" x14ac:dyDescent="0.2">
      <c r="A1075" s="6">
        <v>44033.708333333336</v>
      </c>
      <c r="B1075" s="1" t="s">
        <v>77</v>
      </c>
      <c r="C1075">
        <v>85</v>
      </c>
      <c r="D1075">
        <v>6</v>
      </c>
      <c r="E1075">
        <v>4279</v>
      </c>
      <c r="F1075">
        <v>29238</v>
      </c>
      <c r="G1075" s="3">
        <f t="shared" si="48"/>
        <v>18</v>
      </c>
      <c r="H1075" s="4">
        <f t="shared" si="49"/>
        <v>6.1563718448598426E-4</v>
      </c>
      <c r="I1075" s="1">
        <f t="shared" si="50"/>
        <v>2</v>
      </c>
    </row>
    <row r="1076" spans="1:9" hidden="1" x14ac:dyDescent="0.2">
      <c r="A1076" s="6">
        <v>44034.708333333336</v>
      </c>
      <c r="B1076" s="1" t="s">
        <v>77</v>
      </c>
      <c r="C1076">
        <v>81</v>
      </c>
      <c r="D1076">
        <v>7</v>
      </c>
      <c r="E1076">
        <v>4281</v>
      </c>
      <c r="F1076">
        <v>29295</v>
      </c>
      <c r="G1076" s="3">
        <f t="shared" si="48"/>
        <v>57</v>
      </c>
      <c r="H1076" s="4">
        <f t="shared" si="49"/>
        <v>1.9457245263696521E-3</v>
      </c>
      <c r="I1076" s="1">
        <f t="shared" si="50"/>
        <v>2</v>
      </c>
    </row>
    <row r="1077" spans="1:9" hidden="1" x14ac:dyDescent="0.2">
      <c r="A1077" s="6">
        <v>44035.708333333336</v>
      </c>
      <c r="B1077" s="1" t="s">
        <v>77</v>
      </c>
      <c r="C1077">
        <v>79</v>
      </c>
      <c r="D1077">
        <v>6</v>
      </c>
      <c r="E1077">
        <v>4281</v>
      </c>
      <c r="F1077">
        <v>29350</v>
      </c>
      <c r="G1077" s="3">
        <f t="shared" si="48"/>
        <v>55</v>
      </c>
      <c r="H1077" s="4">
        <f t="shared" si="49"/>
        <v>1.8739352640545492E-3</v>
      </c>
      <c r="I1077" s="1">
        <f t="shared" si="50"/>
        <v>0</v>
      </c>
    </row>
    <row r="1078" spans="1:9" hidden="1" x14ac:dyDescent="0.2">
      <c r="A1078" s="6">
        <v>44036.708333333336</v>
      </c>
      <c r="B1078" s="1" t="s">
        <v>77</v>
      </c>
      <c r="C1078">
        <v>79</v>
      </c>
      <c r="D1078">
        <v>4</v>
      </c>
      <c r="E1078">
        <v>4283</v>
      </c>
      <c r="F1078">
        <v>29413</v>
      </c>
      <c r="G1078" s="3">
        <f t="shared" si="48"/>
        <v>63</v>
      </c>
      <c r="H1078" s="4">
        <f t="shared" si="49"/>
        <v>2.1419100397783719E-3</v>
      </c>
      <c r="I1078" s="1">
        <f t="shared" si="50"/>
        <v>2</v>
      </c>
    </row>
    <row r="1079" spans="1:9" hidden="1" x14ac:dyDescent="0.2">
      <c r="A1079" s="6">
        <v>44037.708333333336</v>
      </c>
      <c r="B1079" s="1" t="s">
        <v>77</v>
      </c>
      <c r="C1079">
        <v>78</v>
      </c>
      <c r="D1079">
        <v>4</v>
      </c>
      <c r="E1079">
        <v>4284</v>
      </c>
      <c r="F1079">
        <v>29461</v>
      </c>
      <c r="G1079" s="3">
        <f t="shared" si="48"/>
        <v>48</v>
      </c>
      <c r="H1079" s="4">
        <f t="shared" si="49"/>
        <v>1.6292725976715383E-3</v>
      </c>
      <c r="I1079" s="1">
        <f t="shared" si="50"/>
        <v>1</v>
      </c>
    </row>
    <row r="1080" spans="1:9" hidden="1" x14ac:dyDescent="0.2">
      <c r="A1080" s="6">
        <v>44038.708333333336</v>
      </c>
      <c r="B1080" s="1" t="s">
        <v>77</v>
      </c>
      <c r="C1080">
        <v>75</v>
      </c>
      <c r="D1080">
        <v>4</v>
      </c>
      <c r="E1080">
        <v>4285</v>
      </c>
      <c r="F1080">
        <v>29522</v>
      </c>
      <c r="G1080" s="3">
        <f t="shared" si="48"/>
        <v>61</v>
      </c>
      <c r="H1080" s="4">
        <f t="shared" si="49"/>
        <v>2.0662556737348625E-3</v>
      </c>
      <c r="I1080" s="1">
        <f t="shared" si="50"/>
        <v>1</v>
      </c>
    </row>
    <row r="1081" spans="1:9" hidden="1" x14ac:dyDescent="0.2">
      <c r="A1081" s="6">
        <v>44039.708333333336</v>
      </c>
      <c r="B1081" s="1" t="s">
        <v>77</v>
      </c>
      <c r="C1081">
        <v>77</v>
      </c>
      <c r="D1081">
        <v>4</v>
      </c>
      <c r="E1081">
        <v>4285</v>
      </c>
      <c r="F1081">
        <v>29555</v>
      </c>
      <c r="G1081" s="3">
        <f t="shared" si="48"/>
        <v>33</v>
      </c>
      <c r="H1081" s="4">
        <f t="shared" si="49"/>
        <v>1.1165623413973425E-3</v>
      </c>
      <c r="I1081" s="1">
        <f t="shared" si="50"/>
        <v>0</v>
      </c>
    </row>
    <row r="1082" spans="1:9" hidden="1" x14ac:dyDescent="0.2">
      <c r="A1082" s="6">
        <v>44040.708333333336</v>
      </c>
      <c r="B1082" s="1" t="s">
        <v>77</v>
      </c>
      <c r="C1082">
        <v>72</v>
      </c>
      <c r="D1082">
        <v>3</v>
      </c>
      <c r="E1082">
        <v>4286</v>
      </c>
      <c r="F1082">
        <v>29575</v>
      </c>
      <c r="G1082" s="3">
        <f t="shared" si="48"/>
        <v>20</v>
      </c>
      <c r="H1082" s="4">
        <f t="shared" si="49"/>
        <v>6.762468300929303E-4</v>
      </c>
      <c r="I1082" s="1">
        <f t="shared" si="50"/>
        <v>1</v>
      </c>
    </row>
    <row r="1083" spans="1:9" hidden="1" x14ac:dyDescent="0.2">
      <c r="A1083" s="6">
        <v>44041.708333333336</v>
      </c>
      <c r="B1083" s="1" t="s">
        <v>77</v>
      </c>
      <c r="C1083">
        <v>66</v>
      </c>
      <c r="D1083">
        <v>3</v>
      </c>
      <c r="E1083">
        <v>4287</v>
      </c>
      <c r="F1083">
        <v>29603</v>
      </c>
      <c r="G1083" s="3">
        <f t="shared" si="48"/>
        <v>28</v>
      </c>
      <c r="H1083" s="4">
        <f t="shared" si="49"/>
        <v>9.4585008276193427E-4</v>
      </c>
      <c r="I1083" s="1">
        <f t="shared" si="50"/>
        <v>1</v>
      </c>
    </row>
    <row r="1084" spans="1:9" hidden="1" x14ac:dyDescent="0.2">
      <c r="A1084" s="6">
        <v>44042.708333333336</v>
      </c>
      <c r="B1084" s="1" t="s">
        <v>77</v>
      </c>
      <c r="C1084">
        <v>65</v>
      </c>
      <c r="D1084">
        <v>4</v>
      </c>
      <c r="E1084">
        <v>4289</v>
      </c>
      <c r="F1084">
        <v>29634</v>
      </c>
      <c r="G1084" s="3">
        <f t="shared" si="48"/>
        <v>31</v>
      </c>
      <c r="H1084" s="4">
        <f t="shared" si="49"/>
        <v>1.0460957008840976E-3</v>
      </c>
      <c r="I1084" s="1">
        <f t="shared" si="50"/>
        <v>2</v>
      </c>
    </row>
    <row r="1085" spans="1:9" hidden="1" x14ac:dyDescent="0.2">
      <c r="A1085" s="6">
        <v>44043.708333333336</v>
      </c>
      <c r="B1085" s="1" t="s">
        <v>77</v>
      </c>
      <c r="C1085">
        <v>59</v>
      </c>
      <c r="D1085">
        <v>4</v>
      </c>
      <c r="E1085">
        <v>4289</v>
      </c>
      <c r="F1085">
        <v>29670</v>
      </c>
      <c r="G1085" s="3">
        <f t="shared" si="48"/>
        <v>36</v>
      </c>
      <c r="H1085" s="4">
        <f t="shared" si="49"/>
        <v>1.2133468149646554E-3</v>
      </c>
      <c r="I1085" s="1">
        <f t="shared" si="50"/>
        <v>0</v>
      </c>
    </row>
    <row r="1086" spans="1:9" hidden="1" x14ac:dyDescent="0.2">
      <c r="A1086" s="6">
        <v>44044.708333333336</v>
      </c>
      <c r="B1086" s="1" t="s">
        <v>77</v>
      </c>
      <c r="C1086">
        <v>67</v>
      </c>
      <c r="D1086">
        <v>4</v>
      </c>
      <c r="E1086">
        <v>4291</v>
      </c>
      <c r="F1086">
        <v>29726</v>
      </c>
      <c r="G1086" s="3">
        <f t="shared" si="48"/>
        <v>56</v>
      </c>
      <c r="H1086" s="4">
        <f t="shared" si="49"/>
        <v>1.8838727040301206E-3</v>
      </c>
      <c r="I1086" s="1">
        <f t="shared" si="50"/>
        <v>2</v>
      </c>
    </row>
    <row r="1087" spans="1:9" hidden="1" x14ac:dyDescent="0.2">
      <c r="A1087" s="6">
        <v>44045.708333333336</v>
      </c>
      <c r="B1087" s="1" t="s">
        <v>77</v>
      </c>
      <c r="C1087">
        <v>68</v>
      </c>
      <c r="D1087">
        <v>4</v>
      </c>
      <c r="E1087">
        <v>4291</v>
      </c>
      <c r="F1087">
        <v>29774</v>
      </c>
      <c r="G1087" s="3">
        <f t="shared" si="48"/>
        <v>48</v>
      </c>
      <c r="H1087" s="4">
        <f t="shared" si="49"/>
        <v>1.6121448243433534E-3</v>
      </c>
      <c r="I1087" s="1">
        <f t="shared" si="50"/>
        <v>0</v>
      </c>
    </row>
    <row r="1088" spans="1:9" hidden="1" x14ac:dyDescent="0.2">
      <c r="A1088" s="6">
        <v>44046.708333333336</v>
      </c>
      <c r="B1088" s="1" t="s">
        <v>77</v>
      </c>
      <c r="C1088">
        <v>68</v>
      </c>
      <c r="D1088">
        <v>3</v>
      </c>
      <c r="E1088">
        <v>4291</v>
      </c>
      <c r="F1088">
        <v>29808</v>
      </c>
      <c r="G1088" s="3">
        <f t="shared" si="48"/>
        <v>34</v>
      </c>
      <c r="H1088" s="4">
        <f t="shared" si="49"/>
        <v>1.1406333870102037E-3</v>
      </c>
      <c r="I1088" s="1">
        <f t="shared" si="50"/>
        <v>0</v>
      </c>
    </row>
    <row r="1089" spans="1:9" hidden="1" x14ac:dyDescent="0.2">
      <c r="A1089" s="6">
        <v>44047.708333333336</v>
      </c>
      <c r="B1089" s="1" t="s">
        <v>77</v>
      </c>
      <c r="C1089">
        <v>79</v>
      </c>
      <c r="D1089">
        <v>4</v>
      </c>
      <c r="E1089">
        <v>4291</v>
      </c>
      <c r="F1089">
        <v>29850</v>
      </c>
      <c r="G1089" s="3">
        <f t="shared" si="48"/>
        <v>42</v>
      </c>
      <c r="H1089" s="4">
        <f t="shared" si="49"/>
        <v>1.4070351758793676E-3</v>
      </c>
      <c r="I1089" s="1">
        <f t="shared" si="50"/>
        <v>0</v>
      </c>
    </row>
    <row r="1090" spans="1:9" hidden="1" x14ac:dyDescent="0.2">
      <c r="A1090" s="6">
        <v>44048.708333333336</v>
      </c>
      <c r="B1090" s="1" t="s">
        <v>77</v>
      </c>
      <c r="C1090">
        <v>73</v>
      </c>
      <c r="D1090">
        <v>4</v>
      </c>
      <c r="E1090">
        <v>4291</v>
      </c>
      <c r="F1090">
        <v>29897</v>
      </c>
      <c r="G1090" s="3">
        <f t="shared" si="48"/>
        <v>47</v>
      </c>
      <c r="H1090" s="4">
        <f t="shared" si="49"/>
        <v>1.5720640866976332E-3</v>
      </c>
      <c r="I1090" s="1">
        <f t="shared" si="50"/>
        <v>0</v>
      </c>
    </row>
    <row r="1091" spans="1:9" hidden="1" x14ac:dyDescent="0.2">
      <c r="A1091" s="6">
        <v>44049.708333333336</v>
      </c>
      <c r="B1091" s="1" t="s">
        <v>77</v>
      </c>
      <c r="C1091">
        <v>78</v>
      </c>
      <c r="D1091">
        <v>4</v>
      </c>
      <c r="E1091">
        <v>4291</v>
      </c>
      <c r="F1091">
        <v>29954</v>
      </c>
      <c r="G1091" s="3">
        <f t="shared" ref="G1091:G1154" si="51">IF(AND(F1091&gt;0,AND(B1091=B1090,F1091&gt;0)),F1091-F1090,0)</f>
        <v>57</v>
      </c>
      <c r="H1091" s="4">
        <f t="shared" ref="H1091:H1154" si="52">IF(AND(F1090&gt;0,AND(B1091=B1090,F1090&gt;0)),1-(F1090/F1091),0)</f>
        <v>1.9029178073045605E-3</v>
      </c>
      <c r="I1091" s="1">
        <f t="shared" ref="I1091:I1154" si="53">IF(AND(E1091&gt;0,AND(B1091=B1090,E1091&gt;0)),E1091-E1090,0)</f>
        <v>0</v>
      </c>
    </row>
    <row r="1092" spans="1:9" hidden="1" x14ac:dyDescent="0.2">
      <c r="A1092" s="6">
        <v>44050.708333333336</v>
      </c>
      <c r="B1092" s="1" t="s">
        <v>77</v>
      </c>
      <c r="C1092">
        <v>79</v>
      </c>
      <c r="D1092">
        <v>4</v>
      </c>
      <c r="E1092">
        <v>4292</v>
      </c>
      <c r="F1092">
        <v>30008</v>
      </c>
      <c r="G1092" s="3">
        <f t="shared" si="51"/>
        <v>54</v>
      </c>
      <c r="H1092" s="4">
        <f t="shared" si="52"/>
        <v>1.7995201279659145E-3</v>
      </c>
      <c r="I1092" s="1">
        <f t="shared" si="53"/>
        <v>1</v>
      </c>
    </row>
    <row r="1093" spans="1:9" hidden="1" x14ac:dyDescent="0.2">
      <c r="A1093" s="6">
        <v>44051.708333333336</v>
      </c>
      <c r="B1093" s="1" t="s">
        <v>77</v>
      </c>
      <c r="C1093">
        <v>81</v>
      </c>
      <c r="D1093">
        <v>4</v>
      </c>
      <c r="E1093">
        <v>4294</v>
      </c>
      <c r="F1093">
        <v>30052</v>
      </c>
      <c r="G1093" s="3">
        <f t="shared" si="51"/>
        <v>44</v>
      </c>
      <c r="H1093" s="4">
        <f t="shared" si="52"/>
        <v>1.4641288433382416E-3</v>
      </c>
      <c r="I1093" s="1">
        <f t="shared" si="53"/>
        <v>2</v>
      </c>
    </row>
    <row r="1094" spans="1:9" hidden="1" x14ac:dyDescent="0.2">
      <c r="A1094" s="6">
        <v>44052.708333333336</v>
      </c>
      <c r="B1094" s="1" t="s">
        <v>77</v>
      </c>
      <c r="C1094">
        <v>81</v>
      </c>
      <c r="D1094">
        <v>4</v>
      </c>
      <c r="E1094">
        <v>4295</v>
      </c>
      <c r="F1094">
        <v>30121</v>
      </c>
      <c r="G1094" s="3">
        <f t="shared" si="51"/>
        <v>69</v>
      </c>
      <c r="H1094" s="4">
        <f t="shared" si="52"/>
        <v>2.2907605989177515E-3</v>
      </c>
      <c r="I1094" s="1">
        <f t="shared" si="53"/>
        <v>1</v>
      </c>
    </row>
    <row r="1095" spans="1:9" hidden="1" x14ac:dyDescent="0.2">
      <c r="A1095" s="6">
        <v>44053.708333333336</v>
      </c>
      <c r="B1095" s="1" t="s">
        <v>77</v>
      </c>
      <c r="C1095">
        <v>79</v>
      </c>
      <c r="D1095">
        <v>4</v>
      </c>
      <c r="E1095">
        <v>4296</v>
      </c>
      <c r="F1095">
        <v>30160</v>
      </c>
      <c r="G1095" s="3">
        <f t="shared" si="51"/>
        <v>39</v>
      </c>
      <c r="H1095" s="4">
        <f t="shared" si="52"/>
        <v>1.293103448275823E-3</v>
      </c>
      <c r="I1095" s="1">
        <f t="shared" si="53"/>
        <v>1</v>
      </c>
    </row>
    <row r="1096" spans="1:9" hidden="1" x14ac:dyDescent="0.2">
      <c r="A1096" s="6">
        <v>44054.708333333336</v>
      </c>
      <c r="B1096" s="1" t="s">
        <v>77</v>
      </c>
      <c r="C1096">
        <v>76</v>
      </c>
      <c r="D1096">
        <v>4</v>
      </c>
      <c r="E1096">
        <v>4298</v>
      </c>
      <c r="F1096">
        <v>30179</v>
      </c>
      <c r="G1096" s="3">
        <f t="shared" si="51"/>
        <v>19</v>
      </c>
      <c r="H1096" s="4">
        <f t="shared" si="52"/>
        <v>6.2957685808007202E-4</v>
      </c>
      <c r="I1096" s="1">
        <f t="shared" si="53"/>
        <v>2</v>
      </c>
    </row>
    <row r="1097" spans="1:9" hidden="1" x14ac:dyDescent="0.2">
      <c r="A1097" s="6">
        <v>44055.708333333336</v>
      </c>
      <c r="B1097" s="1" t="s">
        <v>77</v>
      </c>
      <c r="C1097">
        <v>78</v>
      </c>
      <c r="D1097">
        <v>4</v>
      </c>
      <c r="E1097">
        <v>4298</v>
      </c>
      <c r="F1097">
        <v>30220</v>
      </c>
      <c r="G1097" s="3">
        <f t="shared" si="51"/>
        <v>41</v>
      </c>
      <c r="H1097" s="4">
        <f t="shared" si="52"/>
        <v>1.3567174056915432E-3</v>
      </c>
      <c r="I1097" s="1">
        <f t="shared" si="53"/>
        <v>0</v>
      </c>
    </row>
    <row r="1098" spans="1:9" hidden="1" x14ac:dyDescent="0.2">
      <c r="A1098" s="6">
        <v>44056.708333333336</v>
      </c>
      <c r="B1098" s="1" t="s">
        <v>77</v>
      </c>
      <c r="C1098">
        <v>79</v>
      </c>
      <c r="D1098">
        <v>4</v>
      </c>
      <c r="E1098">
        <v>4298</v>
      </c>
      <c r="F1098">
        <v>30257</v>
      </c>
      <c r="G1098" s="3">
        <f t="shared" si="51"/>
        <v>37</v>
      </c>
      <c r="H1098" s="4">
        <f t="shared" si="52"/>
        <v>1.2228575205737169E-3</v>
      </c>
      <c r="I1098" s="1">
        <f t="shared" si="53"/>
        <v>0</v>
      </c>
    </row>
    <row r="1099" spans="1:9" hidden="1" x14ac:dyDescent="0.2">
      <c r="A1099" s="6">
        <v>44057.708333333336</v>
      </c>
      <c r="B1099" s="1" t="s">
        <v>77</v>
      </c>
      <c r="C1099">
        <v>76</v>
      </c>
      <c r="D1099">
        <v>4</v>
      </c>
      <c r="E1099">
        <v>4298</v>
      </c>
      <c r="F1099">
        <v>30314</v>
      </c>
      <c r="G1099" s="3">
        <f t="shared" si="51"/>
        <v>57</v>
      </c>
      <c r="H1099" s="4">
        <f t="shared" si="52"/>
        <v>1.8803193244045779E-3</v>
      </c>
      <c r="I1099" s="1">
        <f t="shared" si="53"/>
        <v>0</v>
      </c>
    </row>
    <row r="1100" spans="1:9" hidden="1" x14ac:dyDescent="0.2">
      <c r="A1100" s="6">
        <v>44058.708333333336</v>
      </c>
      <c r="B1100" s="1" t="s">
        <v>77</v>
      </c>
      <c r="C1100">
        <v>75</v>
      </c>
      <c r="D1100">
        <v>4</v>
      </c>
      <c r="E1100">
        <v>4453</v>
      </c>
      <c r="F1100">
        <v>30385</v>
      </c>
      <c r="G1100" s="3">
        <f t="shared" si="51"/>
        <v>71</v>
      </c>
      <c r="H1100" s="4">
        <f t="shared" si="52"/>
        <v>2.3366792825407767E-3</v>
      </c>
      <c r="I1100" s="1">
        <f t="shared" si="53"/>
        <v>155</v>
      </c>
    </row>
    <row r="1101" spans="1:9" hidden="1" x14ac:dyDescent="0.2">
      <c r="A1101" s="6">
        <v>44059.708333333336</v>
      </c>
      <c r="B1101" s="1" t="s">
        <v>77</v>
      </c>
      <c r="C1101">
        <v>74</v>
      </c>
      <c r="D1101">
        <v>4</v>
      </c>
      <c r="E1101">
        <v>4453</v>
      </c>
      <c r="F1101">
        <v>30436</v>
      </c>
      <c r="G1101" s="3">
        <f t="shared" si="51"/>
        <v>51</v>
      </c>
      <c r="H1101" s="4">
        <f t="shared" si="52"/>
        <v>1.6756472598239425E-3</v>
      </c>
      <c r="I1101" s="1">
        <f t="shared" si="53"/>
        <v>0</v>
      </c>
    </row>
    <row r="1102" spans="1:9" hidden="1" x14ac:dyDescent="0.2">
      <c r="A1102" s="6">
        <v>44060.708333333336</v>
      </c>
      <c r="B1102" s="1" t="s">
        <v>77</v>
      </c>
      <c r="C1102">
        <v>74</v>
      </c>
      <c r="D1102">
        <v>4</v>
      </c>
      <c r="E1102">
        <v>4453</v>
      </c>
      <c r="F1102">
        <v>30477</v>
      </c>
      <c r="G1102" s="3">
        <f t="shared" si="51"/>
        <v>41</v>
      </c>
      <c r="H1102" s="4">
        <f t="shared" si="52"/>
        <v>1.3452767660858678E-3</v>
      </c>
      <c r="I1102" s="1">
        <f t="shared" si="53"/>
        <v>0</v>
      </c>
    </row>
    <row r="1103" spans="1:9" hidden="1" x14ac:dyDescent="0.2">
      <c r="A1103" s="6">
        <v>44061.708333333336</v>
      </c>
      <c r="B1103" s="1" t="s">
        <v>77</v>
      </c>
      <c r="C1103">
        <v>72</v>
      </c>
      <c r="D1103">
        <v>4</v>
      </c>
      <c r="E1103">
        <v>4454</v>
      </c>
      <c r="F1103">
        <v>30498</v>
      </c>
      <c r="G1103" s="3">
        <f t="shared" si="51"/>
        <v>21</v>
      </c>
      <c r="H1103" s="4">
        <f t="shared" si="52"/>
        <v>6.8856974227815559E-4</v>
      </c>
      <c r="I1103" s="1">
        <f t="shared" si="53"/>
        <v>1</v>
      </c>
    </row>
    <row r="1104" spans="1:9" hidden="1" x14ac:dyDescent="0.2">
      <c r="A1104" s="6">
        <v>44062.708333333336</v>
      </c>
      <c r="B1104" s="1" t="s">
        <v>77</v>
      </c>
      <c r="C1104">
        <v>81</v>
      </c>
      <c r="D1104">
        <v>7</v>
      </c>
      <c r="E1104">
        <v>4455</v>
      </c>
      <c r="F1104">
        <v>30574</v>
      </c>
      <c r="G1104" s="3">
        <f t="shared" si="51"/>
        <v>76</v>
      </c>
      <c r="H1104" s="4">
        <f t="shared" si="52"/>
        <v>2.4857722247660918E-3</v>
      </c>
      <c r="I1104" s="1">
        <f t="shared" si="53"/>
        <v>1</v>
      </c>
    </row>
    <row r="1105" spans="1:9" hidden="1" x14ac:dyDescent="0.2">
      <c r="A1105" s="6">
        <v>44063.708333333336</v>
      </c>
      <c r="B1105" s="1" t="s">
        <v>77</v>
      </c>
      <c r="C1105">
        <v>77</v>
      </c>
      <c r="D1105">
        <v>8</v>
      </c>
      <c r="E1105">
        <v>4455</v>
      </c>
      <c r="F1105">
        <v>30626</v>
      </c>
      <c r="G1105" s="3">
        <f t="shared" si="51"/>
        <v>52</v>
      </c>
      <c r="H1105" s="4">
        <f t="shared" si="52"/>
        <v>1.6979037419185827E-3</v>
      </c>
      <c r="I1105" s="1">
        <f t="shared" si="53"/>
        <v>0</v>
      </c>
    </row>
    <row r="1106" spans="1:9" hidden="1" x14ac:dyDescent="0.2">
      <c r="A1106" s="6">
        <v>44064.708333333336</v>
      </c>
      <c r="B1106" s="1" t="s">
        <v>77</v>
      </c>
      <c r="C1106">
        <v>77</v>
      </c>
      <c r="D1106">
        <v>8</v>
      </c>
      <c r="E1106">
        <v>4455</v>
      </c>
      <c r="F1106">
        <v>30708</v>
      </c>
      <c r="G1106" s="3">
        <f t="shared" si="51"/>
        <v>82</v>
      </c>
      <c r="H1106" s="4">
        <f t="shared" si="52"/>
        <v>2.670313924710177E-3</v>
      </c>
      <c r="I1106" s="1">
        <f t="shared" si="53"/>
        <v>0</v>
      </c>
    </row>
    <row r="1107" spans="1:9" hidden="1" x14ac:dyDescent="0.2">
      <c r="A1107" s="6">
        <v>44065.708333333336</v>
      </c>
      <c r="B1107" s="1" t="s">
        <v>77</v>
      </c>
      <c r="C1107">
        <v>75</v>
      </c>
      <c r="D1107">
        <v>8</v>
      </c>
      <c r="E1107">
        <v>4455</v>
      </c>
      <c r="F1107">
        <v>30788</v>
      </c>
      <c r="G1107" s="3">
        <f t="shared" si="51"/>
        <v>80</v>
      </c>
      <c r="H1107" s="4">
        <f t="shared" si="52"/>
        <v>2.5984149668701884E-3</v>
      </c>
      <c r="I1107" s="1">
        <f t="shared" si="53"/>
        <v>0</v>
      </c>
    </row>
    <row r="1108" spans="1:9" hidden="1" x14ac:dyDescent="0.2">
      <c r="A1108" s="6">
        <v>44066.708333333336</v>
      </c>
      <c r="B1108" s="1" t="s">
        <v>77</v>
      </c>
      <c r="C1108">
        <v>77</v>
      </c>
      <c r="D1108">
        <v>8</v>
      </c>
      <c r="E1108">
        <v>4456</v>
      </c>
      <c r="F1108">
        <v>30915</v>
      </c>
      <c r="G1108" s="3">
        <f t="shared" si="51"/>
        <v>127</v>
      </c>
      <c r="H1108" s="4">
        <f t="shared" si="52"/>
        <v>4.1080381691734891E-3</v>
      </c>
      <c r="I1108" s="1">
        <f t="shared" si="53"/>
        <v>1</v>
      </c>
    </row>
    <row r="1109" spans="1:9" hidden="1" x14ac:dyDescent="0.2">
      <c r="A1109" s="6">
        <v>44067.708333333336</v>
      </c>
      <c r="B1109" s="1" t="s">
        <v>77</v>
      </c>
      <c r="C1109">
        <v>82</v>
      </c>
      <c r="D1109">
        <v>8</v>
      </c>
      <c r="E1109">
        <v>4458</v>
      </c>
      <c r="F1109">
        <v>31031</v>
      </c>
      <c r="G1109" s="3">
        <f t="shared" si="51"/>
        <v>116</v>
      </c>
      <c r="H1109" s="4">
        <f t="shared" si="52"/>
        <v>3.7381972865844215E-3</v>
      </c>
      <c r="I1109" s="1">
        <f t="shared" si="53"/>
        <v>2</v>
      </c>
    </row>
    <row r="1110" spans="1:9" hidden="1" x14ac:dyDescent="0.2">
      <c r="A1110" s="6">
        <v>44068.708333333336</v>
      </c>
      <c r="B1110" s="1" t="s">
        <v>77</v>
      </c>
      <c r="C1110">
        <v>90</v>
      </c>
      <c r="D1110">
        <v>5</v>
      </c>
      <c r="E1110">
        <v>4458</v>
      </c>
      <c r="F1110">
        <v>31094</v>
      </c>
      <c r="G1110" s="3">
        <f t="shared" si="51"/>
        <v>63</v>
      </c>
      <c r="H1110" s="4">
        <f t="shared" si="52"/>
        <v>2.026114362899567E-3</v>
      </c>
      <c r="I1110" s="1">
        <f t="shared" si="53"/>
        <v>0</v>
      </c>
    </row>
    <row r="1111" spans="1:9" hidden="1" x14ac:dyDescent="0.2">
      <c r="A1111" s="6">
        <v>44069.708333333336</v>
      </c>
      <c r="B1111" s="1" t="s">
        <v>77</v>
      </c>
      <c r="C1111">
        <v>92</v>
      </c>
      <c r="D1111">
        <v>6</v>
      </c>
      <c r="E1111">
        <v>4458</v>
      </c>
      <c r="F1111">
        <v>31214</v>
      </c>
      <c r="G1111" s="3">
        <f t="shared" si="51"/>
        <v>120</v>
      </c>
      <c r="H1111" s="4">
        <f t="shared" si="52"/>
        <v>3.8444287819567879E-3</v>
      </c>
      <c r="I1111" s="1">
        <f t="shared" si="53"/>
        <v>0</v>
      </c>
    </row>
    <row r="1112" spans="1:9" hidden="1" x14ac:dyDescent="0.2">
      <c r="A1112" s="6">
        <v>44070.708333333336</v>
      </c>
      <c r="B1112" s="1" t="s">
        <v>77</v>
      </c>
      <c r="C1112">
        <v>93</v>
      </c>
      <c r="D1112">
        <v>8</v>
      </c>
      <c r="E1112">
        <v>4458</v>
      </c>
      <c r="F1112">
        <v>31385</v>
      </c>
      <c r="G1112" s="3">
        <f t="shared" si="51"/>
        <v>171</v>
      </c>
      <c r="H1112" s="4">
        <f t="shared" si="52"/>
        <v>5.4484626413892068E-3</v>
      </c>
      <c r="I1112" s="1">
        <f t="shared" si="53"/>
        <v>0</v>
      </c>
    </row>
    <row r="1113" spans="1:9" hidden="1" x14ac:dyDescent="0.2">
      <c r="A1113" s="6">
        <v>44071.708333333336</v>
      </c>
      <c r="B1113" s="1" t="s">
        <v>77</v>
      </c>
      <c r="C1113">
        <v>94</v>
      </c>
      <c r="D1113">
        <v>9</v>
      </c>
      <c r="E1113">
        <v>4459</v>
      </c>
      <c r="F1113">
        <v>31547</v>
      </c>
      <c r="G1113" s="3">
        <f t="shared" si="51"/>
        <v>162</v>
      </c>
      <c r="H1113" s="4">
        <f t="shared" si="52"/>
        <v>5.1351951057152512E-3</v>
      </c>
      <c r="I1113" s="1">
        <f t="shared" si="53"/>
        <v>1</v>
      </c>
    </row>
    <row r="1114" spans="1:9" hidden="1" x14ac:dyDescent="0.2">
      <c r="A1114" s="6">
        <v>44072.708333333336</v>
      </c>
      <c r="B1114" s="1" t="s">
        <v>77</v>
      </c>
      <c r="C1114">
        <v>98</v>
      </c>
      <c r="D1114">
        <v>10</v>
      </c>
      <c r="E1114">
        <v>4459</v>
      </c>
      <c r="F1114">
        <v>31696</v>
      </c>
      <c r="G1114" s="3">
        <f t="shared" si="51"/>
        <v>149</v>
      </c>
      <c r="H1114" s="4">
        <f t="shared" si="52"/>
        <v>4.7009086320040083E-3</v>
      </c>
      <c r="I1114" s="1">
        <f t="shared" si="53"/>
        <v>0</v>
      </c>
    </row>
    <row r="1115" spans="1:9" hidden="1" x14ac:dyDescent="0.2">
      <c r="A1115" s="6">
        <v>44073.708333333336</v>
      </c>
      <c r="B1115" s="1" t="s">
        <v>77</v>
      </c>
      <c r="C1115">
        <v>99</v>
      </c>
      <c r="D1115">
        <v>11</v>
      </c>
      <c r="E1115">
        <v>4459</v>
      </c>
      <c r="F1115">
        <v>31805</v>
      </c>
      <c r="G1115" s="3">
        <f t="shared" si="51"/>
        <v>109</v>
      </c>
      <c r="H1115" s="4">
        <f t="shared" si="52"/>
        <v>3.4271340984122212E-3</v>
      </c>
      <c r="I1115" s="1">
        <f t="shared" si="53"/>
        <v>0</v>
      </c>
    </row>
    <row r="1116" spans="1:9" hidden="1" x14ac:dyDescent="0.2">
      <c r="A1116" s="6">
        <v>44074.708333333336</v>
      </c>
      <c r="B1116" s="1" t="s">
        <v>77</v>
      </c>
      <c r="C1116">
        <v>106</v>
      </c>
      <c r="D1116">
        <v>9</v>
      </c>
      <c r="E1116">
        <v>4463</v>
      </c>
      <c r="F1116">
        <v>31922</v>
      </c>
      <c r="G1116" s="3">
        <f t="shared" si="51"/>
        <v>117</v>
      </c>
      <c r="H1116" s="4">
        <f t="shared" si="52"/>
        <v>3.6651838857214569E-3</v>
      </c>
      <c r="I1116" s="1">
        <f t="shared" si="53"/>
        <v>4</v>
      </c>
    </row>
    <row r="1117" spans="1:9" hidden="1" x14ac:dyDescent="0.2">
      <c r="A1117" s="6">
        <v>44075.708333333336</v>
      </c>
      <c r="B1117" s="1" t="s">
        <v>77</v>
      </c>
      <c r="C1117">
        <v>106</v>
      </c>
      <c r="D1117">
        <v>9</v>
      </c>
      <c r="E1117">
        <v>4463</v>
      </c>
      <c r="F1117">
        <v>32021</v>
      </c>
      <c r="G1117" s="3">
        <f t="shared" si="51"/>
        <v>99</v>
      </c>
      <c r="H1117" s="4">
        <f t="shared" si="52"/>
        <v>3.0917210580556631E-3</v>
      </c>
      <c r="I1117" s="1">
        <f t="shared" si="53"/>
        <v>0</v>
      </c>
    </row>
    <row r="1118" spans="1:9" hidden="1" x14ac:dyDescent="0.2">
      <c r="A1118" s="6">
        <v>44076.708333333336</v>
      </c>
      <c r="B1118" s="1" t="s">
        <v>77</v>
      </c>
      <c r="C1118">
        <v>104</v>
      </c>
      <c r="D1118">
        <v>10</v>
      </c>
      <c r="E1118">
        <v>4463</v>
      </c>
      <c r="F1118">
        <v>32128</v>
      </c>
      <c r="G1118" s="3">
        <f t="shared" si="51"/>
        <v>107</v>
      </c>
      <c r="H1118" s="4">
        <f t="shared" si="52"/>
        <v>3.3304282868525936E-3</v>
      </c>
      <c r="I1118" s="1">
        <f t="shared" si="53"/>
        <v>0</v>
      </c>
    </row>
    <row r="1119" spans="1:9" hidden="1" x14ac:dyDescent="0.2">
      <c r="A1119" s="6">
        <v>44077.708333333336</v>
      </c>
      <c r="B1119" s="1" t="s">
        <v>77</v>
      </c>
      <c r="C1119">
        <v>108</v>
      </c>
      <c r="D1119">
        <v>11</v>
      </c>
      <c r="E1119">
        <v>4463</v>
      </c>
      <c r="F1119">
        <v>32246</v>
      </c>
      <c r="G1119" s="3">
        <f t="shared" si="51"/>
        <v>118</v>
      </c>
      <c r="H1119" s="4">
        <f t="shared" si="52"/>
        <v>3.6593686038578488E-3</v>
      </c>
      <c r="I1119" s="1">
        <f t="shared" si="53"/>
        <v>0</v>
      </c>
    </row>
    <row r="1120" spans="1:9" hidden="1" x14ac:dyDescent="0.2">
      <c r="A1120" s="6">
        <v>44078.708333333336</v>
      </c>
      <c r="B1120" s="1" t="s">
        <v>77</v>
      </c>
      <c r="C1120">
        <v>114</v>
      </c>
      <c r="D1120">
        <v>13</v>
      </c>
      <c r="E1120">
        <v>4463</v>
      </c>
      <c r="F1120">
        <v>32371</v>
      </c>
      <c r="G1120" s="3">
        <f t="shared" si="51"/>
        <v>125</v>
      </c>
      <c r="H1120" s="4">
        <f t="shared" si="52"/>
        <v>3.8614809551759111E-3</v>
      </c>
      <c r="I1120" s="1">
        <f t="shared" si="53"/>
        <v>0</v>
      </c>
    </row>
    <row r="1121" spans="1:9" hidden="1" x14ac:dyDescent="0.2">
      <c r="A1121" s="6">
        <v>44079.708333333336</v>
      </c>
      <c r="B1121" s="1" t="s">
        <v>77</v>
      </c>
      <c r="C1121">
        <v>122</v>
      </c>
      <c r="D1121">
        <v>12</v>
      </c>
      <c r="E1121">
        <v>4463</v>
      </c>
      <c r="F1121">
        <v>32504</v>
      </c>
      <c r="G1121" s="3">
        <f t="shared" si="51"/>
        <v>133</v>
      </c>
      <c r="H1121" s="4">
        <f t="shared" si="52"/>
        <v>4.0918040856510185E-3</v>
      </c>
      <c r="I1121" s="1">
        <f t="shared" si="53"/>
        <v>0</v>
      </c>
    </row>
    <row r="1122" spans="1:9" hidden="1" x14ac:dyDescent="0.2">
      <c r="A1122" s="6">
        <v>44080.708333333336</v>
      </c>
      <c r="B1122" s="1" t="s">
        <v>77</v>
      </c>
      <c r="C1122">
        <v>124</v>
      </c>
      <c r="D1122">
        <v>14</v>
      </c>
      <c r="E1122">
        <v>4464</v>
      </c>
      <c r="F1122">
        <v>32628</v>
      </c>
      <c r="G1122" s="3">
        <f t="shared" si="51"/>
        <v>124</v>
      </c>
      <c r="H1122" s="4">
        <f t="shared" si="52"/>
        <v>3.8004168199092803E-3</v>
      </c>
      <c r="I1122" s="1">
        <f t="shared" si="53"/>
        <v>1</v>
      </c>
    </row>
    <row r="1123" spans="1:9" hidden="1" x14ac:dyDescent="0.2">
      <c r="A1123" s="6">
        <v>44081.708333333336</v>
      </c>
      <c r="B1123" s="1" t="s">
        <v>77</v>
      </c>
      <c r="C1123">
        <v>119</v>
      </c>
      <c r="D1123">
        <v>18</v>
      </c>
      <c r="E1123">
        <v>4464</v>
      </c>
      <c r="F1123">
        <v>32760</v>
      </c>
      <c r="G1123" s="3">
        <f t="shared" si="51"/>
        <v>132</v>
      </c>
      <c r="H1123" s="4">
        <f t="shared" si="52"/>
        <v>4.029304029304015E-3</v>
      </c>
      <c r="I1123" s="1">
        <f t="shared" si="53"/>
        <v>0</v>
      </c>
    </row>
    <row r="1124" spans="1:9" hidden="1" x14ac:dyDescent="0.2">
      <c r="A1124" s="6">
        <v>44082.708333333336</v>
      </c>
      <c r="B1124" s="1" t="s">
        <v>77</v>
      </c>
      <c r="C1124">
        <v>130</v>
      </c>
      <c r="D1124">
        <v>16</v>
      </c>
      <c r="E1124">
        <v>4465</v>
      </c>
      <c r="F1124">
        <v>32854</v>
      </c>
      <c r="G1124" s="3">
        <f t="shared" si="51"/>
        <v>94</v>
      </c>
      <c r="H1124" s="4">
        <f t="shared" si="52"/>
        <v>2.8611432397881442E-3</v>
      </c>
      <c r="I1124" s="1">
        <f t="shared" si="53"/>
        <v>1</v>
      </c>
    </row>
    <row r="1125" spans="1:9" hidden="1" x14ac:dyDescent="0.2">
      <c r="A1125" s="6">
        <v>44083.708333333336</v>
      </c>
      <c r="B1125" s="1" t="s">
        <v>77</v>
      </c>
      <c r="C1125">
        <v>140</v>
      </c>
      <c r="D1125">
        <v>16</v>
      </c>
      <c r="E1125">
        <v>4467</v>
      </c>
      <c r="F1125">
        <v>32963</v>
      </c>
      <c r="G1125" s="3">
        <f t="shared" si="51"/>
        <v>109</v>
      </c>
      <c r="H1125" s="4">
        <f t="shared" si="52"/>
        <v>3.3067378575979411E-3</v>
      </c>
      <c r="I1125" s="1">
        <f t="shared" si="53"/>
        <v>2</v>
      </c>
    </row>
    <row r="1126" spans="1:9" hidden="1" x14ac:dyDescent="0.2">
      <c r="A1126" s="6">
        <v>44084.708333333336</v>
      </c>
      <c r="B1126" s="1" t="s">
        <v>77</v>
      </c>
      <c r="C1126">
        <v>143</v>
      </c>
      <c r="D1126">
        <v>17</v>
      </c>
      <c r="E1126">
        <v>4468</v>
      </c>
      <c r="F1126">
        <v>33073</v>
      </c>
      <c r="G1126" s="3">
        <f t="shared" si="51"/>
        <v>110</v>
      </c>
      <c r="H1126" s="4">
        <f t="shared" si="52"/>
        <v>3.3259758715568077E-3</v>
      </c>
      <c r="I1126" s="1">
        <f t="shared" si="53"/>
        <v>1</v>
      </c>
    </row>
    <row r="1127" spans="1:9" hidden="1" x14ac:dyDescent="0.2">
      <c r="A1127" s="6">
        <v>44085.708333333336</v>
      </c>
      <c r="B1127" s="1" t="s">
        <v>77</v>
      </c>
      <c r="C1127">
        <v>140</v>
      </c>
      <c r="D1127">
        <v>18</v>
      </c>
      <c r="E1127">
        <v>4468</v>
      </c>
      <c r="F1127">
        <v>33225</v>
      </c>
      <c r="G1127" s="3">
        <f t="shared" si="51"/>
        <v>152</v>
      </c>
      <c r="H1127" s="4">
        <f t="shared" si="52"/>
        <v>4.5748683220466768E-3</v>
      </c>
      <c r="I1127" s="1">
        <f t="shared" si="53"/>
        <v>0</v>
      </c>
    </row>
    <row r="1128" spans="1:9" hidden="1" x14ac:dyDescent="0.2">
      <c r="A1128" s="6">
        <v>44086.708333333336</v>
      </c>
      <c r="B1128" s="1" t="s">
        <v>77</v>
      </c>
      <c r="C1128">
        <v>152</v>
      </c>
      <c r="D1128">
        <v>17</v>
      </c>
      <c r="E1128">
        <v>4469</v>
      </c>
      <c r="F1128">
        <v>33363</v>
      </c>
      <c r="G1128" s="3">
        <f t="shared" si="51"/>
        <v>138</v>
      </c>
      <c r="H1128" s="4">
        <f t="shared" si="52"/>
        <v>4.1363186763779813E-3</v>
      </c>
      <c r="I1128" s="1">
        <f t="shared" si="53"/>
        <v>1</v>
      </c>
    </row>
    <row r="1129" spans="1:9" hidden="1" x14ac:dyDescent="0.2">
      <c r="A1129" s="6">
        <v>44087.708333333336</v>
      </c>
      <c r="B1129" s="1" t="s">
        <v>77</v>
      </c>
      <c r="C1129">
        <v>156</v>
      </c>
      <c r="D1129">
        <v>17</v>
      </c>
      <c r="E1129">
        <v>4469</v>
      </c>
      <c r="F1129">
        <v>33504</v>
      </c>
      <c r="G1129" s="3">
        <f t="shared" si="51"/>
        <v>141</v>
      </c>
      <c r="H1129" s="4">
        <f t="shared" si="52"/>
        <v>4.2084527220630497E-3</v>
      </c>
      <c r="I1129" s="1">
        <f t="shared" si="53"/>
        <v>0</v>
      </c>
    </row>
    <row r="1130" spans="1:9" hidden="1" x14ac:dyDescent="0.2">
      <c r="A1130" s="6">
        <v>44088.708333333336</v>
      </c>
      <c r="B1130" s="1" t="s">
        <v>77</v>
      </c>
      <c r="C1130">
        <v>165</v>
      </c>
      <c r="D1130">
        <v>18</v>
      </c>
      <c r="E1130">
        <v>4469</v>
      </c>
      <c r="F1130">
        <v>33631</v>
      </c>
      <c r="G1130" s="3">
        <f t="shared" si="51"/>
        <v>127</v>
      </c>
      <c r="H1130" s="4">
        <f t="shared" si="52"/>
        <v>3.7762778388986673E-3</v>
      </c>
      <c r="I1130" s="1">
        <f t="shared" si="53"/>
        <v>0</v>
      </c>
    </row>
    <row r="1131" spans="1:9" hidden="1" x14ac:dyDescent="0.2">
      <c r="A1131" s="6">
        <v>44089.708333333336</v>
      </c>
      <c r="B1131" s="1" t="s">
        <v>77</v>
      </c>
      <c r="C1131">
        <v>168</v>
      </c>
      <c r="D1131">
        <v>17</v>
      </c>
      <c r="E1131">
        <v>4470</v>
      </c>
      <c r="F1131">
        <v>33756</v>
      </c>
      <c r="G1131" s="3">
        <f t="shared" si="51"/>
        <v>125</v>
      </c>
      <c r="H1131" s="4">
        <f t="shared" si="52"/>
        <v>3.7030453845242617E-3</v>
      </c>
      <c r="I1131" s="1">
        <f t="shared" si="53"/>
        <v>1</v>
      </c>
    </row>
    <row r="1132" spans="1:9" hidden="1" x14ac:dyDescent="0.2">
      <c r="A1132" s="6">
        <v>44090.708333333336</v>
      </c>
      <c r="B1132" s="1" t="s">
        <v>77</v>
      </c>
      <c r="C1132">
        <v>174</v>
      </c>
      <c r="D1132">
        <v>19</v>
      </c>
      <c r="E1132">
        <v>4470</v>
      </c>
      <c r="F1132">
        <v>33862</v>
      </c>
      <c r="G1132" s="3">
        <f t="shared" si="51"/>
        <v>106</v>
      </c>
      <c r="H1132" s="4">
        <f t="shared" si="52"/>
        <v>3.1303526076428279E-3</v>
      </c>
      <c r="I1132" s="1">
        <f t="shared" si="53"/>
        <v>0</v>
      </c>
    </row>
    <row r="1133" spans="1:9" hidden="1" x14ac:dyDescent="0.2">
      <c r="A1133" s="6">
        <v>44091.708333333336</v>
      </c>
      <c r="B1133" s="1" t="s">
        <v>77</v>
      </c>
      <c r="C1133">
        <v>178</v>
      </c>
      <c r="D1133">
        <v>21</v>
      </c>
      <c r="E1133">
        <v>4471</v>
      </c>
      <c r="F1133">
        <v>33972</v>
      </c>
      <c r="G1133" s="3">
        <f t="shared" si="51"/>
        <v>110</v>
      </c>
      <c r="H1133" s="4">
        <f t="shared" si="52"/>
        <v>3.2379606734957989E-3</v>
      </c>
      <c r="I1133" s="1">
        <f t="shared" si="53"/>
        <v>1</v>
      </c>
    </row>
    <row r="1134" spans="1:9" hidden="1" x14ac:dyDescent="0.2">
      <c r="A1134" s="6">
        <v>44092.708333333336</v>
      </c>
      <c r="B1134" s="1" t="s">
        <v>77</v>
      </c>
      <c r="C1134">
        <v>182</v>
      </c>
      <c r="D1134">
        <v>21</v>
      </c>
      <c r="E1134">
        <v>4472</v>
      </c>
      <c r="F1134">
        <v>34093</v>
      </c>
      <c r="G1134" s="3">
        <f t="shared" si="51"/>
        <v>121</v>
      </c>
      <c r="H1134" s="4">
        <f t="shared" si="52"/>
        <v>3.5491156542398761E-3</v>
      </c>
      <c r="I1134" s="1">
        <f t="shared" si="53"/>
        <v>1</v>
      </c>
    </row>
    <row r="1135" spans="1:9" hidden="1" x14ac:dyDescent="0.2">
      <c r="A1135" s="6">
        <v>44093.708333333336</v>
      </c>
      <c r="B1135" s="1" t="s">
        <v>77</v>
      </c>
      <c r="C1135">
        <v>174</v>
      </c>
      <c r="D1135">
        <v>19</v>
      </c>
      <c r="E1135">
        <v>4474</v>
      </c>
      <c r="F1135">
        <v>34225</v>
      </c>
      <c r="G1135" s="3">
        <f t="shared" si="51"/>
        <v>132</v>
      </c>
      <c r="H1135" s="4">
        <f t="shared" si="52"/>
        <v>3.8568298027757963E-3</v>
      </c>
      <c r="I1135" s="1">
        <f t="shared" si="53"/>
        <v>2</v>
      </c>
    </row>
    <row r="1136" spans="1:9" hidden="1" x14ac:dyDescent="0.2">
      <c r="A1136" s="6">
        <v>44094.708333333336</v>
      </c>
      <c r="B1136" s="1" t="s">
        <v>77</v>
      </c>
      <c r="C1136">
        <v>169</v>
      </c>
      <c r="D1136">
        <v>19</v>
      </c>
      <c r="E1136">
        <v>4476</v>
      </c>
      <c r="F1136">
        <v>34340</v>
      </c>
      <c r="G1136" s="3">
        <f t="shared" si="51"/>
        <v>115</v>
      </c>
      <c r="H1136" s="4">
        <f t="shared" si="52"/>
        <v>3.3488642981944761E-3</v>
      </c>
      <c r="I1136" s="1">
        <f t="shared" si="53"/>
        <v>2</v>
      </c>
    </row>
    <row r="1137" spans="1:9" hidden="1" x14ac:dyDescent="0.2">
      <c r="A1137" s="6">
        <v>44095.708333333336</v>
      </c>
      <c r="B1137" s="1" t="s">
        <v>77</v>
      </c>
      <c r="C1137">
        <v>167</v>
      </c>
      <c r="D1137">
        <v>23</v>
      </c>
      <c r="E1137">
        <v>4477</v>
      </c>
      <c r="F1137">
        <v>34456</v>
      </c>
      <c r="G1137" s="3">
        <f t="shared" si="51"/>
        <v>116</v>
      </c>
      <c r="H1137" s="4">
        <f t="shared" si="52"/>
        <v>3.3666124912932194E-3</v>
      </c>
      <c r="I1137" s="1">
        <f t="shared" si="53"/>
        <v>1</v>
      </c>
    </row>
    <row r="1138" spans="1:9" hidden="1" x14ac:dyDescent="0.2">
      <c r="A1138" s="6">
        <v>44096.708333333336</v>
      </c>
      <c r="B1138" s="1" t="s">
        <v>77</v>
      </c>
      <c r="C1138">
        <v>185</v>
      </c>
      <c r="D1138">
        <v>22</v>
      </c>
      <c r="E1138">
        <v>4478</v>
      </c>
      <c r="F1138">
        <v>34511</v>
      </c>
      <c r="G1138" s="3">
        <f t="shared" si="51"/>
        <v>55</v>
      </c>
      <c r="H1138" s="4">
        <f t="shared" si="52"/>
        <v>1.5936947639882959E-3</v>
      </c>
      <c r="I1138" s="1">
        <f t="shared" si="53"/>
        <v>1</v>
      </c>
    </row>
    <row r="1139" spans="1:9" hidden="1" x14ac:dyDescent="0.2">
      <c r="A1139" s="6">
        <v>44097.708333333336</v>
      </c>
      <c r="B1139" s="1" t="s">
        <v>77</v>
      </c>
      <c r="C1139">
        <v>187</v>
      </c>
      <c r="D1139">
        <v>20</v>
      </c>
      <c r="E1139">
        <v>4479</v>
      </c>
      <c r="F1139">
        <v>34612</v>
      </c>
      <c r="G1139" s="3">
        <f t="shared" si="51"/>
        <v>101</v>
      </c>
      <c r="H1139" s="4">
        <f t="shared" si="52"/>
        <v>2.9180630995030432E-3</v>
      </c>
      <c r="I1139" s="1">
        <f t="shared" si="53"/>
        <v>1</v>
      </c>
    </row>
    <row r="1140" spans="1:9" hidden="1" x14ac:dyDescent="0.2">
      <c r="A1140" s="6">
        <v>44098.708333333336</v>
      </c>
      <c r="B1140" s="1" t="s">
        <v>77</v>
      </c>
      <c r="C1140">
        <v>192</v>
      </c>
      <c r="D1140">
        <v>20</v>
      </c>
      <c r="E1140">
        <v>4480</v>
      </c>
      <c r="F1140">
        <v>34711</v>
      </c>
      <c r="G1140" s="3">
        <f t="shared" si="51"/>
        <v>99</v>
      </c>
      <c r="H1140" s="4">
        <f t="shared" si="52"/>
        <v>2.8521218057676601E-3</v>
      </c>
      <c r="I1140" s="1">
        <f t="shared" si="53"/>
        <v>1</v>
      </c>
    </row>
    <row r="1141" spans="1:9" hidden="1" x14ac:dyDescent="0.2">
      <c r="A1141" s="6">
        <v>44099.708333333336</v>
      </c>
      <c r="B1141" s="1" t="s">
        <v>77</v>
      </c>
      <c r="C1141">
        <v>189</v>
      </c>
      <c r="D1141">
        <v>18</v>
      </c>
      <c r="E1141">
        <v>4481</v>
      </c>
      <c r="F1141">
        <v>34833</v>
      </c>
      <c r="G1141" s="3">
        <f t="shared" si="51"/>
        <v>122</v>
      </c>
      <c r="H1141" s="4">
        <f t="shared" si="52"/>
        <v>3.5024258605345082E-3</v>
      </c>
      <c r="I1141" s="1">
        <f t="shared" si="53"/>
        <v>1</v>
      </c>
    </row>
    <row r="1142" spans="1:9" hidden="1" x14ac:dyDescent="0.2">
      <c r="A1142" s="6">
        <v>44100.708333333336</v>
      </c>
      <c r="B1142" s="1" t="s">
        <v>77</v>
      </c>
      <c r="C1142">
        <v>200</v>
      </c>
      <c r="D1142">
        <v>17</v>
      </c>
      <c r="E1142">
        <v>4481</v>
      </c>
      <c r="F1142">
        <v>34932</v>
      </c>
      <c r="G1142" s="3">
        <f t="shared" si="51"/>
        <v>99</v>
      </c>
      <c r="H1142" s="4">
        <f t="shared" si="52"/>
        <v>2.834077636550969E-3</v>
      </c>
      <c r="I1142" s="1">
        <f t="shared" si="53"/>
        <v>0</v>
      </c>
    </row>
    <row r="1143" spans="1:9" hidden="1" x14ac:dyDescent="0.2">
      <c r="A1143" s="6">
        <v>44101.708333333336</v>
      </c>
      <c r="B1143" s="1" t="s">
        <v>77</v>
      </c>
      <c r="C1143">
        <v>201</v>
      </c>
      <c r="D1143">
        <v>15</v>
      </c>
      <c r="E1143">
        <v>4482</v>
      </c>
      <c r="F1143">
        <v>35028</v>
      </c>
      <c r="G1143" s="3">
        <f t="shared" si="51"/>
        <v>96</v>
      </c>
      <c r="H1143" s="4">
        <f t="shared" si="52"/>
        <v>2.7406646111681754E-3</v>
      </c>
      <c r="I1143" s="1">
        <f t="shared" si="53"/>
        <v>1</v>
      </c>
    </row>
    <row r="1144" spans="1:9" hidden="1" x14ac:dyDescent="0.2">
      <c r="A1144" s="6">
        <v>44102.708333333336</v>
      </c>
      <c r="B1144" s="1" t="s">
        <v>77</v>
      </c>
      <c r="C1144">
        <v>201</v>
      </c>
      <c r="D1144">
        <v>15</v>
      </c>
      <c r="E1144">
        <v>4482</v>
      </c>
      <c r="F1144">
        <v>35113</v>
      </c>
      <c r="G1144" s="3">
        <f t="shared" si="51"/>
        <v>85</v>
      </c>
      <c r="H1144" s="4">
        <f t="shared" si="52"/>
        <v>2.4207558454133471E-3</v>
      </c>
      <c r="I1144" s="1">
        <f t="shared" si="53"/>
        <v>0</v>
      </c>
    </row>
    <row r="1145" spans="1:9" hidden="1" x14ac:dyDescent="0.2">
      <c r="A1145" s="6">
        <v>44103.708333333336</v>
      </c>
      <c r="B1145" s="1" t="s">
        <v>77</v>
      </c>
      <c r="C1145">
        <v>204</v>
      </c>
      <c r="D1145">
        <v>14</v>
      </c>
      <c r="E1145">
        <v>4484</v>
      </c>
      <c r="F1145">
        <v>35210</v>
      </c>
      <c r="G1145" s="3">
        <f t="shared" si="51"/>
        <v>97</v>
      </c>
      <c r="H1145" s="4">
        <f t="shared" si="52"/>
        <v>2.7548991763703956E-3</v>
      </c>
      <c r="I1145" s="1">
        <f t="shared" si="53"/>
        <v>2</v>
      </c>
    </row>
    <row r="1146" spans="1:9" hidden="1" x14ac:dyDescent="0.2">
      <c r="A1146" s="6">
        <v>44104.708333333336</v>
      </c>
      <c r="B1146" s="1" t="s">
        <v>77</v>
      </c>
      <c r="C1146">
        <v>205</v>
      </c>
      <c r="D1146">
        <v>14</v>
      </c>
      <c r="E1146">
        <v>4484</v>
      </c>
      <c r="F1146">
        <v>35311</v>
      </c>
      <c r="G1146" s="3">
        <f t="shared" si="51"/>
        <v>101</v>
      </c>
      <c r="H1146" s="4">
        <f t="shared" si="52"/>
        <v>2.8602984905553575E-3</v>
      </c>
      <c r="I1146" s="1">
        <f t="shared" si="53"/>
        <v>0</v>
      </c>
    </row>
    <row r="1147" spans="1:9" hidden="1" x14ac:dyDescent="0.2">
      <c r="A1147" s="6">
        <v>44105.708333333336</v>
      </c>
      <c r="B1147" s="1" t="s">
        <v>77</v>
      </c>
      <c r="C1147">
        <v>206</v>
      </c>
      <c r="D1147">
        <v>14</v>
      </c>
      <c r="E1147">
        <v>4484</v>
      </c>
      <c r="F1147">
        <v>35414</v>
      </c>
      <c r="G1147" s="3">
        <f t="shared" si="51"/>
        <v>103</v>
      </c>
      <c r="H1147" s="4">
        <f t="shared" si="52"/>
        <v>2.9084542836166349E-3</v>
      </c>
      <c r="I1147" s="1">
        <f t="shared" si="53"/>
        <v>0</v>
      </c>
    </row>
    <row r="1148" spans="1:9" hidden="1" x14ac:dyDescent="0.2">
      <c r="A1148" s="6">
        <v>44106.708333333336</v>
      </c>
      <c r="B1148" s="1" t="s">
        <v>77</v>
      </c>
      <c r="C1148">
        <v>201</v>
      </c>
      <c r="D1148">
        <v>11</v>
      </c>
      <c r="E1148">
        <v>4484</v>
      </c>
      <c r="F1148">
        <v>35577</v>
      </c>
      <c r="G1148" s="3">
        <f t="shared" si="51"/>
        <v>163</v>
      </c>
      <c r="H1148" s="4">
        <f t="shared" si="52"/>
        <v>4.5816117154341418E-3</v>
      </c>
      <c r="I1148" s="1">
        <f t="shared" si="53"/>
        <v>0</v>
      </c>
    </row>
    <row r="1149" spans="1:9" hidden="1" x14ac:dyDescent="0.2">
      <c r="A1149" s="6">
        <v>44107.708333333336</v>
      </c>
      <c r="B1149" s="1" t="s">
        <v>77</v>
      </c>
      <c r="C1149">
        <v>200</v>
      </c>
      <c r="D1149">
        <v>11</v>
      </c>
      <c r="E1149">
        <v>4485</v>
      </c>
      <c r="F1149">
        <v>35743</v>
      </c>
      <c r="G1149" s="3">
        <f t="shared" si="51"/>
        <v>166</v>
      </c>
      <c r="H1149" s="4">
        <f t="shared" si="52"/>
        <v>4.6442660101279065E-3</v>
      </c>
      <c r="I1149" s="1">
        <f t="shared" si="53"/>
        <v>1</v>
      </c>
    </row>
    <row r="1150" spans="1:9" hidden="1" x14ac:dyDescent="0.2">
      <c r="A1150" s="6">
        <v>44108.708333333336</v>
      </c>
      <c r="B1150" s="1" t="s">
        <v>77</v>
      </c>
      <c r="C1150">
        <v>212</v>
      </c>
      <c r="D1150">
        <v>11</v>
      </c>
      <c r="E1150">
        <v>4486</v>
      </c>
      <c r="F1150">
        <v>35922</v>
      </c>
      <c r="G1150" s="3">
        <f t="shared" si="51"/>
        <v>179</v>
      </c>
      <c r="H1150" s="4">
        <f t="shared" si="52"/>
        <v>4.9830187628751021E-3</v>
      </c>
      <c r="I1150" s="1">
        <f t="shared" si="53"/>
        <v>1</v>
      </c>
    </row>
    <row r="1151" spans="1:9" hidden="1" x14ac:dyDescent="0.2">
      <c r="A1151" s="6">
        <v>44109.708333333336</v>
      </c>
      <c r="B1151" s="1" t="s">
        <v>77</v>
      </c>
      <c r="C1151">
        <v>213</v>
      </c>
      <c r="D1151">
        <v>11</v>
      </c>
      <c r="E1151">
        <v>4487</v>
      </c>
      <c r="F1151">
        <v>36089</v>
      </c>
      <c r="G1151" s="3">
        <f t="shared" si="51"/>
        <v>167</v>
      </c>
      <c r="H1151" s="4">
        <f t="shared" si="52"/>
        <v>4.6274488071157416E-3</v>
      </c>
      <c r="I1151" s="1">
        <f t="shared" si="53"/>
        <v>1</v>
      </c>
    </row>
    <row r="1152" spans="1:9" hidden="1" x14ac:dyDescent="0.2">
      <c r="A1152" s="6">
        <v>44110.708333333336</v>
      </c>
      <c r="B1152" s="1" t="s">
        <v>77</v>
      </c>
      <c r="C1152">
        <v>212</v>
      </c>
      <c r="D1152">
        <v>13</v>
      </c>
      <c r="E1152">
        <v>4490</v>
      </c>
      <c r="F1152">
        <v>36261</v>
      </c>
      <c r="G1152" s="3">
        <f t="shared" si="51"/>
        <v>172</v>
      </c>
      <c r="H1152" s="4">
        <f t="shared" si="52"/>
        <v>4.7433882132318361E-3</v>
      </c>
      <c r="I1152" s="1">
        <f t="shared" si="53"/>
        <v>3</v>
      </c>
    </row>
    <row r="1153" spans="1:9" hidden="1" x14ac:dyDescent="0.2">
      <c r="A1153" s="6">
        <v>44111.708333333336</v>
      </c>
      <c r="B1153" s="1" t="s">
        <v>77</v>
      </c>
      <c r="C1153">
        <v>223</v>
      </c>
      <c r="D1153">
        <v>14</v>
      </c>
      <c r="E1153">
        <v>4491</v>
      </c>
      <c r="F1153">
        <v>36454</v>
      </c>
      <c r="G1153" s="3">
        <f t="shared" si="51"/>
        <v>193</v>
      </c>
      <c r="H1153" s="4">
        <f t="shared" si="52"/>
        <v>5.2943435562626817E-3</v>
      </c>
      <c r="I1153" s="1">
        <f t="shared" si="53"/>
        <v>1</v>
      </c>
    </row>
    <row r="1154" spans="1:9" hidden="1" x14ac:dyDescent="0.2">
      <c r="A1154" s="6">
        <v>44112.708333333336</v>
      </c>
      <c r="B1154" s="1" t="s">
        <v>77</v>
      </c>
      <c r="C1154">
        <v>232</v>
      </c>
      <c r="D1154">
        <v>13</v>
      </c>
      <c r="E1154">
        <v>4492</v>
      </c>
      <c r="F1154">
        <v>36638</v>
      </c>
      <c r="G1154" s="3">
        <f t="shared" si="51"/>
        <v>184</v>
      </c>
      <c r="H1154" s="4">
        <f t="shared" si="52"/>
        <v>5.0221081936786538E-3</v>
      </c>
      <c r="I1154" s="1">
        <f t="shared" si="53"/>
        <v>1</v>
      </c>
    </row>
    <row r="1155" spans="1:9" hidden="1" x14ac:dyDescent="0.2">
      <c r="A1155" s="6">
        <v>44113.708333333336</v>
      </c>
      <c r="B1155" s="1" t="s">
        <v>77</v>
      </c>
      <c r="C1155">
        <v>226</v>
      </c>
      <c r="D1155">
        <v>14</v>
      </c>
      <c r="E1155">
        <v>4493</v>
      </c>
      <c r="F1155">
        <v>36914</v>
      </c>
      <c r="G1155" s="3">
        <f t="shared" ref="G1155:G1218" si="54">IF(AND(F1155&gt;0,AND(B1155=B1154,F1155&gt;0)),F1155-F1154,0)</f>
        <v>276</v>
      </c>
      <c r="H1155" s="4">
        <f t="shared" ref="H1155:H1218" si="55">IF(AND(F1154&gt;0,AND(B1155=B1154,F1154&gt;0)),1-(F1154/F1155),0)</f>
        <v>7.4768380560220615E-3</v>
      </c>
      <c r="I1155" s="1">
        <f t="shared" ref="I1155:I1218" si="56">IF(AND(E1155&gt;0,AND(B1155=B1154,E1155&gt;0)),E1155-E1154,0)</f>
        <v>1</v>
      </c>
    </row>
    <row r="1156" spans="1:9" hidden="1" x14ac:dyDescent="0.2">
      <c r="A1156" s="6">
        <v>44114.708333333336</v>
      </c>
      <c r="B1156" s="1" t="s">
        <v>77</v>
      </c>
      <c r="C1156">
        <v>241</v>
      </c>
      <c r="D1156">
        <v>16</v>
      </c>
      <c r="E1156">
        <v>4494</v>
      </c>
      <c r="F1156">
        <v>37297</v>
      </c>
      <c r="G1156" s="3">
        <f t="shared" si="54"/>
        <v>383</v>
      </c>
      <c r="H1156" s="4">
        <f t="shared" si="55"/>
        <v>1.0268922433439687E-2</v>
      </c>
      <c r="I1156" s="1">
        <f t="shared" si="56"/>
        <v>1</v>
      </c>
    </row>
    <row r="1157" spans="1:9" hidden="1" x14ac:dyDescent="0.2">
      <c r="A1157" s="6">
        <v>44115.708333333336</v>
      </c>
      <c r="B1157" s="1" t="s">
        <v>77</v>
      </c>
      <c r="C1157">
        <v>254</v>
      </c>
      <c r="D1157">
        <v>23</v>
      </c>
      <c r="E1157">
        <v>4495</v>
      </c>
      <c r="F1157">
        <v>37681</v>
      </c>
      <c r="G1157" s="3">
        <f t="shared" si="54"/>
        <v>384</v>
      </c>
      <c r="H1157" s="4">
        <f t="shared" si="55"/>
        <v>1.0190812345744593E-2</v>
      </c>
      <c r="I1157" s="1">
        <f t="shared" si="56"/>
        <v>1</v>
      </c>
    </row>
    <row r="1158" spans="1:9" hidden="1" x14ac:dyDescent="0.2">
      <c r="A1158" s="6">
        <v>43885.75</v>
      </c>
      <c r="B1158" s="1" t="s">
        <v>10</v>
      </c>
      <c r="C1158">
        <v>0</v>
      </c>
      <c r="D1158">
        <v>0</v>
      </c>
      <c r="E1158">
        <v>0</v>
      </c>
      <c r="F1158">
        <v>0</v>
      </c>
      <c r="G1158" s="3">
        <f t="shared" si="54"/>
        <v>0</v>
      </c>
      <c r="H1158" s="4">
        <f t="shared" si="55"/>
        <v>0</v>
      </c>
      <c r="I1158" s="1">
        <f t="shared" si="56"/>
        <v>0</v>
      </c>
    </row>
    <row r="1159" spans="1:9" hidden="1" x14ac:dyDescent="0.2">
      <c r="A1159" s="6">
        <v>43886.75</v>
      </c>
      <c r="B1159" s="1" t="s">
        <v>10</v>
      </c>
      <c r="C1159">
        <v>0</v>
      </c>
      <c r="D1159">
        <v>0</v>
      </c>
      <c r="E1159">
        <v>0</v>
      </c>
      <c r="F1159">
        <v>0</v>
      </c>
      <c r="G1159" s="3">
        <f t="shared" si="54"/>
        <v>0</v>
      </c>
      <c r="H1159" s="4">
        <f t="shared" si="55"/>
        <v>0</v>
      </c>
      <c r="I1159" s="1">
        <f t="shared" si="56"/>
        <v>0</v>
      </c>
    </row>
    <row r="1160" spans="1:9" hidden="1" x14ac:dyDescent="0.2">
      <c r="A1160" s="6">
        <v>43887.75</v>
      </c>
      <c r="B1160" s="1" t="s">
        <v>10</v>
      </c>
      <c r="C1160">
        <v>0</v>
      </c>
      <c r="D1160">
        <v>0</v>
      </c>
      <c r="E1160">
        <v>0</v>
      </c>
      <c r="F1160">
        <v>0</v>
      </c>
      <c r="G1160" s="3">
        <f t="shared" si="54"/>
        <v>0</v>
      </c>
      <c r="H1160" s="4">
        <f t="shared" si="55"/>
        <v>0</v>
      </c>
      <c r="I1160" s="1">
        <f t="shared" si="56"/>
        <v>0</v>
      </c>
    </row>
    <row r="1161" spans="1:9" hidden="1" x14ac:dyDescent="0.2">
      <c r="A1161" s="6">
        <v>43888.75</v>
      </c>
      <c r="B1161" s="1" t="s">
        <v>10</v>
      </c>
      <c r="C1161">
        <v>0</v>
      </c>
      <c r="D1161">
        <v>0</v>
      </c>
      <c r="E1161">
        <v>0</v>
      </c>
      <c r="F1161">
        <v>0</v>
      </c>
      <c r="G1161" s="3">
        <f t="shared" si="54"/>
        <v>0</v>
      </c>
      <c r="H1161" s="4">
        <f t="shared" si="55"/>
        <v>0</v>
      </c>
      <c r="I1161" s="1">
        <f t="shared" si="56"/>
        <v>0</v>
      </c>
    </row>
    <row r="1162" spans="1:9" hidden="1" x14ac:dyDescent="0.2">
      <c r="A1162" s="6">
        <v>43889.75</v>
      </c>
      <c r="B1162" s="1" t="s">
        <v>10</v>
      </c>
      <c r="C1162">
        <v>0</v>
      </c>
      <c r="D1162">
        <v>0</v>
      </c>
      <c r="E1162">
        <v>0</v>
      </c>
      <c r="F1162">
        <v>0</v>
      </c>
      <c r="G1162" s="3">
        <f t="shared" si="54"/>
        <v>0</v>
      </c>
      <c r="H1162" s="4">
        <f t="shared" si="55"/>
        <v>0</v>
      </c>
      <c r="I1162" s="1">
        <f t="shared" si="56"/>
        <v>0</v>
      </c>
    </row>
    <row r="1163" spans="1:9" hidden="1" x14ac:dyDescent="0.2">
      <c r="A1163" s="6">
        <v>43890.708333333336</v>
      </c>
      <c r="B1163" s="1" t="s">
        <v>10</v>
      </c>
      <c r="C1163">
        <v>0</v>
      </c>
      <c r="D1163">
        <v>0</v>
      </c>
      <c r="E1163">
        <v>0</v>
      </c>
      <c r="F1163">
        <v>0</v>
      </c>
      <c r="G1163" s="3">
        <f t="shared" si="54"/>
        <v>0</v>
      </c>
      <c r="H1163" s="4">
        <f t="shared" si="55"/>
        <v>0</v>
      </c>
      <c r="I1163" s="1">
        <f t="shared" si="56"/>
        <v>0</v>
      </c>
    </row>
    <row r="1164" spans="1:9" hidden="1" x14ac:dyDescent="0.2">
      <c r="A1164" s="6">
        <v>43891.708333333336</v>
      </c>
      <c r="B1164" s="1" t="s">
        <v>10</v>
      </c>
      <c r="C1164">
        <v>0</v>
      </c>
      <c r="D1164">
        <v>0</v>
      </c>
      <c r="E1164">
        <v>0</v>
      </c>
      <c r="F1164">
        <v>6</v>
      </c>
      <c r="G1164" s="3">
        <f t="shared" si="54"/>
        <v>6</v>
      </c>
      <c r="H1164" s="4">
        <f t="shared" si="55"/>
        <v>0</v>
      </c>
      <c r="I1164" s="1">
        <f t="shared" si="56"/>
        <v>0</v>
      </c>
    </row>
    <row r="1165" spans="1:9" hidden="1" x14ac:dyDescent="0.2">
      <c r="A1165" s="6">
        <v>43892.75</v>
      </c>
      <c r="B1165" s="1" t="s">
        <v>10</v>
      </c>
      <c r="C1165">
        <v>0</v>
      </c>
      <c r="D1165">
        <v>0</v>
      </c>
      <c r="E1165">
        <v>0</v>
      </c>
      <c r="F1165">
        <v>9</v>
      </c>
      <c r="G1165" s="3">
        <f t="shared" si="54"/>
        <v>3</v>
      </c>
      <c r="H1165" s="4">
        <f t="shared" si="55"/>
        <v>0.33333333333333337</v>
      </c>
      <c r="I1165" s="1">
        <f t="shared" si="56"/>
        <v>0</v>
      </c>
    </row>
    <row r="1166" spans="1:9" hidden="1" x14ac:dyDescent="0.2">
      <c r="A1166" s="6">
        <v>43893.75</v>
      </c>
      <c r="B1166" s="1" t="s">
        <v>10</v>
      </c>
      <c r="C1166">
        <v>1</v>
      </c>
      <c r="D1166">
        <v>0</v>
      </c>
      <c r="E1166">
        <v>0</v>
      </c>
      <c r="F1166">
        <v>13</v>
      </c>
      <c r="G1166" s="3">
        <f t="shared" si="54"/>
        <v>4</v>
      </c>
      <c r="H1166" s="4">
        <f t="shared" si="55"/>
        <v>0.30769230769230771</v>
      </c>
      <c r="I1166" s="1">
        <f t="shared" si="56"/>
        <v>0</v>
      </c>
    </row>
    <row r="1167" spans="1:9" hidden="1" x14ac:dyDescent="0.2">
      <c r="A1167" s="6">
        <v>43894.708333333336</v>
      </c>
      <c r="B1167" s="1" t="s">
        <v>10</v>
      </c>
      <c r="C1167">
        <v>3</v>
      </c>
      <c r="D1167">
        <v>0</v>
      </c>
      <c r="E1167">
        <v>0</v>
      </c>
      <c r="F1167">
        <v>18</v>
      </c>
      <c r="G1167" s="3">
        <f t="shared" si="54"/>
        <v>5</v>
      </c>
      <c r="H1167" s="4">
        <f t="shared" si="55"/>
        <v>0.27777777777777779</v>
      </c>
      <c r="I1167" s="1">
        <f t="shared" si="56"/>
        <v>0</v>
      </c>
    </row>
    <row r="1168" spans="1:9" hidden="1" x14ac:dyDescent="0.2">
      <c r="A1168" s="6">
        <v>43895.708333333336</v>
      </c>
      <c r="B1168" s="1" t="s">
        <v>10</v>
      </c>
      <c r="C1168">
        <v>4</v>
      </c>
      <c r="D1168">
        <v>0</v>
      </c>
      <c r="E1168">
        <v>0</v>
      </c>
      <c r="F1168">
        <v>21</v>
      </c>
      <c r="G1168" s="3">
        <f t="shared" si="54"/>
        <v>3</v>
      </c>
      <c r="H1168" s="4">
        <f t="shared" si="55"/>
        <v>0.1428571428571429</v>
      </c>
      <c r="I1168" s="1">
        <f t="shared" si="56"/>
        <v>0</v>
      </c>
    </row>
    <row r="1169" spans="1:9" hidden="1" x14ac:dyDescent="0.2">
      <c r="A1169" s="6">
        <v>43896.708333333336</v>
      </c>
      <c r="B1169" s="1" t="s">
        <v>10</v>
      </c>
      <c r="C1169">
        <v>4</v>
      </c>
      <c r="D1169">
        <v>0</v>
      </c>
      <c r="E1169">
        <v>0</v>
      </c>
      <c r="F1169">
        <v>31</v>
      </c>
      <c r="G1169" s="3">
        <f t="shared" si="54"/>
        <v>10</v>
      </c>
      <c r="H1169" s="4">
        <f t="shared" si="55"/>
        <v>0.32258064516129037</v>
      </c>
      <c r="I1169" s="1">
        <f t="shared" si="56"/>
        <v>0</v>
      </c>
    </row>
    <row r="1170" spans="1:9" hidden="1" x14ac:dyDescent="0.2">
      <c r="A1170" s="6">
        <v>43897.75</v>
      </c>
      <c r="B1170" s="1" t="s">
        <v>10</v>
      </c>
      <c r="C1170">
        <v>7</v>
      </c>
      <c r="D1170">
        <v>1</v>
      </c>
      <c r="E1170">
        <v>0</v>
      </c>
      <c r="F1170">
        <v>42</v>
      </c>
      <c r="G1170" s="3">
        <f t="shared" si="54"/>
        <v>11</v>
      </c>
      <c r="H1170" s="4">
        <f t="shared" si="55"/>
        <v>0.26190476190476186</v>
      </c>
      <c r="I1170" s="1">
        <f t="shared" si="56"/>
        <v>0</v>
      </c>
    </row>
    <row r="1171" spans="1:9" hidden="1" x14ac:dyDescent="0.2">
      <c r="A1171" s="6">
        <v>43898.75</v>
      </c>
      <c r="B1171" s="1" t="s">
        <v>10</v>
      </c>
      <c r="C1171">
        <v>7</v>
      </c>
      <c r="D1171">
        <v>1</v>
      </c>
      <c r="E1171">
        <v>1</v>
      </c>
      <c r="F1171">
        <v>57</v>
      </c>
      <c r="G1171" s="3">
        <f t="shared" si="54"/>
        <v>15</v>
      </c>
      <c r="H1171" s="4">
        <f t="shared" si="55"/>
        <v>0.26315789473684215</v>
      </c>
      <c r="I1171" s="1">
        <f t="shared" si="56"/>
        <v>1</v>
      </c>
    </row>
    <row r="1172" spans="1:9" hidden="1" x14ac:dyDescent="0.2">
      <c r="A1172" s="6">
        <v>43899.75</v>
      </c>
      <c r="B1172" s="1" t="s">
        <v>10</v>
      </c>
      <c r="C1172">
        <v>18</v>
      </c>
      <c r="D1172">
        <v>1</v>
      </c>
      <c r="E1172">
        <v>1</v>
      </c>
      <c r="F1172">
        <v>93</v>
      </c>
      <c r="G1172" s="3">
        <f t="shared" si="54"/>
        <v>36</v>
      </c>
      <c r="H1172" s="4">
        <f t="shared" si="55"/>
        <v>0.38709677419354838</v>
      </c>
      <c r="I1172" s="1">
        <f t="shared" si="56"/>
        <v>0</v>
      </c>
    </row>
    <row r="1173" spans="1:9" hidden="1" x14ac:dyDescent="0.2">
      <c r="A1173" s="6">
        <v>43900.75</v>
      </c>
      <c r="B1173" s="1" t="s">
        <v>10</v>
      </c>
      <c r="C1173">
        <v>27</v>
      </c>
      <c r="D1173">
        <v>6</v>
      </c>
      <c r="E1173">
        <v>3</v>
      </c>
      <c r="F1173">
        <v>116</v>
      </c>
      <c r="G1173" s="3">
        <f t="shared" si="54"/>
        <v>23</v>
      </c>
      <c r="H1173" s="4">
        <f t="shared" si="55"/>
        <v>0.19827586206896552</v>
      </c>
      <c r="I1173" s="1">
        <f t="shared" si="56"/>
        <v>2</v>
      </c>
    </row>
    <row r="1174" spans="1:9" hidden="1" x14ac:dyDescent="0.2">
      <c r="A1174" s="6">
        <v>43901.708333333336</v>
      </c>
      <c r="B1174" s="1" t="s">
        <v>10</v>
      </c>
      <c r="C1174">
        <v>16</v>
      </c>
      <c r="D1174">
        <v>5</v>
      </c>
      <c r="E1174">
        <v>6</v>
      </c>
      <c r="F1174">
        <v>126</v>
      </c>
      <c r="G1174" s="3">
        <f t="shared" si="54"/>
        <v>10</v>
      </c>
      <c r="H1174" s="4">
        <f t="shared" si="55"/>
        <v>7.9365079365079416E-2</v>
      </c>
      <c r="I1174" s="1">
        <f t="shared" si="56"/>
        <v>3</v>
      </c>
    </row>
    <row r="1175" spans="1:9" hidden="1" x14ac:dyDescent="0.2">
      <c r="A1175" s="6">
        <v>43902.708333333336</v>
      </c>
      <c r="B1175" s="1" t="s">
        <v>10</v>
      </c>
      <c r="C1175">
        <v>23</v>
      </c>
      <c r="D1175">
        <v>10</v>
      </c>
      <c r="E1175">
        <v>8</v>
      </c>
      <c r="F1175">
        <v>167</v>
      </c>
      <c r="G1175" s="3">
        <f t="shared" si="54"/>
        <v>41</v>
      </c>
      <c r="H1175" s="4">
        <f t="shared" si="55"/>
        <v>0.24550898203592819</v>
      </c>
      <c r="I1175" s="1">
        <f t="shared" si="56"/>
        <v>2</v>
      </c>
    </row>
    <row r="1176" spans="1:9" hidden="1" x14ac:dyDescent="0.2">
      <c r="A1176" s="6">
        <v>43903.708333333336</v>
      </c>
      <c r="B1176" s="1" t="s">
        <v>10</v>
      </c>
      <c r="C1176">
        <v>59</v>
      </c>
      <c r="D1176">
        <v>8</v>
      </c>
      <c r="E1176">
        <v>10</v>
      </c>
      <c r="F1176">
        <v>257</v>
      </c>
      <c r="G1176" s="3">
        <f t="shared" si="54"/>
        <v>90</v>
      </c>
      <c r="H1176" s="4">
        <f t="shared" si="55"/>
        <v>0.35019455252918286</v>
      </c>
      <c r="I1176" s="1">
        <f t="shared" si="56"/>
        <v>2</v>
      </c>
    </row>
    <row r="1177" spans="1:9" hidden="1" x14ac:dyDescent="0.2">
      <c r="A1177" s="6">
        <v>43904.708333333336</v>
      </c>
      <c r="B1177" s="1" t="s">
        <v>10</v>
      </c>
      <c r="C1177">
        <v>67</v>
      </c>
      <c r="D1177">
        <v>11</v>
      </c>
      <c r="E1177">
        <v>13</v>
      </c>
      <c r="F1177">
        <v>301</v>
      </c>
      <c r="G1177" s="3">
        <f t="shared" si="54"/>
        <v>44</v>
      </c>
      <c r="H1177" s="4">
        <f t="shared" si="55"/>
        <v>0.14617940199335544</v>
      </c>
      <c r="I1177" s="1">
        <f t="shared" si="56"/>
        <v>3</v>
      </c>
    </row>
    <row r="1178" spans="1:9" hidden="1" x14ac:dyDescent="0.2">
      <c r="A1178" s="6">
        <v>43905.708333333336</v>
      </c>
      <c r="B1178" s="1" t="s">
        <v>10</v>
      </c>
      <c r="C1178">
        <v>98</v>
      </c>
      <c r="D1178">
        <v>12</v>
      </c>
      <c r="E1178">
        <v>14</v>
      </c>
      <c r="F1178">
        <v>347</v>
      </c>
      <c r="G1178" s="3">
        <f t="shared" si="54"/>
        <v>46</v>
      </c>
      <c r="H1178" s="4">
        <f t="shared" si="55"/>
        <v>0.13256484149855907</v>
      </c>
      <c r="I1178" s="1">
        <f t="shared" si="56"/>
        <v>1</v>
      </c>
    </row>
    <row r="1179" spans="1:9" hidden="1" x14ac:dyDescent="0.2">
      <c r="A1179" s="6">
        <v>43906.708333333336</v>
      </c>
      <c r="B1179" s="1" t="s">
        <v>10</v>
      </c>
      <c r="C1179">
        <v>96</v>
      </c>
      <c r="D1179">
        <v>19</v>
      </c>
      <c r="E1179">
        <v>22</v>
      </c>
      <c r="F1179">
        <v>386</v>
      </c>
      <c r="G1179" s="3">
        <f t="shared" si="54"/>
        <v>39</v>
      </c>
      <c r="H1179" s="4">
        <f t="shared" si="55"/>
        <v>0.10103626943005184</v>
      </c>
      <c r="I1179" s="1">
        <f t="shared" si="56"/>
        <v>8</v>
      </c>
    </row>
    <row r="1180" spans="1:9" hidden="1" x14ac:dyDescent="0.2">
      <c r="A1180" s="6">
        <v>43907.708333333336</v>
      </c>
      <c r="B1180" s="1" t="s">
        <v>10</v>
      </c>
      <c r="C1180">
        <v>104</v>
      </c>
      <c r="D1180">
        <v>21</v>
      </c>
      <c r="E1180">
        <v>30</v>
      </c>
      <c r="F1180">
        <v>394</v>
      </c>
      <c r="G1180" s="3">
        <f t="shared" si="54"/>
        <v>8</v>
      </c>
      <c r="H1180" s="4">
        <f t="shared" si="55"/>
        <v>2.0304568527918732E-2</v>
      </c>
      <c r="I1180" s="1">
        <f t="shared" si="56"/>
        <v>8</v>
      </c>
    </row>
    <row r="1181" spans="1:9" hidden="1" x14ac:dyDescent="0.2">
      <c r="A1181" s="6">
        <v>43908.708333333336</v>
      </c>
      <c r="B1181" s="1" t="s">
        <v>10</v>
      </c>
      <c r="C1181">
        <v>128</v>
      </c>
      <c r="D1181">
        <v>27</v>
      </c>
      <c r="E1181">
        <v>31</v>
      </c>
      <c r="F1181">
        <v>462</v>
      </c>
      <c r="G1181" s="3">
        <f t="shared" si="54"/>
        <v>68</v>
      </c>
      <c r="H1181" s="4">
        <f t="shared" si="55"/>
        <v>0.1471861471861472</v>
      </c>
      <c r="I1181" s="1">
        <f t="shared" si="56"/>
        <v>1</v>
      </c>
    </row>
    <row r="1182" spans="1:9" hidden="1" x14ac:dyDescent="0.2">
      <c r="A1182" s="6">
        <v>43909.708333333336</v>
      </c>
      <c r="B1182" s="1" t="s">
        <v>10</v>
      </c>
      <c r="C1182">
        <v>134</v>
      </c>
      <c r="D1182">
        <v>29</v>
      </c>
      <c r="E1182">
        <v>36</v>
      </c>
      <c r="F1182">
        <v>599</v>
      </c>
      <c r="G1182" s="3">
        <f t="shared" si="54"/>
        <v>137</v>
      </c>
      <c r="H1182" s="4">
        <f t="shared" si="55"/>
        <v>0.22871452420701166</v>
      </c>
      <c r="I1182" s="1">
        <f t="shared" si="56"/>
        <v>5</v>
      </c>
    </row>
    <row r="1183" spans="1:9" hidden="1" x14ac:dyDescent="0.2">
      <c r="A1183" s="6">
        <v>43910.708333333336</v>
      </c>
      <c r="B1183" s="1" t="s">
        <v>10</v>
      </c>
      <c r="C1183">
        <v>143</v>
      </c>
      <c r="D1183">
        <v>32</v>
      </c>
      <c r="E1183">
        <v>38</v>
      </c>
      <c r="F1183">
        <v>656</v>
      </c>
      <c r="G1183" s="3">
        <f t="shared" si="54"/>
        <v>57</v>
      </c>
      <c r="H1183" s="4">
        <f t="shared" si="55"/>
        <v>8.6890243902439046E-2</v>
      </c>
      <c r="I1183" s="1">
        <f t="shared" si="56"/>
        <v>2</v>
      </c>
    </row>
    <row r="1184" spans="1:9" hidden="1" x14ac:dyDescent="0.2">
      <c r="A1184" s="6">
        <v>43911.708333333336</v>
      </c>
      <c r="B1184" s="1" t="s">
        <v>10</v>
      </c>
      <c r="C1184">
        <v>152</v>
      </c>
      <c r="D1184">
        <v>37</v>
      </c>
      <c r="E1184">
        <v>42</v>
      </c>
      <c r="F1184">
        <v>790</v>
      </c>
      <c r="G1184" s="3">
        <f t="shared" si="54"/>
        <v>134</v>
      </c>
      <c r="H1184" s="4">
        <f t="shared" si="55"/>
        <v>0.16962025316455698</v>
      </c>
      <c r="I1184" s="1">
        <f t="shared" si="56"/>
        <v>4</v>
      </c>
    </row>
    <row r="1185" spans="1:9" hidden="1" x14ac:dyDescent="0.2">
      <c r="A1185" s="6">
        <v>43912.708333333336</v>
      </c>
      <c r="B1185" s="1" t="s">
        <v>10</v>
      </c>
      <c r="C1185">
        <v>163</v>
      </c>
      <c r="D1185">
        <v>47</v>
      </c>
      <c r="E1185">
        <v>47</v>
      </c>
      <c r="F1185">
        <v>874</v>
      </c>
      <c r="G1185" s="3">
        <f t="shared" si="54"/>
        <v>84</v>
      </c>
      <c r="H1185" s="4">
        <f t="shared" si="55"/>
        <v>9.6109839816933662E-2</v>
      </c>
      <c r="I1185" s="1">
        <f t="shared" si="56"/>
        <v>5</v>
      </c>
    </row>
    <row r="1186" spans="1:9" hidden="1" x14ac:dyDescent="0.2">
      <c r="A1186" s="6">
        <v>43913.708333333336</v>
      </c>
      <c r="B1186" s="1" t="s">
        <v>10</v>
      </c>
      <c r="C1186">
        <v>185</v>
      </c>
      <c r="D1186">
        <v>41</v>
      </c>
      <c r="E1186">
        <v>54</v>
      </c>
      <c r="F1186">
        <v>930</v>
      </c>
      <c r="G1186" s="3">
        <f t="shared" si="54"/>
        <v>56</v>
      </c>
      <c r="H1186" s="4">
        <f t="shared" si="55"/>
        <v>6.0215053763440829E-2</v>
      </c>
      <c r="I1186" s="1">
        <f t="shared" si="56"/>
        <v>7</v>
      </c>
    </row>
    <row r="1187" spans="1:9" hidden="1" x14ac:dyDescent="0.2">
      <c r="A1187" s="6">
        <v>43914.708333333336</v>
      </c>
      <c r="B1187" s="1" t="s">
        <v>10</v>
      </c>
      <c r="C1187">
        <v>195</v>
      </c>
      <c r="D1187">
        <v>49</v>
      </c>
      <c r="E1187">
        <v>64</v>
      </c>
      <c r="F1187">
        <v>992</v>
      </c>
      <c r="G1187" s="3">
        <f t="shared" si="54"/>
        <v>62</v>
      </c>
      <c r="H1187" s="4">
        <f t="shared" si="55"/>
        <v>6.25E-2</v>
      </c>
      <c r="I1187" s="1">
        <f t="shared" si="56"/>
        <v>10</v>
      </c>
    </row>
    <row r="1188" spans="1:9" hidden="1" x14ac:dyDescent="0.2">
      <c r="A1188" s="6">
        <v>43915.708333333336</v>
      </c>
      <c r="B1188" s="1" t="s">
        <v>10</v>
      </c>
      <c r="C1188">
        <v>200</v>
      </c>
      <c r="D1188">
        <v>52</v>
      </c>
      <c r="E1188">
        <v>70</v>
      </c>
      <c r="F1188">
        <v>1139</v>
      </c>
      <c r="G1188" s="3">
        <f t="shared" si="54"/>
        <v>147</v>
      </c>
      <c r="H1188" s="4">
        <f t="shared" si="55"/>
        <v>0.12906057945566285</v>
      </c>
      <c r="I1188" s="1">
        <f t="shared" si="56"/>
        <v>6</v>
      </c>
    </row>
    <row r="1189" spans="1:9" hidden="1" x14ac:dyDescent="0.2">
      <c r="A1189" s="6">
        <v>43916.708333333336</v>
      </c>
      <c r="B1189" s="1" t="s">
        <v>10</v>
      </c>
      <c r="C1189">
        <v>212</v>
      </c>
      <c r="D1189">
        <v>54</v>
      </c>
      <c r="E1189">
        <v>72</v>
      </c>
      <c r="F1189">
        <v>1223</v>
      </c>
      <c r="G1189" s="3">
        <f t="shared" si="54"/>
        <v>84</v>
      </c>
      <c r="H1189" s="4">
        <f t="shared" si="55"/>
        <v>6.8683565004088343E-2</v>
      </c>
      <c r="I1189" s="1">
        <f t="shared" si="56"/>
        <v>2</v>
      </c>
    </row>
    <row r="1190" spans="1:9" hidden="1" x14ac:dyDescent="0.2">
      <c r="A1190" s="6">
        <v>43917.708333333336</v>
      </c>
      <c r="B1190" s="1" t="s">
        <v>10</v>
      </c>
      <c r="C1190">
        <v>222</v>
      </c>
      <c r="D1190">
        <v>57</v>
      </c>
      <c r="E1190">
        <v>76</v>
      </c>
      <c r="F1190">
        <v>1317</v>
      </c>
      <c r="G1190" s="3">
        <f t="shared" si="54"/>
        <v>94</v>
      </c>
      <c r="H1190" s="4">
        <f t="shared" si="55"/>
        <v>7.1374335611237627E-2</v>
      </c>
      <c r="I1190" s="1">
        <f t="shared" si="56"/>
        <v>4</v>
      </c>
    </row>
    <row r="1191" spans="1:9" hidden="1" x14ac:dyDescent="0.2">
      <c r="A1191" s="6">
        <v>43918.708333333336</v>
      </c>
      <c r="B1191" s="1" t="s">
        <v>10</v>
      </c>
      <c r="C1191">
        <v>223</v>
      </c>
      <c r="D1191">
        <v>59</v>
      </c>
      <c r="E1191">
        <v>87</v>
      </c>
      <c r="F1191">
        <v>1436</v>
      </c>
      <c r="G1191" s="3">
        <f t="shared" si="54"/>
        <v>119</v>
      </c>
      <c r="H1191" s="4">
        <f t="shared" si="55"/>
        <v>8.286908077994426E-2</v>
      </c>
      <c r="I1191" s="1">
        <f t="shared" si="56"/>
        <v>11</v>
      </c>
    </row>
    <row r="1192" spans="1:9" hidden="1" x14ac:dyDescent="0.2">
      <c r="A1192" s="6">
        <v>43919.708333333336</v>
      </c>
      <c r="B1192" s="1" t="s">
        <v>10</v>
      </c>
      <c r="C1192">
        <v>236</v>
      </c>
      <c r="D1192">
        <v>60</v>
      </c>
      <c r="E1192">
        <v>98</v>
      </c>
      <c r="F1192">
        <v>1480</v>
      </c>
      <c r="G1192" s="3">
        <f t="shared" si="54"/>
        <v>44</v>
      </c>
      <c r="H1192" s="4">
        <f t="shared" si="55"/>
        <v>2.9729729729729759E-2</v>
      </c>
      <c r="I1192" s="1">
        <f t="shared" si="56"/>
        <v>11</v>
      </c>
    </row>
    <row r="1193" spans="1:9" hidden="1" x14ac:dyDescent="0.2">
      <c r="A1193" s="6">
        <v>43920.708333333336</v>
      </c>
      <c r="B1193" s="1" t="s">
        <v>10</v>
      </c>
      <c r="C1193">
        <v>229</v>
      </c>
      <c r="D1193">
        <v>60</v>
      </c>
      <c r="E1193">
        <v>107</v>
      </c>
      <c r="F1193">
        <v>1501</v>
      </c>
      <c r="G1193" s="3">
        <f t="shared" si="54"/>
        <v>21</v>
      </c>
      <c r="H1193" s="4">
        <f t="shared" si="55"/>
        <v>1.3990672884743538E-2</v>
      </c>
      <c r="I1193" s="1">
        <f t="shared" si="56"/>
        <v>9</v>
      </c>
    </row>
    <row r="1194" spans="1:9" hidden="1" x14ac:dyDescent="0.2">
      <c r="A1194" s="6">
        <v>43921.708333333336</v>
      </c>
      <c r="B1194" s="1" t="s">
        <v>10</v>
      </c>
      <c r="C1194">
        <v>215</v>
      </c>
      <c r="D1194">
        <v>60</v>
      </c>
      <c r="E1194">
        <v>113</v>
      </c>
      <c r="F1194">
        <v>1593</v>
      </c>
      <c r="G1194" s="3">
        <f t="shared" si="54"/>
        <v>92</v>
      </c>
      <c r="H1194" s="4">
        <f t="shared" si="55"/>
        <v>5.7752667922159495E-2</v>
      </c>
      <c r="I1194" s="1">
        <f t="shared" si="56"/>
        <v>6</v>
      </c>
    </row>
    <row r="1195" spans="1:9" hidden="1" x14ac:dyDescent="0.2">
      <c r="A1195" s="6">
        <v>43922.708333333336</v>
      </c>
      <c r="B1195" s="1" t="s">
        <v>10</v>
      </c>
      <c r="C1195">
        <v>206</v>
      </c>
      <c r="D1195">
        <v>60</v>
      </c>
      <c r="E1195">
        <v>122</v>
      </c>
      <c r="F1195">
        <v>1685</v>
      </c>
      <c r="G1195" s="3">
        <f t="shared" si="54"/>
        <v>92</v>
      </c>
      <c r="H1195" s="4">
        <f t="shared" si="55"/>
        <v>5.4599406528189953E-2</v>
      </c>
      <c r="I1195" s="1">
        <f t="shared" si="56"/>
        <v>9</v>
      </c>
    </row>
    <row r="1196" spans="1:9" hidden="1" x14ac:dyDescent="0.2">
      <c r="A1196" s="6">
        <v>43923.708333333336</v>
      </c>
      <c r="B1196" s="1" t="s">
        <v>10</v>
      </c>
      <c r="C1196">
        <v>199</v>
      </c>
      <c r="D1196">
        <v>60</v>
      </c>
      <c r="E1196">
        <v>129</v>
      </c>
      <c r="F1196">
        <v>1799</v>
      </c>
      <c r="G1196" s="3">
        <f t="shared" si="54"/>
        <v>114</v>
      </c>
      <c r="H1196" s="4">
        <f t="shared" si="55"/>
        <v>6.336853807670928E-2</v>
      </c>
      <c r="I1196" s="1">
        <f t="shared" si="56"/>
        <v>7</v>
      </c>
    </row>
    <row r="1197" spans="1:9" hidden="1" x14ac:dyDescent="0.2">
      <c r="A1197" s="6">
        <v>43924.708333333336</v>
      </c>
      <c r="B1197" s="1" t="s">
        <v>10</v>
      </c>
      <c r="C1197">
        <v>201</v>
      </c>
      <c r="D1197">
        <v>61</v>
      </c>
      <c r="E1197">
        <v>136</v>
      </c>
      <c r="F1197">
        <v>1879</v>
      </c>
      <c r="G1197" s="3">
        <f t="shared" si="54"/>
        <v>80</v>
      </c>
      <c r="H1197" s="4">
        <f t="shared" si="55"/>
        <v>4.2575838211814765E-2</v>
      </c>
      <c r="I1197" s="1">
        <f t="shared" si="56"/>
        <v>7</v>
      </c>
    </row>
    <row r="1198" spans="1:9" hidden="1" x14ac:dyDescent="0.2">
      <c r="A1198" s="6">
        <v>43925.708333333336</v>
      </c>
      <c r="B1198" s="1" t="s">
        <v>10</v>
      </c>
      <c r="C1198">
        <v>183</v>
      </c>
      <c r="D1198">
        <v>50</v>
      </c>
      <c r="E1198">
        <v>145</v>
      </c>
      <c r="F1198">
        <v>1986</v>
      </c>
      <c r="G1198" s="3">
        <f t="shared" si="54"/>
        <v>107</v>
      </c>
      <c r="H1198" s="4">
        <f t="shared" si="55"/>
        <v>5.387713997985899E-2</v>
      </c>
      <c r="I1198" s="1">
        <f t="shared" si="56"/>
        <v>9</v>
      </c>
    </row>
    <row r="1199" spans="1:9" hidden="1" x14ac:dyDescent="0.2">
      <c r="A1199" s="6">
        <v>43926.708333333336</v>
      </c>
      <c r="B1199" s="1" t="s">
        <v>10</v>
      </c>
      <c r="C1199">
        <v>185</v>
      </c>
      <c r="D1199">
        <v>50</v>
      </c>
      <c r="E1199">
        <v>154</v>
      </c>
      <c r="F1199">
        <v>2048</v>
      </c>
      <c r="G1199" s="3">
        <f t="shared" si="54"/>
        <v>62</v>
      </c>
      <c r="H1199" s="4">
        <f t="shared" si="55"/>
        <v>3.02734375E-2</v>
      </c>
      <c r="I1199" s="1">
        <f t="shared" si="56"/>
        <v>9</v>
      </c>
    </row>
    <row r="1200" spans="1:9" hidden="1" x14ac:dyDescent="0.2">
      <c r="A1200" s="6">
        <v>43927.708333333336</v>
      </c>
      <c r="B1200" s="1" t="s">
        <v>10</v>
      </c>
      <c r="C1200">
        <v>189</v>
      </c>
      <c r="D1200">
        <v>46</v>
      </c>
      <c r="E1200">
        <v>158</v>
      </c>
      <c r="F1200">
        <v>2103</v>
      </c>
      <c r="G1200" s="3">
        <f t="shared" si="54"/>
        <v>55</v>
      </c>
      <c r="H1200" s="4">
        <f t="shared" si="55"/>
        <v>2.6153114598193028E-2</v>
      </c>
      <c r="I1200" s="1">
        <f t="shared" si="56"/>
        <v>4</v>
      </c>
    </row>
    <row r="1201" spans="1:9" hidden="1" x14ac:dyDescent="0.2">
      <c r="A1201" s="6">
        <v>43928.708333333336</v>
      </c>
      <c r="B1201" s="1" t="s">
        <v>10</v>
      </c>
      <c r="C1201">
        <v>185</v>
      </c>
      <c r="D1201">
        <v>44</v>
      </c>
      <c r="E1201">
        <v>164</v>
      </c>
      <c r="F1201">
        <v>2153</v>
      </c>
      <c r="G1201" s="3">
        <f t="shared" si="54"/>
        <v>50</v>
      </c>
      <c r="H1201" s="4">
        <f t="shared" si="55"/>
        <v>2.3223409196470035E-2</v>
      </c>
      <c r="I1201" s="1">
        <f t="shared" si="56"/>
        <v>6</v>
      </c>
    </row>
    <row r="1202" spans="1:9" hidden="1" x14ac:dyDescent="0.2">
      <c r="A1202" s="6">
        <v>43929.708333333336</v>
      </c>
      <c r="B1202" s="1" t="s">
        <v>10</v>
      </c>
      <c r="C1202">
        <v>162</v>
      </c>
      <c r="D1202">
        <v>41</v>
      </c>
      <c r="E1202">
        <v>169</v>
      </c>
      <c r="F1202">
        <v>2218</v>
      </c>
      <c r="G1202" s="3">
        <f t="shared" si="54"/>
        <v>65</v>
      </c>
      <c r="H1202" s="4">
        <f t="shared" si="55"/>
        <v>2.9305680793507705E-2</v>
      </c>
      <c r="I1202" s="1">
        <f t="shared" si="56"/>
        <v>5</v>
      </c>
    </row>
    <row r="1203" spans="1:9" hidden="1" x14ac:dyDescent="0.2">
      <c r="A1203" s="6">
        <v>43930.708333333336</v>
      </c>
      <c r="B1203" s="1" t="s">
        <v>10</v>
      </c>
      <c r="C1203">
        <v>167</v>
      </c>
      <c r="D1203">
        <v>37</v>
      </c>
      <c r="E1203">
        <v>171</v>
      </c>
      <c r="F1203">
        <v>2299</v>
      </c>
      <c r="G1203" s="3">
        <f t="shared" si="54"/>
        <v>81</v>
      </c>
      <c r="H1203" s="4">
        <f t="shared" si="55"/>
        <v>3.5232709873858181E-2</v>
      </c>
      <c r="I1203" s="1">
        <f t="shared" si="56"/>
        <v>2</v>
      </c>
    </row>
    <row r="1204" spans="1:9" hidden="1" x14ac:dyDescent="0.2">
      <c r="A1204" s="6">
        <v>43931.708333333336</v>
      </c>
      <c r="B1204" s="1" t="s">
        <v>10</v>
      </c>
      <c r="C1204">
        <v>167</v>
      </c>
      <c r="D1204">
        <v>33</v>
      </c>
      <c r="E1204">
        <v>179</v>
      </c>
      <c r="F1204">
        <v>2349</v>
      </c>
      <c r="G1204" s="3">
        <f t="shared" si="54"/>
        <v>50</v>
      </c>
      <c r="H1204" s="4">
        <f t="shared" si="55"/>
        <v>2.1285653469561461E-2</v>
      </c>
      <c r="I1204" s="1">
        <f t="shared" si="56"/>
        <v>8</v>
      </c>
    </row>
    <row r="1205" spans="1:9" hidden="1" x14ac:dyDescent="0.2">
      <c r="A1205" s="6">
        <v>43932.708333333336</v>
      </c>
      <c r="B1205" s="1" t="s">
        <v>10</v>
      </c>
      <c r="C1205">
        <v>172</v>
      </c>
      <c r="D1205">
        <v>28</v>
      </c>
      <c r="E1205">
        <v>185</v>
      </c>
      <c r="F1205">
        <v>2393</v>
      </c>
      <c r="G1205" s="3">
        <f t="shared" si="54"/>
        <v>44</v>
      </c>
      <c r="H1205" s="4">
        <f t="shared" si="55"/>
        <v>1.8386961972419513E-2</v>
      </c>
      <c r="I1205" s="1">
        <f t="shared" si="56"/>
        <v>6</v>
      </c>
    </row>
    <row r="1206" spans="1:9" hidden="1" x14ac:dyDescent="0.2">
      <c r="A1206" s="6">
        <v>43933.708333333336</v>
      </c>
      <c r="B1206" s="1" t="s">
        <v>10</v>
      </c>
      <c r="C1206">
        <v>160</v>
      </c>
      <c r="D1206">
        <v>28</v>
      </c>
      <c r="E1206">
        <v>195</v>
      </c>
      <c r="F1206">
        <v>2431</v>
      </c>
      <c r="G1206" s="3">
        <f t="shared" si="54"/>
        <v>38</v>
      </c>
      <c r="H1206" s="4">
        <f t="shared" si="55"/>
        <v>1.5631427396133324E-2</v>
      </c>
      <c r="I1206" s="1">
        <f t="shared" si="56"/>
        <v>10</v>
      </c>
    </row>
    <row r="1207" spans="1:9" hidden="1" x14ac:dyDescent="0.2">
      <c r="A1207" s="6">
        <v>43934.708333333336</v>
      </c>
      <c r="B1207" s="1" t="s">
        <v>10</v>
      </c>
      <c r="C1207">
        <v>159</v>
      </c>
      <c r="D1207">
        <v>30</v>
      </c>
      <c r="E1207">
        <v>202</v>
      </c>
      <c r="F1207">
        <v>2482</v>
      </c>
      <c r="G1207" s="3">
        <f t="shared" si="54"/>
        <v>51</v>
      </c>
      <c r="H1207" s="4">
        <f t="shared" si="55"/>
        <v>2.0547945205479423E-2</v>
      </c>
      <c r="I1207" s="1">
        <f t="shared" si="56"/>
        <v>7</v>
      </c>
    </row>
    <row r="1208" spans="1:9" hidden="1" x14ac:dyDescent="0.2">
      <c r="A1208" s="6">
        <v>43935.708333333336</v>
      </c>
      <c r="B1208" s="1" t="s">
        <v>10</v>
      </c>
      <c r="C1208">
        <v>166</v>
      </c>
      <c r="D1208">
        <v>28</v>
      </c>
      <c r="E1208">
        <v>206</v>
      </c>
      <c r="F1208">
        <v>2520</v>
      </c>
      <c r="G1208" s="3">
        <f t="shared" si="54"/>
        <v>38</v>
      </c>
      <c r="H1208" s="4">
        <f t="shared" si="55"/>
        <v>1.5079365079365026E-2</v>
      </c>
      <c r="I1208" s="1">
        <f t="shared" si="56"/>
        <v>4</v>
      </c>
    </row>
    <row r="1209" spans="1:9" hidden="1" x14ac:dyDescent="0.2">
      <c r="A1209" s="6">
        <v>43936.708333333336</v>
      </c>
      <c r="B1209" s="1" t="s">
        <v>10</v>
      </c>
      <c r="C1209">
        <v>163</v>
      </c>
      <c r="D1209">
        <v>24</v>
      </c>
      <c r="E1209">
        <v>212</v>
      </c>
      <c r="F1209">
        <v>2544</v>
      </c>
      <c r="G1209" s="3">
        <f t="shared" si="54"/>
        <v>24</v>
      </c>
      <c r="H1209" s="4">
        <f t="shared" si="55"/>
        <v>9.4339622641509413E-3</v>
      </c>
      <c r="I1209" s="1">
        <f t="shared" si="56"/>
        <v>6</v>
      </c>
    </row>
    <row r="1210" spans="1:9" hidden="1" x14ac:dyDescent="0.2">
      <c r="A1210" s="6">
        <v>43937.708333333336</v>
      </c>
      <c r="B1210" s="1" t="s">
        <v>10</v>
      </c>
      <c r="C1210">
        <v>159</v>
      </c>
      <c r="D1210">
        <v>26</v>
      </c>
      <c r="E1210">
        <v>217</v>
      </c>
      <c r="F1210">
        <v>2616</v>
      </c>
      <c r="G1210" s="3">
        <f t="shared" si="54"/>
        <v>72</v>
      </c>
      <c r="H1210" s="4">
        <f t="shared" si="55"/>
        <v>2.752293577981646E-2</v>
      </c>
      <c r="I1210" s="1">
        <f t="shared" si="56"/>
        <v>5</v>
      </c>
    </row>
    <row r="1211" spans="1:9" hidden="1" x14ac:dyDescent="0.2">
      <c r="A1211" s="6">
        <v>43938.708333333336</v>
      </c>
      <c r="B1211" s="1" t="s">
        <v>10</v>
      </c>
      <c r="C1211">
        <v>148</v>
      </c>
      <c r="D1211">
        <v>23</v>
      </c>
      <c r="E1211">
        <v>220</v>
      </c>
      <c r="F1211">
        <v>2675</v>
      </c>
      <c r="G1211" s="3">
        <f t="shared" si="54"/>
        <v>59</v>
      </c>
      <c r="H1211" s="4">
        <f t="shared" si="55"/>
        <v>2.2056074766355183E-2</v>
      </c>
      <c r="I1211" s="1">
        <f t="shared" si="56"/>
        <v>3</v>
      </c>
    </row>
    <row r="1212" spans="1:9" hidden="1" x14ac:dyDescent="0.2">
      <c r="A1212" s="6">
        <v>43939.708333333336</v>
      </c>
      <c r="B1212" s="1" t="s">
        <v>10</v>
      </c>
      <c r="C1212">
        <v>141</v>
      </c>
      <c r="D1212">
        <v>27</v>
      </c>
      <c r="E1212">
        <v>222</v>
      </c>
      <c r="F1212">
        <v>2731</v>
      </c>
      <c r="G1212" s="3">
        <f t="shared" si="54"/>
        <v>56</v>
      </c>
      <c r="H1212" s="4">
        <f t="shared" si="55"/>
        <v>2.050530941047235E-2</v>
      </c>
      <c r="I1212" s="1">
        <f t="shared" si="56"/>
        <v>2</v>
      </c>
    </row>
    <row r="1213" spans="1:9" hidden="1" x14ac:dyDescent="0.2">
      <c r="A1213" s="6">
        <v>43940.708333333336</v>
      </c>
      <c r="B1213" s="1" t="s">
        <v>10</v>
      </c>
      <c r="C1213">
        <v>140</v>
      </c>
      <c r="D1213">
        <v>25</v>
      </c>
      <c r="E1213">
        <v>225</v>
      </c>
      <c r="F1213">
        <v>2745</v>
      </c>
      <c r="G1213" s="3">
        <f t="shared" si="54"/>
        <v>14</v>
      </c>
      <c r="H1213" s="4">
        <f t="shared" si="55"/>
        <v>5.1001821493624755E-3</v>
      </c>
      <c r="I1213" s="1">
        <f t="shared" si="56"/>
        <v>3</v>
      </c>
    </row>
    <row r="1214" spans="1:9" hidden="1" x14ac:dyDescent="0.2">
      <c r="A1214" s="6">
        <v>43941.708333333336</v>
      </c>
      <c r="B1214" s="1" t="s">
        <v>10</v>
      </c>
      <c r="C1214">
        <v>140</v>
      </c>
      <c r="D1214">
        <v>22</v>
      </c>
      <c r="E1214">
        <v>239</v>
      </c>
      <c r="F1214">
        <v>2775</v>
      </c>
      <c r="G1214" s="3">
        <f t="shared" si="54"/>
        <v>30</v>
      </c>
      <c r="H1214" s="4">
        <f t="shared" si="55"/>
        <v>1.0810810810810811E-2</v>
      </c>
      <c r="I1214" s="1">
        <f t="shared" si="56"/>
        <v>14</v>
      </c>
    </row>
    <row r="1215" spans="1:9" hidden="1" x14ac:dyDescent="0.2">
      <c r="A1215" s="6">
        <v>43942.708333333336</v>
      </c>
      <c r="B1215" s="1" t="s">
        <v>10</v>
      </c>
      <c r="C1215">
        <v>139</v>
      </c>
      <c r="D1215">
        <v>21</v>
      </c>
      <c r="E1215">
        <v>241</v>
      </c>
      <c r="F1215">
        <v>2792</v>
      </c>
      <c r="G1215" s="3">
        <f t="shared" si="54"/>
        <v>17</v>
      </c>
      <c r="H1215" s="4">
        <f t="shared" si="55"/>
        <v>6.0888252148997291E-3</v>
      </c>
      <c r="I1215" s="1">
        <f t="shared" si="56"/>
        <v>2</v>
      </c>
    </row>
    <row r="1216" spans="1:9" hidden="1" x14ac:dyDescent="0.2">
      <c r="A1216" s="6">
        <v>43943.708333333336</v>
      </c>
      <c r="B1216" s="1" t="s">
        <v>10</v>
      </c>
      <c r="C1216">
        <v>134</v>
      </c>
      <c r="D1216">
        <v>20</v>
      </c>
      <c r="E1216">
        <v>246</v>
      </c>
      <c r="F1216">
        <v>2817</v>
      </c>
      <c r="G1216" s="3">
        <f t="shared" si="54"/>
        <v>25</v>
      </c>
      <c r="H1216" s="4">
        <f t="shared" si="55"/>
        <v>8.8746893858715481E-3</v>
      </c>
      <c r="I1216" s="1">
        <f t="shared" si="56"/>
        <v>5</v>
      </c>
    </row>
    <row r="1217" spans="1:9" hidden="1" x14ac:dyDescent="0.2">
      <c r="A1217" s="6">
        <v>43944.708333333336</v>
      </c>
      <c r="B1217" s="1" t="s">
        <v>10</v>
      </c>
      <c r="C1217">
        <v>138</v>
      </c>
      <c r="D1217">
        <v>18</v>
      </c>
      <c r="E1217">
        <v>256</v>
      </c>
      <c r="F1217">
        <v>2858</v>
      </c>
      <c r="G1217" s="3">
        <f t="shared" si="54"/>
        <v>41</v>
      </c>
      <c r="H1217" s="4">
        <f t="shared" si="55"/>
        <v>1.4345696291112708E-2</v>
      </c>
      <c r="I1217" s="1">
        <f t="shared" si="56"/>
        <v>10</v>
      </c>
    </row>
    <row r="1218" spans="1:9" hidden="1" x14ac:dyDescent="0.2">
      <c r="A1218" s="6">
        <v>43945.708333333336</v>
      </c>
      <c r="B1218" s="1" t="s">
        <v>10</v>
      </c>
      <c r="C1218">
        <v>136</v>
      </c>
      <c r="D1218">
        <v>16</v>
      </c>
      <c r="E1218">
        <v>258</v>
      </c>
      <c r="F1218">
        <v>2882</v>
      </c>
      <c r="G1218" s="3">
        <f t="shared" si="54"/>
        <v>24</v>
      </c>
      <c r="H1218" s="4">
        <f t="shared" si="55"/>
        <v>8.3275503122831607E-3</v>
      </c>
      <c r="I1218" s="1">
        <f t="shared" si="56"/>
        <v>2</v>
      </c>
    </row>
    <row r="1219" spans="1:9" hidden="1" x14ac:dyDescent="0.2">
      <c r="A1219" s="6">
        <v>43946.708333333336</v>
      </c>
      <c r="B1219" s="1" t="s">
        <v>10</v>
      </c>
      <c r="C1219">
        <v>122</v>
      </c>
      <c r="D1219">
        <v>15</v>
      </c>
      <c r="E1219">
        <v>263</v>
      </c>
      <c r="F1219">
        <v>2903</v>
      </c>
      <c r="G1219" s="3">
        <f t="shared" ref="G1219:G1282" si="57">IF(AND(F1219&gt;0,AND(B1219=B1218,F1219&gt;0)),F1219-F1218,0)</f>
        <v>21</v>
      </c>
      <c r="H1219" s="4">
        <f t="shared" ref="H1219:H1282" si="58">IF(AND(F1218&gt;0,AND(B1219=B1218,F1218&gt;0)),1-(F1218/F1219),0)</f>
        <v>7.233895969686488E-3</v>
      </c>
      <c r="I1219" s="1">
        <f t="shared" ref="I1219:I1282" si="59">IF(AND(E1219&gt;0,AND(B1219=B1218,E1219&gt;0)),E1219-E1218,0)</f>
        <v>5</v>
      </c>
    </row>
    <row r="1220" spans="1:9" hidden="1" x14ac:dyDescent="0.2">
      <c r="A1220" s="6">
        <v>43947.708333333336</v>
      </c>
      <c r="B1220" s="1" t="s">
        <v>10</v>
      </c>
      <c r="C1220">
        <v>129</v>
      </c>
      <c r="D1220">
        <v>13</v>
      </c>
      <c r="E1220">
        <v>264</v>
      </c>
      <c r="F1220">
        <v>2917</v>
      </c>
      <c r="G1220" s="3">
        <f t="shared" si="57"/>
        <v>14</v>
      </c>
      <c r="H1220" s="4">
        <f t="shared" si="58"/>
        <v>4.7994514912581554E-3</v>
      </c>
      <c r="I1220" s="1">
        <f t="shared" si="59"/>
        <v>1</v>
      </c>
    </row>
    <row r="1221" spans="1:9" hidden="1" x14ac:dyDescent="0.2">
      <c r="A1221" s="6">
        <v>43948.708333333336</v>
      </c>
      <c r="B1221" s="1" t="s">
        <v>10</v>
      </c>
      <c r="C1221">
        <v>130</v>
      </c>
      <c r="D1221">
        <v>13</v>
      </c>
      <c r="E1221">
        <v>271</v>
      </c>
      <c r="F1221">
        <v>2977</v>
      </c>
      <c r="G1221" s="3">
        <f t="shared" si="57"/>
        <v>60</v>
      </c>
      <c r="H1221" s="4">
        <f t="shared" si="58"/>
        <v>2.0154517971111896E-2</v>
      </c>
      <c r="I1221" s="1">
        <f t="shared" si="59"/>
        <v>7</v>
      </c>
    </row>
    <row r="1222" spans="1:9" hidden="1" x14ac:dyDescent="0.2">
      <c r="A1222" s="6">
        <v>43949.708333333336</v>
      </c>
      <c r="B1222" s="1" t="s">
        <v>10</v>
      </c>
      <c r="C1222">
        <v>136</v>
      </c>
      <c r="D1222">
        <v>13</v>
      </c>
      <c r="E1222">
        <v>278</v>
      </c>
      <c r="F1222">
        <v>2995</v>
      </c>
      <c r="G1222" s="3">
        <f t="shared" si="57"/>
        <v>18</v>
      </c>
      <c r="H1222" s="4">
        <f t="shared" si="58"/>
        <v>6.0100166944908606E-3</v>
      </c>
      <c r="I1222" s="1">
        <f t="shared" si="59"/>
        <v>7</v>
      </c>
    </row>
    <row r="1223" spans="1:9" hidden="1" x14ac:dyDescent="0.2">
      <c r="A1223" s="6">
        <v>43950.708333333336</v>
      </c>
      <c r="B1223" s="1" t="s">
        <v>10</v>
      </c>
      <c r="C1223">
        <v>134</v>
      </c>
      <c r="D1223">
        <v>12</v>
      </c>
      <c r="E1223">
        <v>285</v>
      </c>
      <c r="F1223">
        <v>3010</v>
      </c>
      <c r="G1223" s="3">
        <f t="shared" si="57"/>
        <v>15</v>
      </c>
      <c r="H1223" s="4">
        <f t="shared" si="58"/>
        <v>4.983388704318914E-3</v>
      </c>
      <c r="I1223" s="1">
        <f t="shared" si="59"/>
        <v>7</v>
      </c>
    </row>
    <row r="1224" spans="1:9" hidden="1" x14ac:dyDescent="0.2">
      <c r="A1224" s="6">
        <v>43951.708333333336</v>
      </c>
      <c r="B1224" s="1" t="s">
        <v>10</v>
      </c>
      <c r="C1224">
        <v>109</v>
      </c>
      <c r="D1224">
        <v>11</v>
      </c>
      <c r="E1224">
        <v>289</v>
      </c>
      <c r="F1224">
        <v>3025</v>
      </c>
      <c r="G1224" s="3">
        <f t="shared" si="57"/>
        <v>15</v>
      </c>
      <c r="H1224" s="4">
        <f t="shared" si="58"/>
        <v>4.9586776859503745E-3</v>
      </c>
      <c r="I1224" s="1">
        <f t="shared" si="59"/>
        <v>4</v>
      </c>
    </row>
    <row r="1225" spans="1:9" hidden="1" x14ac:dyDescent="0.2">
      <c r="A1225" s="6">
        <v>43952.708333333336</v>
      </c>
      <c r="B1225" s="1" t="s">
        <v>10</v>
      </c>
      <c r="C1225">
        <v>131</v>
      </c>
      <c r="D1225">
        <v>6</v>
      </c>
      <c r="E1225">
        <v>294</v>
      </c>
      <c r="F1225">
        <v>3041</v>
      </c>
      <c r="G1225" s="3">
        <f t="shared" si="57"/>
        <v>16</v>
      </c>
      <c r="H1225" s="4">
        <f t="shared" si="58"/>
        <v>5.2614271621177489E-3</v>
      </c>
      <c r="I1225" s="1">
        <f t="shared" si="59"/>
        <v>5</v>
      </c>
    </row>
    <row r="1226" spans="1:9" hidden="1" x14ac:dyDescent="0.2">
      <c r="A1226" s="6">
        <v>43953.708333333336</v>
      </c>
      <c r="B1226" s="1" t="s">
        <v>10</v>
      </c>
      <c r="C1226">
        <v>131</v>
      </c>
      <c r="D1226">
        <v>5</v>
      </c>
      <c r="E1226">
        <v>295</v>
      </c>
      <c r="F1226">
        <v>3059</v>
      </c>
      <c r="G1226" s="3">
        <f t="shared" si="57"/>
        <v>18</v>
      </c>
      <c r="H1226" s="4">
        <f t="shared" si="58"/>
        <v>5.884275907159231E-3</v>
      </c>
      <c r="I1226" s="1">
        <f t="shared" si="59"/>
        <v>1</v>
      </c>
    </row>
    <row r="1227" spans="1:9" hidden="1" x14ac:dyDescent="0.2">
      <c r="A1227" s="6">
        <v>43954.708333333336</v>
      </c>
      <c r="B1227" s="1" t="s">
        <v>10</v>
      </c>
      <c r="C1227">
        <v>131</v>
      </c>
      <c r="D1227">
        <v>6</v>
      </c>
      <c r="E1227">
        <v>297</v>
      </c>
      <c r="F1227">
        <v>3072</v>
      </c>
      <c r="G1227" s="3">
        <f t="shared" si="57"/>
        <v>13</v>
      </c>
      <c r="H1227" s="4">
        <f t="shared" si="58"/>
        <v>4.2317708333333703E-3</v>
      </c>
      <c r="I1227" s="1">
        <f t="shared" si="59"/>
        <v>2</v>
      </c>
    </row>
    <row r="1228" spans="1:9" hidden="1" x14ac:dyDescent="0.2">
      <c r="A1228" s="6">
        <v>43955.708333333336</v>
      </c>
      <c r="B1228" s="1" t="s">
        <v>10</v>
      </c>
      <c r="C1228">
        <v>130</v>
      </c>
      <c r="D1228">
        <v>4</v>
      </c>
      <c r="E1228">
        <v>299</v>
      </c>
      <c r="F1228">
        <v>3076</v>
      </c>
      <c r="G1228" s="3">
        <f t="shared" si="57"/>
        <v>4</v>
      </c>
      <c r="H1228" s="4">
        <f t="shared" si="58"/>
        <v>1.3003901170350884E-3</v>
      </c>
      <c r="I1228" s="1">
        <f t="shared" si="59"/>
        <v>2</v>
      </c>
    </row>
    <row r="1229" spans="1:9" hidden="1" x14ac:dyDescent="0.2">
      <c r="A1229" s="6">
        <v>43956.708333333336</v>
      </c>
      <c r="B1229" s="1" t="s">
        <v>10</v>
      </c>
      <c r="C1229">
        <v>120</v>
      </c>
      <c r="D1229">
        <v>4</v>
      </c>
      <c r="E1229">
        <v>303</v>
      </c>
      <c r="F1229">
        <v>3085</v>
      </c>
      <c r="G1229" s="3">
        <f t="shared" si="57"/>
        <v>9</v>
      </c>
      <c r="H1229" s="4">
        <f t="shared" si="58"/>
        <v>2.9173419773095288E-3</v>
      </c>
      <c r="I1229" s="1">
        <f t="shared" si="59"/>
        <v>4</v>
      </c>
    </row>
    <row r="1230" spans="1:9" hidden="1" x14ac:dyDescent="0.2">
      <c r="A1230" s="6">
        <v>43957.708333333336</v>
      </c>
      <c r="B1230" s="1" t="s">
        <v>10</v>
      </c>
      <c r="C1230">
        <v>115</v>
      </c>
      <c r="D1230">
        <v>3</v>
      </c>
      <c r="E1230">
        <v>306</v>
      </c>
      <c r="F1230">
        <v>3094</v>
      </c>
      <c r="G1230" s="3">
        <f t="shared" si="57"/>
        <v>9</v>
      </c>
      <c r="H1230" s="4">
        <f t="shared" si="58"/>
        <v>2.9088558500323103E-3</v>
      </c>
      <c r="I1230" s="1">
        <f t="shared" si="59"/>
        <v>3</v>
      </c>
    </row>
    <row r="1231" spans="1:9" hidden="1" x14ac:dyDescent="0.2">
      <c r="A1231" s="6">
        <v>43958.708333333336</v>
      </c>
      <c r="B1231" s="1" t="s">
        <v>10</v>
      </c>
      <c r="C1231">
        <v>109</v>
      </c>
      <c r="D1231">
        <v>2</v>
      </c>
      <c r="E1231">
        <v>308</v>
      </c>
      <c r="F1231">
        <v>3107</v>
      </c>
      <c r="G1231" s="3">
        <f t="shared" si="57"/>
        <v>13</v>
      </c>
      <c r="H1231" s="4">
        <f t="shared" si="58"/>
        <v>4.1841004184099972E-3</v>
      </c>
      <c r="I1231" s="1">
        <f t="shared" si="59"/>
        <v>2</v>
      </c>
    </row>
    <row r="1232" spans="1:9" hidden="1" x14ac:dyDescent="0.2">
      <c r="A1232" s="6">
        <v>43959.708333333336</v>
      </c>
      <c r="B1232" s="1" t="s">
        <v>10</v>
      </c>
      <c r="C1232">
        <v>105</v>
      </c>
      <c r="D1232">
        <v>2</v>
      </c>
      <c r="E1232">
        <v>308</v>
      </c>
      <c r="F1232">
        <v>3116</v>
      </c>
      <c r="G1232" s="3">
        <f t="shared" si="57"/>
        <v>9</v>
      </c>
      <c r="H1232" s="4">
        <f t="shared" si="58"/>
        <v>2.8883183568677584E-3</v>
      </c>
      <c r="I1232" s="1">
        <f t="shared" si="59"/>
        <v>0</v>
      </c>
    </row>
    <row r="1233" spans="1:9" hidden="1" x14ac:dyDescent="0.2">
      <c r="A1233" s="6">
        <v>43960.708333333336</v>
      </c>
      <c r="B1233" s="1" t="s">
        <v>10</v>
      </c>
      <c r="C1233">
        <v>101</v>
      </c>
      <c r="D1233">
        <v>3</v>
      </c>
      <c r="E1233">
        <v>308</v>
      </c>
      <c r="F1233">
        <v>3124</v>
      </c>
      <c r="G1233" s="3">
        <f t="shared" si="57"/>
        <v>8</v>
      </c>
      <c r="H1233" s="4">
        <f t="shared" si="58"/>
        <v>2.5608194622278591E-3</v>
      </c>
      <c r="I1233" s="1">
        <f t="shared" si="59"/>
        <v>0</v>
      </c>
    </row>
    <row r="1234" spans="1:9" hidden="1" x14ac:dyDescent="0.2">
      <c r="A1234" s="6">
        <v>43961.708333333336</v>
      </c>
      <c r="B1234" s="1" t="s">
        <v>10</v>
      </c>
      <c r="C1234">
        <v>98</v>
      </c>
      <c r="D1234">
        <v>3</v>
      </c>
      <c r="E1234">
        <v>310</v>
      </c>
      <c r="F1234">
        <v>3130</v>
      </c>
      <c r="G1234" s="3">
        <f t="shared" si="57"/>
        <v>6</v>
      </c>
      <c r="H1234" s="4">
        <f t="shared" si="58"/>
        <v>1.9169329073482899E-3</v>
      </c>
      <c r="I1234" s="1">
        <f t="shared" si="59"/>
        <v>2</v>
      </c>
    </row>
    <row r="1235" spans="1:9" hidden="1" x14ac:dyDescent="0.2">
      <c r="A1235" s="6">
        <v>43962.708333333336</v>
      </c>
      <c r="B1235" s="1" t="s">
        <v>10</v>
      </c>
      <c r="C1235">
        <v>96</v>
      </c>
      <c r="D1235">
        <v>3</v>
      </c>
      <c r="E1235">
        <v>312</v>
      </c>
      <c r="F1235">
        <v>3138</v>
      </c>
      <c r="G1235" s="3">
        <f t="shared" si="57"/>
        <v>8</v>
      </c>
      <c r="H1235" s="4">
        <f t="shared" si="58"/>
        <v>2.5493945188017619E-3</v>
      </c>
      <c r="I1235" s="1">
        <f t="shared" si="59"/>
        <v>2</v>
      </c>
    </row>
    <row r="1236" spans="1:9" hidden="1" x14ac:dyDescent="0.2">
      <c r="A1236" s="6">
        <v>43963.708333333336</v>
      </c>
      <c r="B1236" s="1" t="s">
        <v>10</v>
      </c>
      <c r="C1236">
        <v>96</v>
      </c>
      <c r="D1236">
        <v>2</v>
      </c>
      <c r="E1236">
        <v>313</v>
      </c>
      <c r="F1236">
        <v>3148</v>
      </c>
      <c r="G1236" s="3">
        <f t="shared" si="57"/>
        <v>10</v>
      </c>
      <c r="H1236" s="4">
        <f t="shared" si="58"/>
        <v>3.1766200762388674E-3</v>
      </c>
      <c r="I1236" s="1">
        <f t="shared" si="59"/>
        <v>1</v>
      </c>
    </row>
    <row r="1237" spans="1:9" hidden="1" x14ac:dyDescent="0.2">
      <c r="A1237" s="6">
        <v>43964.708333333336</v>
      </c>
      <c r="B1237" s="1" t="s">
        <v>10</v>
      </c>
      <c r="C1237">
        <v>92</v>
      </c>
      <c r="D1237">
        <v>2</v>
      </c>
      <c r="E1237">
        <v>316</v>
      </c>
      <c r="F1237">
        <v>3156</v>
      </c>
      <c r="G1237" s="3">
        <f t="shared" si="57"/>
        <v>8</v>
      </c>
      <c r="H1237" s="4">
        <f t="shared" si="58"/>
        <v>2.5348542458808465E-3</v>
      </c>
      <c r="I1237" s="1">
        <f t="shared" si="59"/>
        <v>3</v>
      </c>
    </row>
    <row r="1238" spans="1:9" hidden="1" x14ac:dyDescent="0.2">
      <c r="A1238" s="6">
        <v>43965.708333333336</v>
      </c>
      <c r="B1238" s="1" t="s">
        <v>10</v>
      </c>
      <c r="C1238">
        <v>149</v>
      </c>
      <c r="D1238">
        <v>2</v>
      </c>
      <c r="E1238">
        <v>317</v>
      </c>
      <c r="F1238">
        <v>3161</v>
      </c>
      <c r="G1238" s="3">
        <f t="shared" si="57"/>
        <v>5</v>
      </c>
      <c r="H1238" s="4">
        <f t="shared" si="58"/>
        <v>1.5817779183802116E-3</v>
      </c>
      <c r="I1238" s="1">
        <f t="shared" si="59"/>
        <v>1</v>
      </c>
    </row>
    <row r="1239" spans="1:9" hidden="1" x14ac:dyDescent="0.2">
      <c r="A1239" s="6">
        <v>43966.708333333336</v>
      </c>
      <c r="B1239" s="1" t="s">
        <v>10</v>
      </c>
      <c r="C1239">
        <v>80</v>
      </c>
      <c r="D1239">
        <v>3</v>
      </c>
      <c r="E1239">
        <v>318</v>
      </c>
      <c r="F1239">
        <v>3175</v>
      </c>
      <c r="G1239" s="3">
        <f t="shared" si="57"/>
        <v>14</v>
      </c>
      <c r="H1239" s="4">
        <f t="shared" si="58"/>
        <v>4.4094488188975989E-3</v>
      </c>
      <c r="I1239" s="1">
        <f t="shared" si="59"/>
        <v>1</v>
      </c>
    </row>
    <row r="1240" spans="1:9" hidden="1" x14ac:dyDescent="0.2">
      <c r="A1240" s="6">
        <v>43967.708333333336</v>
      </c>
      <c r="B1240" s="1" t="s">
        <v>10</v>
      </c>
      <c r="C1240">
        <v>79</v>
      </c>
      <c r="D1240">
        <v>3</v>
      </c>
      <c r="E1240">
        <v>319</v>
      </c>
      <c r="F1240">
        <v>3183</v>
      </c>
      <c r="G1240" s="3">
        <f t="shared" si="57"/>
        <v>8</v>
      </c>
      <c r="H1240" s="4">
        <f t="shared" si="58"/>
        <v>2.5133521834747041E-3</v>
      </c>
      <c r="I1240" s="1">
        <f t="shared" si="59"/>
        <v>1</v>
      </c>
    </row>
    <row r="1241" spans="1:9" hidden="1" x14ac:dyDescent="0.2">
      <c r="A1241" s="6">
        <v>43968.708333333336</v>
      </c>
      <c r="B1241" s="1" t="s">
        <v>10</v>
      </c>
      <c r="C1241">
        <v>80</v>
      </c>
      <c r="D1241">
        <v>3</v>
      </c>
      <c r="E1241">
        <v>319</v>
      </c>
      <c r="F1241">
        <v>3191</v>
      </c>
      <c r="G1241" s="3">
        <f t="shared" si="57"/>
        <v>8</v>
      </c>
      <c r="H1241" s="4">
        <f t="shared" si="58"/>
        <v>2.5070510811657787E-3</v>
      </c>
      <c r="I1241" s="1">
        <f t="shared" si="59"/>
        <v>0</v>
      </c>
    </row>
    <row r="1242" spans="1:9" hidden="1" x14ac:dyDescent="0.2">
      <c r="A1242" s="6">
        <v>43969.708333333336</v>
      </c>
      <c r="B1242" s="1" t="s">
        <v>10</v>
      </c>
      <c r="C1242">
        <v>81</v>
      </c>
      <c r="D1242">
        <v>3</v>
      </c>
      <c r="E1242">
        <v>320</v>
      </c>
      <c r="F1242">
        <v>3198</v>
      </c>
      <c r="G1242" s="3">
        <f t="shared" si="57"/>
        <v>7</v>
      </c>
      <c r="H1242" s="4">
        <f t="shared" si="58"/>
        <v>2.1888680425266038E-3</v>
      </c>
      <c r="I1242" s="1">
        <f t="shared" si="59"/>
        <v>1</v>
      </c>
    </row>
    <row r="1243" spans="1:9" hidden="1" x14ac:dyDescent="0.2">
      <c r="A1243" s="6">
        <v>43970.708333333336</v>
      </c>
      <c r="B1243" s="1" t="s">
        <v>10</v>
      </c>
      <c r="C1243">
        <v>76</v>
      </c>
      <c r="D1243">
        <v>2</v>
      </c>
      <c r="E1243">
        <v>320</v>
      </c>
      <c r="F1243">
        <v>3203</v>
      </c>
      <c r="G1243" s="3">
        <f t="shared" si="57"/>
        <v>5</v>
      </c>
      <c r="H1243" s="4">
        <f t="shared" si="58"/>
        <v>1.5610365282547889E-3</v>
      </c>
      <c r="I1243" s="1">
        <f t="shared" si="59"/>
        <v>0</v>
      </c>
    </row>
    <row r="1244" spans="1:9" hidden="1" x14ac:dyDescent="0.2">
      <c r="A1244" s="6">
        <v>43971.708333333336</v>
      </c>
      <c r="B1244" s="1" t="s">
        <v>10</v>
      </c>
      <c r="C1244">
        <v>76</v>
      </c>
      <c r="D1244">
        <v>2</v>
      </c>
      <c r="E1244">
        <v>322</v>
      </c>
      <c r="F1244">
        <v>3209</v>
      </c>
      <c r="G1244" s="3">
        <f t="shared" si="57"/>
        <v>6</v>
      </c>
      <c r="H1244" s="4">
        <f t="shared" si="58"/>
        <v>1.8697413524462192E-3</v>
      </c>
      <c r="I1244" s="1">
        <f t="shared" si="59"/>
        <v>2</v>
      </c>
    </row>
    <row r="1245" spans="1:9" hidden="1" x14ac:dyDescent="0.2">
      <c r="A1245" s="6">
        <v>43972.708333333336</v>
      </c>
      <c r="B1245" s="1" t="s">
        <v>10</v>
      </c>
      <c r="C1245">
        <v>72</v>
      </c>
      <c r="D1245">
        <v>2</v>
      </c>
      <c r="E1245">
        <v>323</v>
      </c>
      <c r="F1245">
        <v>3215</v>
      </c>
      <c r="G1245" s="3">
        <f t="shared" si="57"/>
        <v>6</v>
      </c>
      <c r="H1245" s="4">
        <f t="shared" si="58"/>
        <v>1.8662519440124647E-3</v>
      </c>
      <c r="I1245" s="1">
        <f t="shared" si="59"/>
        <v>1</v>
      </c>
    </row>
    <row r="1246" spans="1:9" hidden="1" x14ac:dyDescent="0.2">
      <c r="A1246" s="6">
        <v>43973.708333333336</v>
      </c>
      <c r="B1246" s="1" t="s">
        <v>10</v>
      </c>
      <c r="C1246">
        <v>68</v>
      </c>
      <c r="D1246">
        <v>2</v>
      </c>
      <c r="E1246">
        <v>325</v>
      </c>
      <c r="F1246">
        <v>3227</v>
      </c>
      <c r="G1246" s="3">
        <f t="shared" si="57"/>
        <v>12</v>
      </c>
      <c r="H1246" s="4">
        <f t="shared" si="58"/>
        <v>3.7186241090796379E-3</v>
      </c>
      <c r="I1246" s="1">
        <f t="shared" si="59"/>
        <v>2</v>
      </c>
    </row>
    <row r="1247" spans="1:9" hidden="1" x14ac:dyDescent="0.2">
      <c r="A1247" s="6">
        <v>43974.708333333336</v>
      </c>
      <c r="B1247" s="1" t="s">
        <v>10</v>
      </c>
      <c r="C1247">
        <v>63</v>
      </c>
      <c r="D1247">
        <v>1</v>
      </c>
      <c r="E1247">
        <v>327</v>
      </c>
      <c r="F1247">
        <v>3233</v>
      </c>
      <c r="G1247" s="3">
        <f t="shared" si="57"/>
        <v>6</v>
      </c>
      <c r="H1247" s="4">
        <f t="shared" si="58"/>
        <v>1.8558614290132835E-3</v>
      </c>
      <c r="I1247" s="1">
        <f t="shared" si="59"/>
        <v>2</v>
      </c>
    </row>
    <row r="1248" spans="1:9" hidden="1" x14ac:dyDescent="0.2">
      <c r="A1248" s="6">
        <v>43975.708333333336</v>
      </c>
      <c r="B1248" s="1" t="s">
        <v>10</v>
      </c>
      <c r="C1248">
        <v>62</v>
      </c>
      <c r="D1248">
        <v>1</v>
      </c>
      <c r="E1248">
        <v>329</v>
      </c>
      <c r="F1248">
        <v>3236</v>
      </c>
      <c r="G1248" s="3">
        <f t="shared" si="57"/>
        <v>3</v>
      </c>
      <c r="H1248" s="4">
        <f t="shared" si="58"/>
        <v>9.2707045735473947E-4</v>
      </c>
      <c r="I1248" s="1">
        <f t="shared" si="59"/>
        <v>2</v>
      </c>
    </row>
    <row r="1249" spans="1:9" hidden="1" x14ac:dyDescent="0.2">
      <c r="A1249" s="6">
        <v>43976.708333333336</v>
      </c>
      <c r="B1249" s="1" t="s">
        <v>10</v>
      </c>
      <c r="C1249">
        <v>62</v>
      </c>
      <c r="D1249">
        <v>1</v>
      </c>
      <c r="E1249">
        <v>329</v>
      </c>
      <c r="F1249">
        <v>3240</v>
      </c>
      <c r="G1249" s="3">
        <f t="shared" si="57"/>
        <v>4</v>
      </c>
      <c r="H1249" s="4">
        <f t="shared" si="58"/>
        <v>1.2345679012345512E-3</v>
      </c>
      <c r="I1249" s="1">
        <f t="shared" si="59"/>
        <v>0</v>
      </c>
    </row>
    <row r="1250" spans="1:9" hidden="1" x14ac:dyDescent="0.2">
      <c r="A1250" s="6">
        <v>43977.708333333336</v>
      </c>
      <c r="B1250" s="1" t="s">
        <v>10</v>
      </c>
      <c r="C1250">
        <v>59</v>
      </c>
      <c r="D1250">
        <v>1</v>
      </c>
      <c r="E1250">
        <v>329</v>
      </c>
      <c r="F1250">
        <v>3251</v>
      </c>
      <c r="G1250" s="3">
        <f t="shared" si="57"/>
        <v>11</v>
      </c>
      <c r="H1250" s="4">
        <f t="shared" si="58"/>
        <v>3.3835742848354888E-3</v>
      </c>
      <c r="I1250" s="1">
        <f t="shared" si="59"/>
        <v>0</v>
      </c>
    </row>
    <row r="1251" spans="1:9" hidden="1" x14ac:dyDescent="0.2">
      <c r="A1251" s="6">
        <v>43978.708333333336</v>
      </c>
      <c r="B1251" s="1" t="s">
        <v>10</v>
      </c>
      <c r="C1251">
        <v>51</v>
      </c>
      <c r="D1251">
        <v>1</v>
      </c>
      <c r="E1251">
        <v>331</v>
      </c>
      <c r="F1251">
        <v>3255</v>
      </c>
      <c r="G1251" s="3">
        <f t="shared" si="57"/>
        <v>4</v>
      </c>
      <c r="H1251" s="4">
        <f t="shared" si="58"/>
        <v>1.2288786482335112E-3</v>
      </c>
      <c r="I1251" s="1">
        <f t="shared" si="59"/>
        <v>2</v>
      </c>
    </row>
    <row r="1252" spans="1:9" hidden="1" x14ac:dyDescent="0.2">
      <c r="A1252" s="6">
        <v>43979.708333333336</v>
      </c>
      <c r="B1252" s="1" t="s">
        <v>10</v>
      </c>
      <c r="C1252">
        <v>51</v>
      </c>
      <c r="D1252">
        <v>1</v>
      </c>
      <c r="E1252">
        <v>333</v>
      </c>
      <c r="F1252">
        <v>3262</v>
      </c>
      <c r="G1252" s="3">
        <f t="shared" si="57"/>
        <v>7</v>
      </c>
      <c r="H1252" s="4">
        <f t="shared" si="58"/>
        <v>2.1459227467811592E-3</v>
      </c>
      <c r="I1252" s="1">
        <f t="shared" si="59"/>
        <v>2</v>
      </c>
    </row>
    <row r="1253" spans="1:9" hidden="1" x14ac:dyDescent="0.2">
      <c r="A1253" s="6">
        <v>43980.708333333336</v>
      </c>
      <c r="B1253" s="1" t="s">
        <v>10</v>
      </c>
      <c r="C1253">
        <v>45</v>
      </c>
      <c r="D1253">
        <v>2</v>
      </c>
      <c r="E1253">
        <v>333</v>
      </c>
      <c r="F1253">
        <v>3267</v>
      </c>
      <c r="G1253" s="3">
        <f t="shared" si="57"/>
        <v>5</v>
      </c>
      <c r="H1253" s="4">
        <f t="shared" si="58"/>
        <v>1.5304560759106245E-3</v>
      </c>
      <c r="I1253" s="1">
        <f t="shared" si="59"/>
        <v>0</v>
      </c>
    </row>
    <row r="1254" spans="1:9" hidden="1" x14ac:dyDescent="0.2">
      <c r="A1254" s="6">
        <v>43981.708333333336</v>
      </c>
      <c r="B1254" s="1" t="s">
        <v>10</v>
      </c>
      <c r="C1254">
        <v>45</v>
      </c>
      <c r="D1254">
        <v>1</v>
      </c>
      <c r="E1254">
        <v>333</v>
      </c>
      <c r="F1254">
        <v>3271</v>
      </c>
      <c r="G1254" s="3">
        <f t="shared" si="57"/>
        <v>4</v>
      </c>
      <c r="H1254" s="4">
        <f t="shared" si="58"/>
        <v>1.2228676245796821E-3</v>
      </c>
      <c r="I1254" s="1">
        <f t="shared" si="59"/>
        <v>0</v>
      </c>
    </row>
    <row r="1255" spans="1:9" hidden="1" x14ac:dyDescent="0.2">
      <c r="A1255" s="6">
        <v>43982.708333333336</v>
      </c>
      <c r="B1255" s="1" t="s">
        <v>10</v>
      </c>
      <c r="C1255">
        <v>41</v>
      </c>
      <c r="D1255">
        <v>1</v>
      </c>
      <c r="E1255">
        <v>333</v>
      </c>
      <c r="F1255">
        <v>3273</v>
      </c>
      <c r="G1255" s="3">
        <f t="shared" si="57"/>
        <v>2</v>
      </c>
      <c r="H1255" s="4">
        <f t="shared" si="58"/>
        <v>6.1106018942869156E-4</v>
      </c>
      <c r="I1255" s="1">
        <f t="shared" si="59"/>
        <v>0</v>
      </c>
    </row>
    <row r="1256" spans="1:9" hidden="1" x14ac:dyDescent="0.2">
      <c r="A1256" s="6">
        <v>43983.708333333336</v>
      </c>
      <c r="B1256" s="1" t="s">
        <v>10</v>
      </c>
      <c r="C1256">
        <v>40</v>
      </c>
      <c r="D1256">
        <v>2</v>
      </c>
      <c r="E1256">
        <v>335</v>
      </c>
      <c r="F1256">
        <v>3274</v>
      </c>
      <c r="G1256" s="3">
        <f t="shared" si="57"/>
        <v>1</v>
      </c>
      <c r="H1256" s="4">
        <f t="shared" si="58"/>
        <v>3.0543677458760854E-4</v>
      </c>
      <c r="I1256" s="1">
        <f t="shared" si="59"/>
        <v>2</v>
      </c>
    </row>
    <row r="1257" spans="1:9" hidden="1" x14ac:dyDescent="0.2">
      <c r="A1257" s="6">
        <v>43984.708333333336</v>
      </c>
      <c r="B1257" s="1" t="s">
        <v>10</v>
      </c>
      <c r="C1257">
        <v>40</v>
      </c>
      <c r="D1257">
        <v>2</v>
      </c>
      <c r="E1257">
        <v>336</v>
      </c>
      <c r="F1257">
        <v>3276</v>
      </c>
      <c r="G1257" s="3">
        <f t="shared" si="57"/>
        <v>2</v>
      </c>
      <c r="H1257" s="4">
        <f t="shared" si="58"/>
        <v>6.1050061050060833E-4</v>
      </c>
      <c r="I1257" s="1">
        <f t="shared" si="59"/>
        <v>1</v>
      </c>
    </row>
    <row r="1258" spans="1:9" hidden="1" x14ac:dyDescent="0.2">
      <c r="A1258" s="6">
        <v>43985.708333333336</v>
      </c>
      <c r="B1258" s="1" t="s">
        <v>10</v>
      </c>
      <c r="C1258">
        <v>39</v>
      </c>
      <c r="D1258">
        <v>2</v>
      </c>
      <c r="E1258">
        <v>336</v>
      </c>
      <c r="F1258">
        <v>3276</v>
      </c>
      <c r="G1258" s="3">
        <f t="shared" si="57"/>
        <v>0</v>
      </c>
      <c r="H1258" s="4">
        <f t="shared" si="58"/>
        <v>0</v>
      </c>
      <c r="I1258" s="1">
        <f t="shared" si="59"/>
        <v>0</v>
      </c>
    </row>
    <row r="1259" spans="1:9" hidden="1" x14ac:dyDescent="0.2">
      <c r="A1259" s="6">
        <v>43986.708333333336</v>
      </c>
      <c r="B1259" s="1" t="s">
        <v>10</v>
      </c>
      <c r="C1259">
        <v>34</v>
      </c>
      <c r="D1259">
        <v>2</v>
      </c>
      <c r="E1259">
        <v>336</v>
      </c>
      <c r="F1259">
        <v>3279</v>
      </c>
      <c r="G1259" s="3">
        <f t="shared" si="57"/>
        <v>3</v>
      </c>
      <c r="H1259" s="4">
        <f t="shared" si="58"/>
        <v>9.1491308325708509E-4</v>
      </c>
      <c r="I1259" s="1">
        <f t="shared" si="59"/>
        <v>0</v>
      </c>
    </row>
    <row r="1260" spans="1:9" hidden="1" x14ac:dyDescent="0.2">
      <c r="A1260" s="6">
        <v>43987.708333333336</v>
      </c>
      <c r="B1260" s="1" t="s">
        <v>10</v>
      </c>
      <c r="C1260">
        <v>25</v>
      </c>
      <c r="D1260">
        <v>2</v>
      </c>
      <c r="E1260">
        <v>338</v>
      </c>
      <c r="F1260">
        <v>3280</v>
      </c>
      <c r="G1260" s="3">
        <f t="shared" si="57"/>
        <v>1</v>
      </c>
      <c r="H1260" s="4">
        <f t="shared" si="58"/>
        <v>3.0487804878043256E-4</v>
      </c>
      <c r="I1260" s="1">
        <f t="shared" si="59"/>
        <v>2</v>
      </c>
    </row>
    <row r="1261" spans="1:9" hidden="1" x14ac:dyDescent="0.2">
      <c r="A1261" s="6">
        <v>43988.708333333336</v>
      </c>
      <c r="B1261" s="1" t="s">
        <v>10</v>
      </c>
      <c r="C1261">
        <v>24</v>
      </c>
      <c r="D1261">
        <v>2</v>
      </c>
      <c r="E1261">
        <v>338</v>
      </c>
      <c r="F1261">
        <v>3283</v>
      </c>
      <c r="G1261" s="3">
        <f t="shared" si="57"/>
        <v>3</v>
      </c>
      <c r="H1261" s="4">
        <f t="shared" si="58"/>
        <v>9.1379835516292029E-4</v>
      </c>
      <c r="I1261" s="1">
        <f t="shared" si="59"/>
        <v>0</v>
      </c>
    </row>
    <row r="1262" spans="1:9" hidden="1" x14ac:dyDescent="0.2">
      <c r="A1262" s="6">
        <v>43989.708333333336</v>
      </c>
      <c r="B1262" s="1" t="s">
        <v>10</v>
      </c>
      <c r="C1262">
        <v>22</v>
      </c>
      <c r="D1262">
        <v>4</v>
      </c>
      <c r="E1262">
        <v>339</v>
      </c>
      <c r="F1262">
        <v>3283</v>
      </c>
      <c r="G1262" s="3">
        <f t="shared" si="57"/>
        <v>0</v>
      </c>
      <c r="H1262" s="4">
        <f t="shared" si="58"/>
        <v>0</v>
      </c>
      <c r="I1262" s="1">
        <f t="shared" si="59"/>
        <v>1</v>
      </c>
    </row>
    <row r="1263" spans="1:9" hidden="1" x14ac:dyDescent="0.2">
      <c r="A1263" s="6">
        <v>43990.708333333336</v>
      </c>
      <c r="B1263" s="1" t="s">
        <v>10</v>
      </c>
      <c r="C1263">
        <v>22</v>
      </c>
      <c r="D1263">
        <v>3</v>
      </c>
      <c r="E1263">
        <v>340</v>
      </c>
      <c r="F1263">
        <v>3284</v>
      </c>
      <c r="G1263" s="3">
        <f t="shared" si="57"/>
        <v>1</v>
      </c>
      <c r="H1263" s="4">
        <f t="shared" si="58"/>
        <v>3.0450669914738882E-4</v>
      </c>
      <c r="I1263" s="1">
        <f t="shared" si="59"/>
        <v>1</v>
      </c>
    </row>
    <row r="1264" spans="1:9" hidden="1" x14ac:dyDescent="0.2">
      <c r="A1264" s="6">
        <v>43991.708333333336</v>
      </c>
      <c r="B1264" s="1" t="s">
        <v>10</v>
      </c>
      <c r="C1264">
        <v>21</v>
      </c>
      <c r="D1264">
        <v>2</v>
      </c>
      <c r="E1264">
        <v>340</v>
      </c>
      <c r="F1264">
        <v>3284</v>
      </c>
      <c r="G1264" s="3">
        <f t="shared" si="57"/>
        <v>0</v>
      </c>
      <c r="H1264" s="4">
        <f t="shared" si="58"/>
        <v>0</v>
      </c>
      <c r="I1264" s="1">
        <f t="shared" si="59"/>
        <v>0</v>
      </c>
    </row>
    <row r="1265" spans="1:9" hidden="1" x14ac:dyDescent="0.2">
      <c r="A1265" s="6">
        <v>43992.708333333336</v>
      </c>
      <c r="B1265" s="1" t="s">
        <v>10</v>
      </c>
      <c r="C1265">
        <v>25</v>
      </c>
      <c r="D1265">
        <v>1</v>
      </c>
      <c r="E1265">
        <v>341</v>
      </c>
      <c r="F1265">
        <v>3286</v>
      </c>
      <c r="G1265" s="3">
        <f t="shared" si="57"/>
        <v>2</v>
      </c>
      <c r="H1265" s="4">
        <f t="shared" si="58"/>
        <v>6.0864272671945496E-4</v>
      </c>
      <c r="I1265" s="1">
        <f t="shared" si="59"/>
        <v>1</v>
      </c>
    </row>
    <row r="1266" spans="1:9" hidden="1" x14ac:dyDescent="0.2">
      <c r="A1266" s="6">
        <v>43993.708333333336</v>
      </c>
      <c r="B1266" s="1" t="s">
        <v>10</v>
      </c>
      <c r="C1266">
        <v>22</v>
      </c>
      <c r="D1266">
        <v>0</v>
      </c>
      <c r="E1266">
        <v>342</v>
      </c>
      <c r="F1266">
        <v>3287</v>
      </c>
      <c r="G1266" s="3">
        <f t="shared" si="57"/>
        <v>1</v>
      </c>
      <c r="H1266" s="4">
        <f t="shared" si="58"/>
        <v>3.0422878004254805E-4</v>
      </c>
      <c r="I1266" s="1">
        <f t="shared" si="59"/>
        <v>1</v>
      </c>
    </row>
    <row r="1267" spans="1:9" hidden="1" x14ac:dyDescent="0.2">
      <c r="A1267" s="6">
        <v>43994.708333333336</v>
      </c>
      <c r="B1267" s="1" t="s">
        <v>10</v>
      </c>
      <c r="C1267">
        <v>18</v>
      </c>
      <c r="D1267">
        <v>0</v>
      </c>
      <c r="E1267">
        <v>342</v>
      </c>
      <c r="F1267">
        <v>3290</v>
      </c>
      <c r="G1267" s="3">
        <f t="shared" si="57"/>
        <v>3</v>
      </c>
      <c r="H1267" s="4">
        <f t="shared" si="58"/>
        <v>9.1185410334349015E-4</v>
      </c>
      <c r="I1267" s="1">
        <f t="shared" si="59"/>
        <v>0</v>
      </c>
    </row>
    <row r="1268" spans="1:9" hidden="1" x14ac:dyDescent="0.2">
      <c r="A1268" s="6">
        <v>43995.708333333336</v>
      </c>
      <c r="B1268" s="1" t="s">
        <v>10</v>
      </c>
      <c r="C1268">
        <v>15</v>
      </c>
      <c r="D1268">
        <v>0</v>
      </c>
      <c r="E1268">
        <v>343</v>
      </c>
      <c r="F1268">
        <v>3296</v>
      </c>
      <c r="G1268" s="3">
        <f t="shared" si="57"/>
        <v>6</v>
      </c>
      <c r="H1268" s="4">
        <f t="shared" si="58"/>
        <v>1.8203883495145901E-3</v>
      </c>
      <c r="I1268" s="1">
        <f t="shared" si="59"/>
        <v>1</v>
      </c>
    </row>
    <row r="1269" spans="1:9" hidden="1" x14ac:dyDescent="0.2">
      <c r="A1269" s="6">
        <v>43996.708333333336</v>
      </c>
      <c r="B1269" s="1" t="s">
        <v>10</v>
      </c>
      <c r="C1269">
        <v>15</v>
      </c>
      <c r="D1269">
        <v>1</v>
      </c>
      <c r="E1269">
        <v>343</v>
      </c>
      <c r="F1269">
        <v>3296</v>
      </c>
      <c r="G1269" s="3">
        <f t="shared" si="57"/>
        <v>0</v>
      </c>
      <c r="H1269" s="4">
        <f t="shared" si="58"/>
        <v>0</v>
      </c>
      <c r="I1269" s="1">
        <f t="shared" si="59"/>
        <v>0</v>
      </c>
    </row>
    <row r="1270" spans="1:9" hidden="1" x14ac:dyDescent="0.2">
      <c r="A1270" s="6">
        <v>43997.708333333336</v>
      </c>
      <c r="B1270" s="1" t="s">
        <v>10</v>
      </c>
      <c r="C1270">
        <v>15</v>
      </c>
      <c r="D1270">
        <v>1</v>
      </c>
      <c r="E1270">
        <v>343</v>
      </c>
      <c r="F1270">
        <v>3296</v>
      </c>
      <c r="G1270" s="3">
        <f t="shared" si="57"/>
        <v>0</v>
      </c>
      <c r="H1270" s="4">
        <f t="shared" si="58"/>
        <v>0</v>
      </c>
      <c r="I1270" s="1">
        <f t="shared" si="59"/>
        <v>0</v>
      </c>
    </row>
    <row r="1271" spans="1:9" hidden="1" x14ac:dyDescent="0.2">
      <c r="A1271" s="6">
        <v>43998.708333333336</v>
      </c>
      <c r="B1271" s="1" t="s">
        <v>10</v>
      </c>
      <c r="C1271">
        <v>14</v>
      </c>
      <c r="D1271">
        <v>0</v>
      </c>
      <c r="E1271">
        <v>343</v>
      </c>
      <c r="F1271">
        <v>3297</v>
      </c>
      <c r="G1271" s="3">
        <f t="shared" si="57"/>
        <v>1</v>
      </c>
      <c r="H1271" s="4">
        <f t="shared" si="58"/>
        <v>3.033060357900963E-4</v>
      </c>
      <c r="I1271" s="1">
        <f t="shared" si="59"/>
        <v>0</v>
      </c>
    </row>
    <row r="1272" spans="1:9" hidden="1" x14ac:dyDescent="0.2">
      <c r="A1272" s="6">
        <v>43999.708333333336</v>
      </c>
      <c r="B1272" s="1" t="s">
        <v>10</v>
      </c>
      <c r="C1272">
        <v>16</v>
      </c>
      <c r="D1272">
        <v>0</v>
      </c>
      <c r="E1272">
        <v>343</v>
      </c>
      <c r="F1272">
        <v>3299</v>
      </c>
      <c r="G1272" s="3">
        <f t="shared" si="57"/>
        <v>2</v>
      </c>
      <c r="H1272" s="4">
        <f t="shared" si="58"/>
        <v>6.0624431645950327E-4</v>
      </c>
      <c r="I1272" s="1">
        <f t="shared" si="59"/>
        <v>0</v>
      </c>
    </row>
    <row r="1273" spans="1:9" hidden="1" x14ac:dyDescent="0.2">
      <c r="A1273" s="6">
        <v>44000.708333333336</v>
      </c>
      <c r="B1273" s="1" t="s">
        <v>10</v>
      </c>
      <c r="C1273">
        <v>15</v>
      </c>
      <c r="D1273">
        <v>1</v>
      </c>
      <c r="E1273">
        <v>343</v>
      </c>
      <c r="F1273">
        <v>3301</v>
      </c>
      <c r="G1273" s="3">
        <f t="shared" si="57"/>
        <v>2</v>
      </c>
      <c r="H1273" s="4">
        <f t="shared" si="58"/>
        <v>6.0587700696757008E-4</v>
      </c>
      <c r="I1273" s="1">
        <f t="shared" si="59"/>
        <v>0</v>
      </c>
    </row>
    <row r="1274" spans="1:9" hidden="1" x14ac:dyDescent="0.2">
      <c r="A1274" s="6">
        <v>44001.708333333336</v>
      </c>
      <c r="B1274" s="1" t="s">
        <v>10</v>
      </c>
      <c r="C1274">
        <v>16</v>
      </c>
      <c r="D1274">
        <v>0</v>
      </c>
      <c r="E1274">
        <v>343</v>
      </c>
      <c r="F1274">
        <v>3303</v>
      </c>
      <c r="G1274" s="3">
        <f t="shared" si="57"/>
        <v>2</v>
      </c>
      <c r="H1274" s="4">
        <f t="shared" si="58"/>
        <v>6.0551014229492939E-4</v>
      </c>
      <c r="I1274" s="1">
        <f t="shared" si="59"/>
        <v>0</v>
      </c>
    </row>
    <row r="1275" spans="1:9" hidden="1" x14ac:dyDescent="0.2">
      <c r="A1275" s="6">
        <v>44002.708333333336</v>
      </c>
      <c r="B1275" s="1" t="s">
        <v>10</v>
      </c>
      <c r="C1275">
        <v>16</v>
      </c>
      <c r="D1275">
        <v>1</v>
      </c>
      <c r="E1275">
        <v>344</v>
      </c>
      <c r="F1275">
        <v>3304</v>
      </c>
      <c r="G1275" s="3">
        <f t="shared" si="57"/>
        <v>1</v>
      </c>
      <c r="H1275" s="4">
        <f t="shared" si="58"/>
        <v>3.0266343825668951E-4</v>
      </c>
      <c r="I1275" s="1">
        <f t="shared" si="59"/>
        <v>1</v>
      </c>
    </row>
    <row r="1276" spans="1:9" hidden="1" x14ac:dyDescent="0.2">
      <c r="A1276" s="6">
        <v>44003.708333333336</v>
      </c>
      <c r="B1276" s="1" t="s">
        <v>10</v>
      </c>
      <c r="C1276">
        <v>16</v>
      </c>
      <c r="D1276">
        <v>0</v>
      </c>
      <c r="E1276">
        <v>344</v>
      </c>
      <c r="F1276">
        <v>3305</v>
      </c>
      <c r="G1276" s="3">
        <f t="shared" si="57"/>
        <v>1</v>
      </c>
      <c r="H1276" s="4">
        <f t="shared" si="58"/>
        <v>3.0257186081694698E-4</v>
      </c>
      <c r="I1276" s="1">
        <f t="shared" si="59"/>
        <v>0</v>
      </c>
    </row>
    <row r="1277" spans="1:9" hidden="1" x14ac:dyDescent="0.2">
      <c r="A1277" s="6">
        <v>44004.708333333336</v>
      </c>
      <c r="B1277" s="1" t="s">
        <v>10</v>
      </c>
      <c r="C1277">
        <v>15</v>
      </c>
      <c r="D1277">
        <v>0</v>
      </c>
      <c r="E1277">
        <v>344</v>
      </c>
      <c r="F1277">
        <v>3305</v>
      </c>
      <c r="G1277" s="3">
        <f t="shared" si="57"/>
        <v>0</v>
      </c>
      <c r="H1277" s="4">
        <f t="shared" si="58"/>
        <v>0</v>
      </c>
      <c r="I1277" s="1">
        <f t="shared" si="59"/>
        <v>0</v>
      </c>
    </row>
    <row r="1278" spans="1:9" hidden="1" x14ac:dyDescent="0.2">
      <c r="A1278" s="6">
        <v>44005.708333333336</v>
      </c>
      <c r="B1278" s="1" t="s">
        <v>10</v>
      </c>
      <c r="C1278">
        <v>14</v>
      </c>
      <c r="D1278">
        <v>0</v>
      </c>
      <c r="E1278">
        <v>344</v>
      </c>
      <c r="F1278">
        <v>3305</v>
      </c>
      <c r="G1278" s="3">
        <f t="shared" si="57"/>
        <v>0</v>
      </c>
      <c r="H1278" s="4">
        <f t="shared" si="58"/>
        <v>0</v>
      </c>
      <c r="I1278" s="1">
        <f t="shared" si="59"/>
        <v>0</v>
      </c>
    </row>
    <row r="1279" spans="1:9" hidden="1" x14ac:dyDescent="0.2">
      <c r="A1279" s="6">
        <v>44006.708333333336</v>
      </c>
      <c r="B1279" s="1" t="s">
        <v>10</v>
      </c>
      <c r="C1279">
        <v>13</v>
      </c>
      <c r="D1279">
        <v>0</v>
      </c>
      <c r="E1279">
        <v>344</v>
      </c>
      <c r="F1279">
        <v>3305</v>
      </c>
      <c r="G1279" s="3">
        <f t="shared" si="57"/>
        <v>0</v>
      </c>
      <c r="H1279" s="4">
        <f t="shared" si="58"/>
        <v>0</v>
      </c>
      <c r="I1279" s="1">
        <f t="shared" si="59"/>
        <v>0</v>
      </c>
    </row>
    <row r="1280" spans="1:9" hidden="1" x14ac:dyDescent="0.2">
      <c r="A1280" s="6">
        <v>44007.708333333336</v>
      </c>
      <c r="B1280" s="1" t="s">
        <v>10</v>
      </c>
      <c r="C1280">
        <v>12</v>
      </c>
      <c r="D1280">
        <v>0</v>
      </c>
      <c r="E1280">
        <v>345</v>
      </c>
      <c r="F1280">
        <v>3305</v>
      </c>
      <c r="G1280" s="3">
        <f t="shared" si="57"/>
        <v>0</v>
      </c>
      <c r="H1280" s="4">
        <f t="shared" si="58"/>
        <v>0</v>
      </c>
      <c r="I1280" s="1">
        <f t="shared" si="59"/>
        <v>1</v>
      </c>
    </row>
    <row r="1281" spans="1:9" hidden="1" x14ac:dyDescent="0.2">
      <c r="A1281" s="6">
        <v>44008.708333333336</v>
      </c>
      <c r="B1281" s="1" t="s">
        <v>10</v>
      </c>
      <c r="C1281">
        <v>13</v>
      </c>
      <c r="D1281">
        <v>0</v>
      </c>
      <c r="E1281">
        <v>345</v>
      </c>
      <c r="F1281">
        <v>3307</v>
      </c>
      <c r="G1281" s="3">
        <f t="shared" si="57"/>
        <v>2</v>
      </c>
      <c r="H1281" s="4">
        <f t="shared" si="58"/>
        <v>6.0477774417899699E-4</v>
      </c>
      <c r="I1281" s="1">
        <f t="shared" si="59"/>
        <v>0</v>
      </c>
    </row>
    <row r="1282" spans="1:9" hidden="1" x14ac:dyDescent="0.2">
      <c r="A1282" s="6">
        <v>44009.708333333336</v>
      </c>
      <c r="B1282" s="1" t="s">
        <v>10</v>
      </c>
      <c r="C1282">
        <v>12</v>
      </c>
      <c r="D1282">
        <v>0</v>
      </c>
      <c r="E1282">
        <v>345</v>
      </c>
      <c r="F1282">
        <v>3307</v>
      </c>
      <c r="G1282" s="3">
        <f t="shared" si="57"/>
        <v>0</v>
      </c>
      <c r="H1282" s="4">
        <f t="shared" si="58"/>
        <v>0</v>
      </c>
      <c r="I1282" s="1">
        <f t="shared" si="59"/>
        <v>0</v>
      </c>
    </row>
    <row r="1283" spans="1:9" hidden="1" x14ac:dyDescent="0.2">
      <c r="A1283" s="6">
        <v>44010.708333333336</v>
      </c>
      <c r="B1283" s="1" t="s">
        <v>10</v>
      </c>
      <c r="C1283">
        <v>12</v>
      </c>
      <c r="D1283">
        <v>0</v>
      </c>
      <c r="E1283">
        <v>345</v>
      </c>
      <c r="F1283">
        <v>3308</v>
      </c>
      <c r="G1283" s="3">
        <f t="shared" ref="G1283:G1346" si="60">IF(AND(F1283&gt;0,AND(B1283=B1282,F1283&gt;0)),F1283-F1282,0)</f>
        <v>1</v>
      </c>
      <c r="H1283" s="4">
        <f t="shared" ref="H1283:H1346" si="61">IF(AND(F1282&gt;0,AND(B1283=B1282,F1282&gt;0)),1-(F1282/F1283),0)</f>
        <v>3.0229746070131736E-4</v>
      </c>
      <c r="I1283" s="1">
        <f t="shared" ref="I1283:I1346" si="62">IF(AND(E1283&gt;0,AND(B1283=B1282,E1283&gt;0)),E1283-E1282,0)</f>
        <v>0</v>
      </c>
    </row>
    <row r="1284" spans="1:9" hidden="1" x14ac:dyDescent="0.2">
      <c r="A1284" s="6">
        <v>44011.708333333336</v>
      </c>
      <c r="B1284" s="1" t="s">
        <v>10</v>
      </c>
      <c r="C1284">
        <v>12</v>
      </c>
      <c r="D1284">
        <v>0</v>
      </c>
      <c r="E1284">
        <v>345</v>
      </c>
      <c r="F1284">
        <v>3308</v>
      </c>
      <c r="G1284" s="3">
        <f t="shared" si="60"/>
        <v>0</v>
      </c>
      <c r="H1284" s="4">
        <f t="shared" si="61"/>
        <v>0</v>
      </c>
      <c r="I1284" s="1">
        <f t="shared" si="62"/>
        <v>0</v>
      </c>
    </row>
    <row r="1285" spans="1:9" hidden="1" x14ac:dyDescent="0.2">
      <c r="A1285" s="6">
        <v>44012.708333333336</v>
      </c>
      <c r="B1285" s="1" t="s">
        <v>10</v>
      </c>
      <c r="C1285">
        <v>9</v>
      </c>
      <c r="D1285">
        <v>0</v>
      </c>
      <c r="E1285">
        <v>345</v>
      </c>
      <c r="F1285">
        <v>3308</v>
      </c>
      <c r="G1285" s="3">
        <f t="shared" si="60"/>
        <v>0</v>
      </c>
      <c r="H1285" s="4">
        <f t="shared" si="61"/>
        <v>0</v>
      </c>
      <c r="I1285" s="1">
        <f t="shared" si="62"/>
        <v>0</v>
      </c>
    </row>
    <row r="1286" spans="1:9" hidden="1" x14ac:dyDescent="0.2">
      <c r="A1286" s="6">
        <v>44013.708333333336</v>
      </c>
      <c r="B1286" s="1" t="s">
        <v>10</v>
      </c>
      <c r="C1286">
        <v>6</v>
      </c>
      <c r="D1286">
        <v>0</v>
      </c>
      <c r="E1286">
        <v>345</v>
      </c>
      <c r="F1286">
        <v>3312</v>
      </c>
      <c r="G1286" s="3">
        <f t="shared" si="60"/>
        <v>4</v>
      </c>
      <c r="H1286" s="4">
        <f t="shared" si="61"/>
        <v>1.2077294685990392E-3</v>
      </c>
      <c r="I1286" s="1">
        <f t="shared" si="62"/>
        <v>0</v>
      </c>
    </row>
    <row r="1287" spans="1:9" hidden="1" x14ac:dyDescent="0.2">
      <c r="A1287" s="6">
        <v>44014.708333333336</v>
      </c>
      <c r="B1287" s="1" t="s">
        <v>10</v>
      </c>
      <c r="C1287">
        <v>6</v>
      </c>
      <c r="D1287">
        <v>0</v>
      </c>
      <c r="E1287">
        <v>345</v>
      </c>
      <c r="F1287">
        <v>3314</v>
      </c>
      <c r="G1287" s="3">
        <f t="shared" si="60"/>
        <v>2</v>
      </c>
      <c r="H1287" s="4">
        <f t="shared" si="61"/>
        <v>6.0350030175015945E-4</v>
      </c>
      <c r="I1287" s="1">
        <f t="shared" si="62"/>
        <v>0</v>
      </c>
    </row>
    <row r="1288" spans="1:9" hidden="1" x14ac:dyDescent="0.2">
      <c r="A1288" s="6">
        <v>44015.708333333336</v>
      </c>
      <c r="B1288" s="1" t="s">
        <v>10</v>
      </c>
      <c r="C1288">
        <v>6</v>
      </c>
      <c r="D1288">
        <v>0</v>
      </c>
      <c r="E1288">
        <v>345</v>
      </c>
      <c r="F1288">
        <v>3318</v>
      </c>
      <c r="G1288" s="3">
        <f t="shared" si="60"/>
        <v>4</v>
      </c>
      <c r="H1288" s="4">
        <f t="shared" si="61"/>
        <v>1.2055455093429313E-3</v>
      </c>
      <c r="I1288" s="1">
        <f t="shared" si="62"/>
        <v>0</v>
      </c>
    </row>
    <row r="1289" spans="1:9" hidden="1" x14ac:dyDescent="0.2">
      <c r="A1289" s="6">
        <v>44016.708333333336</v>
      </c>
      <c r="B1289" s="1" t="s">
        <v>10</v>
      </c>
      <c r="C1289">
        <v>6</v>
      </c>
      <c r="D1289">
        <v>0</v>
      </c>
      <c r="E1289">
        <v>345</v>
      </c>
      <c r="F1289">
        <v>3326</v>
      </c>
      <c r="G1289" s="3">
        <f t="shared" si="60"/>
        <v>8</v>
      </c>
      <c r="H1289" s="4">
        <f t="shared" si="61"/>
        <v>2.4052916416115178E-3</v>
      </c>
      <c r="I1289" s="1">
        <f t="shared" si="62"/>
        <v>0</v>
      </c>
    </row>
    <row r="1290" spans="1:9" hidden="1" x14ac:dyDescent="0.2">
      <c r="A1290" s="6">
        <v>44017.708333333336</v>
      </c>
      <c r="B1290" s="1" t="s">
        <v>10</v>
      </c>
      <c r="C1290">
        <v>7</v>
      </c>
      <c r="D1290">
        <v>0</v>
      </c>
      <c r="E1290">
        <v>345</v>
      </c>
      <c r="F1290">
        <v>3326</v>
      </c>
      <c r="G1290" s="3">
        <f t="shared" si="60"/>
        <v>0</v>
      </c>
      <c r="H1290" s="4">
        <f t="shared" si="61"/>
        <v>0</v>
      </c>
      <c r="I1290" s="1">
        <f t="shared" si="62"/>
        <v>0</v>
      </c>
    </row>
    <row r="1291" spans="1:9" hidden="1" x14ac:dyDescent="0.2">
      <c r="A1291" s="6">
        <v>44018.708333333336</v>
      </c>
      <c r="B1291" s="1" t="s">
        <v>10</v>
      </c>
      <c r="C1291">
        <v>9</v>
      </c>
      <c r="D1291">
        <v>0</v>
      </c>
      <c r="E1291">
        <v>345</v>
      </c>
      <c r="F1291">
        <v>3326</v>
      </c>
      <c r="G1291" s="3">
        <f t="shared" si="60"/>
        <v>0</v>
      </c>
      <c r="H1291" s="4">
        <f t="shared" si="61"/>
        <v>0</v>
      </c>
      <c r="I1291" s="1">
        <f t="shared" si="62"/>
        <v>0</v>
      </c>
    </row>
    <row r="1292" spans="1:9" hidden="1" x14ac:dyDescent="0.2">
      <c r="A1292" s="6">
        <v>44019.708333333336</v>
      </c>
      <c r="B1292" s="1" t="s">
        <v>10</v>
      </c>
      <c r="C1292">
        <v>7</v>
      </c>
      <c r="D1292">
        <v>0</v>
      </c>
      <c r="E1292">
        <v>345</v>
      </c>
      <c r="F1292">
        <v>3327</v>
      </c>
      <c r="G1292" s="3">
        <f t="shared" si="60"/>
        <v>1</v>
      </c>
      <c r="H1292" s="4">
        <f t="shared" si="61"/>
        <v>3.0057108506165164E-4</v>
      </c>
      <c r="I1292" s="1">
        <f t="shared" si="62"/>
        <v>0</v>
      </c>
    </row>
    <row r="1293" spans="1:9" hidden="1" x14ac:dyDescent="0.2">
      <c r="A1293" s="6">
        <v>44020.708333333336</v>
      </c>
      <c r="B1293" s="1" t="s">
        <v>10</v>
      </c>
      <c r="C1293">
        <v>8</v>
      </c>
      <c r="D1293">
        <v>0</v>
      </c>
      <c r="E1293">
        <v>345</v>
      </c>
      <c r="F1293">
        <v>3331</v>
      </c>
      <c r="G1293" s="3">
        <f t="shared" si="60"/>
        <v>4</v>
      </c>
      <c r="H1293" s="4">
        <f t="shared" si="61"/>
        <v>1.2008405884118556E-3</v>
      </c>
      <c r="I1293" s="1">
        <f t="shared" si="62"/>
        <v>0</v>
      </c>
    </row>
    <row r="1294" spans="1:9" hidden="1" x14ac:dyDescent="0.2">
      <c r="A1294" s="6">
        <v>44021.708333333336</v>
      </c>
      <c r="B1294" s="1" t="s">
        <v>10</v>
      </c>
      <c r="C1294">
        <v>2</v>
      </c>
      <c r="D1294">
        <v>0</v>
      </c>
      <c r="E1294">
        <v>345</v>
      </c>
      <c r="F1294">
        <v>3332</v>
      </c>
      <c r="G1294" s="3">
        <f t="shared" si="60"/>
        <v>1</v>
      </c>
      <c r="H1294" s="4">
        <f t="shared" si="61"/>
        <v>3.0012004801915904E-4</v>
      </c>
      <c r="I1294" s="1">
        <f t="shared" si="62"/>
        <v>0</v>
      </c>
    </row>
    <row r="1295" spans="1:9" hidden="1" x14ac:dyDescent="0.2">
      <c r="A1295" s="6">
        <v>44022.708333333336</v>
      </c>
      <c r="B1295" s="1" t="s">
        <v>10</v>
      </c>
      <c r="C1295">
        <v>2</v>
      </c>
      <c r="D1295">
        <v>0</v>
      </c>
      <c r="E1295">
        <v>345</v>
      </c>
      <c r="F1295">
        <v>3333</v>
      </c>
      <c r="G1295" s="3">
        <f t="shared" si="60"/>
        <v>1</v>
      </c>
      <c r="H1295" s="4">
        <f t="shared" si="61"/>
        <v>3.0003000300027338E-4</v>
      </c>
      <c r="I1295" s="1">
        <f t="shared" si="62"/>
        <v>0</v>
      </c>
    </row>
    <row r="1296" spans="1:9" hidden="1" x14ac:dyDescent="0.2">
      <c r="A1296" s="6">
        <v>44023.708333333336</v>
      </c>
      <c r="B1296" s="1" t="s">
        <v>10</v>
      </c>
      <c r="C1296">
        <v>1</v>
      </c>
      <c r="D1296">
        <v>0</v>
      </c>
      <c r="E1296">
        <v>345</v>
      </c>
      <c r="F1296">
        <v>3335</v>
      </c>
      <c r="G1296" s="3">
        <f t="shared" si="60"/>
        <v>2</v>
      </c>
      <c r="H1296" s="4">
        <f t="shared" si="61"/>
        <v>5.9970014992505316E-4</v>
      </c>
      <c r="I1296" s="1">
        <f t="shared" si="62"/>
        <v>0</v>
      </c>
    </row>
    <row r="1297" spans="1:9" hidden="1" x14ac:dyDescent="0.2">
      <c r="A1297" s="6">
        <v>44024.708333333336</v>
      </c>
      <c r="B1297" s="1" t="s">
        <v>10</v>
      </c>
      <c r="C1297">
        <v>2</v>
      </c>
      <c r="D1297">
        <v>0</v>
      </c>
      <c r="E1297">
        <v>345</v>
      </c>
      <c r="F1297">
        <v>3335</v>
      </c>
      <c r="G1297" s="3">
        <f t="shared" si="60"/>
        <v>0</v>
      </c>
      <c r="H1297" s="4">
        <f t="shared" si="61"/>
        <v>0</v>
      </c>
      <c r="I1297" s="1">
        <f t="shared" si="62"/>
        <v>0</v>
      </c>
    </row>
    <row r="1298" spans="1:9" hidden="1" x14ac:dyDescent="0.2">
      <c r="A1298" s="6">
        <v>44025.708333333336</v>
      </c>
      <c r="B1298" s="1" t="s">
        <v>10</v>
      </c>
      <c r="C1298">
        <v>3</v>
      </c>
      <c r="D1298">
        <v>0</v>
      </c>
      <c r="E1298">
        <v>345</v>
      </c>
      <c r="F1298">
        <v>3335</v>
      </c>
      <c r="G1298" s="3">
        <f t="shared" si="60"/>
        <v>0</v>
      </c>
      <c r="H1298" s="4">
        <f t="shared" si="61"/>
        <v>0</v>
      </c>
      <c r="I1298" s="1">
        <f t="shared" si="62"/>
        <v>0</v>
      </c>
    </row>
    <row r="1299" spans="1:9" hidden="1" x14ac:dyDescent="0.2">
      <c r="A1299" s="6">
        <v>44026.708333333336</v>
      </c>
      <c r="B1299" s="1" t="s">
        <v>10</v>
      </c>
      <c r="C1299">
        <v>4</v>
      </c>
      <c r="D1299">
        <v>0</v>
      </c>
      <c r="E1299">
        <v>345</v>
      </c>
      <c r="F1299">
        <v>3338</v>
      </c>
      <c r="G1299" s="3">
        <f t="shared" si="60"/>
        <v>3</v>
      </c>
      <c r="H1299" s="4">
        <f t="shared" si="61"/>
        <v>8.9874176153381669E-4</v>
      </c>
      <c r="I1299" s="1">
        <f t="shared" si="62"/>
        <v>0</v>
      </c>
    </row>
    <row r="1300" spans="1:9" hidden="1" x14ac:dyDescent="0.2">
      <c r="A1300" s="6">
        <v>44027.708333333336</v>
      </c>
      <c r="B1300" s="1" t="s">
        <v>10</v>
      </c>
      <c r="C1300">
        <v>5</v>
      </c>
      <c r="D1300">
        <v>0</v>
      </c>
      <c r="E1300">
        <v>345</v>
      </c>
      <c r="F1300">
        <v>3339</v>
      </c>
      <c r="G1300" s="3">
        <f t="shared" si="60"/>
        <v>1</v>
      </c>
      <c r="H1300" s="4">
        <f t="shared" si="61"/>
        <v>2.994908655286066E-4</v>
      </c>
      <c r="I1300" s="1">
        <f t="shared" si="62"/>
        <v>0</v>
      </c>
    </row>
    <row r="1301" spans="1:9" hidden="1" x14ac:dyDescent="0.2">
      <c r="A1301" s="6">
        <v>44028.708333333336</v>
      </c>
      <c r="B1301" s="1" t="s">
        <v>10</v>
      </c>
      <c r="C1301">
        <v>7</v>
      </c>
      <c r="D1301">
        <v>0</v>
      </c>
      <c r="E1301">
        <v>345</v>
      </c>
      <c r="F1301">
        <v>3343</v>
      </c>
      <c r="G1301" s="3">
        <f t="shared" si="60"/>
        <v>4</v>
      </c>
      <c r="H1301" s="4">
        <f t="shared" si="61"/>
        <v>1.1965300628178355E-3</v>
      </c>
      <c r="I1301" s="1">
        <f t="shared" si="62"/>
        <v>0</v>
      </c>
    </row>
    <row r="1302" spans="1:9" hidden="1" x14ac:dyDescent="0.2">
      <c r="A1302" s="6">
        <v>44029.708333333336</v>
      </c>
      <c r="B1302" s="1" t="s">
        <v>10</v>
      </c>
      <c r="C1302">
        <v>7</v>
      </c>
      <c r="D1302">
        <v>0</v>
      </c>
      <c r="E1302">
        <v>345</v>
      </c>
      <c r="F1302">
        <v>3346</v>
      </c>
      <c r="G1302" s="3">
        <f t="shared" si="60"/>
        <v>3</v>
      </c>
      <c r="H1302" s="4">
        <f t="shared" si="61"/>
        <v>8.9659294680211055E-4</v>
      </c>
      <c r="I1302" s="1">
        <f t="shared" si="62"/>
        <v>0</v>
      </c>
    </row>
    <row r="1303" spans="1:9" hidden="1" x14ac:dyDescent="0.2">
      <c r="A1303" s="6">
        <v>44030.708333333336</v>
      </c>
      <c r="B1303" s="1" t="s">
        <v>10</v>
      </c>
      <c r="C1303">
        <v>7</v>
      </c>
      <c r="D1303">
        <v>0</v>
      </c>
      <c r="E1303">
        <v>345</v>
      </c>
      <c r="F1303">
        <v>3350</v>
      </c>
      <c r="G1303" s="3">
        <f t="shared" si="60"/>
        <v>4</v>
      </c>
      <c r="H1303" s="4">
        <f t="shared" si="61"/>
        <v>1.1940298507462366E-3</v>
      </c>
      <c r="I1303" s="1">
        <f t="shared" si="62"/>
        <v>0</v>
      </c>
    </row>
    <row r="1304" spans="1:9" hidden="1" x14ac:dyDescent="0.2">
      <c r="A1304" s="6">
        <v>44031.708333333336</v>
      </c>
      <c r="B1304" s="1" t="s">
        <v>10</v>
      </c>
      <c r="C1304">
        <v>7</v>
      </c>
      <c r="D1304">
        <v>0</v>
      </c>
      <c r="E1304">
        <v>345</v>
      </c>
      <c r="F1304">
        <v>3352</v>
      </c>
      <c r="G1304" s="3">
        <f t="shared" si="60"/>
        <v>2</v>
      </c>
      <c r="H1304" s="4">
        <f t="shared" si="61"/>
        <v>5.966587112171684E-4</v>
      </c>
      <c r="I1304" s="1">
        <f t="shared" si="62"/>
        <v>0</v>
      </c>
    </row>
    <row r="1305" spans="1:9" hidden="1" x14ac:dyDescent="0.2">
      <c r="A1305" s="6">
        <v>44032.708333333336</v>
      </c>
      <c r="B1305" s="1" t="s">
        <v>10</v>
      </c>
      <c r="C1305">
        <v>7</v>
      </c>
      <c r="D1305">
        <v>0</v>
      </c>
      <c r="E1305">
        <v>345</v>
      </c>
      <c r="F1305">
        <v>3356</v>
      </c>
      <c r="G1305" s="3">
        <f t="shared" si="60"/>
        <v>4</v>
      </c>
      <c r="H1305" s="4">
        <f t="shared" si="61"/>
        <v>1.1918951132300348E-3</v>
      </c>
      <c r="I1305" s="1">
        <f t="shared" si="62"/>
        <v>0</v>
      </c>
    </row>
    <row r="1306" spans="1:9" hidden="1" x14ac:dyDescent="0.2">
      <c r="A1306" s="6">
        <v>44033.708333333336</v>
      </c>
      <c r="B1306" s="1" t="s">
        <v>10</v>
      </c>
      <c r="C1306">
        <v>7</v>
      </c>
      <c r="D1306">
        <v>0</v>
      </c>
      <c r="E1306">
        <v>345</v>
      </c>
      <c r="F1306">
        <v>3358</v>
      </c>
      <c r="G1306" s="3">
        <f t="shared" si="60"/>
        <v>2</v>
      </c>
      <c r="H1306" s="4">
        <f t="shared" si="61"/>
        <v>5.9559261465158553E-4</v>
      </c>
      <c r="I1306" s="1">
        <f t="shared" si="62"/>
        <v>0</v>
      </c>
    </row>
    <row r="1307" spans="1:9" hidden="1" x14ac:dyDescent="0.2">
      <c r="A1307" s="6">
        <v>44034.708333333336</v>
      </c>
      <c r="B1307" s="1" t="s">
        <v>10</v>
      </c>
      <c r="C1307">
        <v>8</v>
      </c>
      <c r="D1307">
        <v>0</v>
      </c>
      <c r="E1307">
        <v>345</v>
      </c>
      <c r="F1307">
        <v>3360</v>
      </c>
      <c r="G1307" s="3">
        <f t="shared" si="60"/>
        <v>2</v>
      </c>
      <c r="H1307" s="4">
        <f t="shared" si="61"/>
        <v>5.9523809523809312E-4</v>
      </c>
      <c r="I1307" s="1">
        <f t="shared" si="62"/>
        <v>0</v>
      </c>
    </row>
    <row r="1308" spans="1:9" hidden="1" x14ac:dyDescent="0.2">
      <c r="A1308" s="6">
        <v>44035.708333333336</v>
      </c>
      <c r="B1308" s="1" t="s">
        <v>10</v>
      </c>
      <c r="C1308">
        <v>7</v>
      </c>
      <c r="D1308">
        <v>1</v>
      </c>
      <c r="E1308">
        <v>345</v>
      </c>
      <c r="F1308">
        <v>3363</v>
      </c>
      <c r="G1308" s="3">
        <f t="shared" si="60"/>
        <v>3</v>
      </c>
      <c r="H1308" s="4">
        <f t="shared" si="61"/>
        <v>8.9206066012492702E-4</v>
      </c>
      <c r="I1308" s="1">
        <f t="shared" si="62"/>
        <v>0</v>
      </c>
    </row>
    <row r="1309" spans="1:9" hidden="1" x14ac:dyDescent="0.2">
      <c r="A1309" s="6">
        <v>44036.708333333336</v>
      </c>
      <c r="B1309" s="1" t="s">
        <v>10</v>
      </c>
      <c r="C1309">
        <v>9</v>
      </c>
      <c r="D1309">
        <v>2</v>
      </c>
      <c r="E1309">
        <v>345</v>
      </c>
      <c r="F1309">
        <v>3368</v>
      </c>
      <c r="G1309" s="3">
        <f t="shared" si="60"/>
        <v>5</v>
      </c>
      <c r="H1309" s="4">
        <f t="shared" si="61"/>
        <v>1.4845605700712916E-3</v>
      </c>
      <c r="I1309" s="1">
        <f t="shared" si="62"/>
        <v>0</v>
      </c>
    </row>
    <row r="1310" spans="1:9" hidden="1" x14ac:dyDescent="0.2">
      <c r="A1310" s="6">
        <v>44037.708333333336</v>
      </c>
      <c r="B1310" s="1" t="s">
        <v>10</v>
      </c>
      <c r="C1310">
        <v>8</v>
      </c>
      <c r="D1310">
        <v>2</v>
      </c>
      <c r="E1310">
        <v>345</v>
      </c>
      <c r="F1310">
        <v>3373</v>
      </c>
      <c r="G1310" s="3">
        <f t="shared" si="60"/>
        <v>5</v>
      </c>
      <c r="H1310" s="4">
        <f t="shared" si="61"/>
        <v>1.4823599169878632E-3</v>
      </c>
      <c r="I1310" s="1">
        <f t="shared" si="62"/>
        <v>0</v>
      </c>
    </row>
    <row r="1311" spans="1:9" hidden="1" x14ac:dyDescent="0.2">
      <c r="A1311" s="6">
        <v>44038.708333333336</v>
      </c>
      <c r="B1311" s="1" t="s">
        <v>10</v>
      </c>
      <c r="C1311">
        <v>9</v>
      </c>
      <c r="D1311">
        <v>2</v>
      </c>
      <c r="E1311">
        <v>345</v>
      </c>
      <c r="F1311">
        <v>3375</v>
      </c>
      <c r="G1311" s="3">
        <f t="shared" si="60"/>
        <v>2</v>
      </c>
      <c r="H1311" s="4">
        <f t="shared" si="61"/>
        <v>5.9259259259258901E-4</v>
      </c>
      <c r="I1311" s="1">
        <f t="shared" si="62"/>
        <v>0</v>
      </c>
    </row>
    <row r="1312" spans="1:9" hidden="1" x14ac:dyDescent="0.2">
      <c r="A1312" s="6">
        <v>44039.708333333336</v>
      </c>
      <c r="B1312" s="1" t="s">
        <v>10</v>
      </c>
      <c r="C1312">
        <v>8</v>
      </c>
      <c r="D1312">
        <v>2</v>
      </c>
      <c r="E1312">
        <v>345</v>
      </c>
      <c r="F1312">
        <v>3375</v>
      </c>
      <c r="G1312" s="3">
        <f t="shared" si="60"/>
        <v>0</v>
      </c>
      <c r="H1312" s="4">
        <f t="shared" si="61"/>
        <v>0</v>
      </c>
      <c r="I1312" s="1">
        <f t="shared" si="62"/>
        <v>0</v>
      </c>
    </row>
    <row r="1313" spans="1:9" hidden="1" x14ac:dyDescent="0.2">
      <c r="A1313" s="6">
        <v>44040.708333333336</v>
      </c>
      <c r="B1313" s="1" t="s">
        <v>10</v>
      </c>
      <c r="C1313">
        <v>7</v>
      </c>
      <c r="D1313">
        <v>2</v>
      </c>
      <c r="E1313">
        <v>345</v>
      </c>
      <c r="F1313">
        <v>3375</v>
      </c>
      <c r="G1313" s="3">
        <f t="shared" si="60"/>
        <v>0</v>
      </c>
      <c r="H1313" s="4">
        <f t="shared" si="61"/>
        <v>0</v>
      </c>
      <c r="I1313" s="1">
        <f t="shared" si="62"/>
        <v>0</v>
      </c>
    </row>
    <row r="1314" spans="1:9" hidden="1" x14ac:dyDescent="0.2">
      <c r="A1314" s="6">
        <v>44041.708333333336</v>
      </c>
      <c r="B1314" s="1" t="s">
        <v>10</v>
      </c>
      <c r="C1314">
        <v>8</v>
      </c>
      <c r="D1314">
        <v>2</v>
      </c>
      <c r="E1314">
        <v>345</v>
      </c>
      <c r="F1314">
        <v>3378</v>
      </c>
      <c r="G1314" s="3">
        <f t="shared" si="60"/>
        <v>3</v>
      </c>
      <c r="H1314" s="4">
        <f t="shared" si="61"/>
        <v>8.8809946714030197E-4</v>
      </c>
      <c r="I1314" s="1">
        <f t="shared" si="62"/>
        <v>0</v>
      </c>
    </row>
    <row r="1315" spans="1:9" hidden="1" x14ac:dyDescent="0.2">
      <c r="A1315" s="6">
        <v>44042.708333333336</v>
      </c>
      <c r="B1315" s="1" t="s">
        <v>10</v>
      </c>
      <c r="C1315">
        <v>9</v>
      </c>
      <c r="D1315">
        <v>2</v>
      </c>
      <c r="E1315">
        <v>345</v>
      </c>
      <c r="F1315">
        <v>3391</v>
      </c>
      <c r="G1315" s="3">
        <f t="shared" si="60"/>
        <v>13</v>
      </c>
      <c r="H1315" s="4">
        <f t="shared" si="61"/>
        <v>3.8336773813034686E-3</v>
      </c>
      <c r="I1315" s="1">
        <f t="shared" si="62"/>
        <v>0</v>
      </c>
    </row>
    <row r="1316" spans="1:9" hidden="1" x14ac:dyDescent="0.2">
      <c r="A1316" s="6">
        <v>44043.708333333336</v>
      </c>
      <c r="B1316" s="1" t="s">
        <v>10</v>
      </c>
      <c r="C1316">
        <v>9</v>
      </c>
      <c r="D1316">
        <v>2</v>
      </c>
      <c r="E1316">
        <v>345</v>
      </c>
      <c r="F1316">
        <v>3394</v>
      </c>
      <c r="G1316" s="3">
        <f t="shared" si="60"/>
        <v>3</v>
      </c>
      <c r="H1316" s="4">
        <f t="shared" si="61"/>
        <v>8.8391278727162348E-4</v>
      </c>
      <c r="I1316" s="1">
        <f t="shared" si="62"/>
        <v>0</v>
      </c>
    </row>
    <row r="1317" spans="1:9" hidden="1" x14ac:dyDescent="0.2">
      <c r="A1317" s="6">
        <v>44044.708333333336</v>
      </c>
      <c r="B1317" s="1" t="s">
        <v>10</v>
      </c>
      <c r="C1317">
        <v>8</v>
      </c>
      <c r="D1317">
        <v>3</v>
      </c>
      <c r="E1317">
        <v>345</v>
      </c>
      <c r="F1317">
        <v>3401</v>
      </c>
      <c r="G1317" s="3">
        <f t="shared" si="60"/>
        <v>7</v>
      </c>
      <c r="H1317" s="4">
        <f t="shared" si="61"/>
        <v>2.0582181711261693E-3</v>
      </c>
      <c r="I1317" s="1">
        <f t="shared" si="62"/>
        <v>0</v>
      </c>
    </row>
    <row r="1318" spans="1:9" hidden="1" x14ac:dyDescent="0.2">
      <c r="A1318" s="6">
        <v>44045.708333333336</v>
      </c>
      <c r="B1318" s="1" t="s">
        <v>10</v>
      </c>
      <c r="C1318">
        <v>9</v>
      </c>
      <c r="D1318">
        <v>3</v>
      </c>
      <c r="E1318">
        <v>345</v>
      </c>
      <c r="F1318">
        <v>3411</v>
      </c>
      <c r="G1318" s="3">
        <f t="shared" si="60"/>
        <v>10</v>
      </c>
      <c r="H1318" s="4">
        <f t="shared" si="61"/>
        <v>2.9316915860451154E-3</v>
      </c>
      <c r="I1318" s="1">
        <f t="shared" si="62"/>
        <v>0</v>
      </c>
    </row>
    <row r="1319" spans="1:9" hidden="1" x14ac:dyDescent="0.2">
      <c r="A1319" s="6">
        <v>44046.708333333336</v>
      </c>
      <c r="B1319" s="1" t="s">
        <v>10</v>
      </c>
      <c r="C1319">
        <v>9</v>
      </c>
      <c r="D1319">
        <v>3</v>
      </c>
      <c r="E1319">
        <v>346</v>
      </c>
      <c r="F1319">
        <v>3411</v>
      </c>
      <c r="G1319" s="3">
        <f t="shared" si="60"/>
        <v>0</v>
      </c>
      <c r="H1319" s="4">
        <f t="shared" si="61"/>
        <v>0</v>
      </c>
      <c r="I1319" s="1">
        <f t="shared" si="62"/>
        <v>1</v>
      </c>
    </row>
    <row r="1320" spans="1:9" hidden="1" x14ac:dyDescent="0.2">
      <c r="A1320" s="6">
        <v>44047.708333333336</v>
      </c>
      <c r="B1320" s="1" t="s">
        <v>10</v>
      </c>
      <c r="C1320">
        <v>7</v>
      </c>
      <c r="D1320">
        <v>2</v>
      </c>
      <c r="E1320">
        <v>346</v>
      </c>
      <c r="F1320">
        <v>3416</v>
      </c>
      <c r="G1320" s="3">
        <f t="shared" si="60"/>
        <v>5</v>
      </c>
      <c r="H1320" s="4">
        <f t="shared" si="61"/>
        <v>1.4637002341920669E-3</v>
      </c>
      <c r="I1320" s="1">
        <f t="shared" si="62"/>
        <v>0</v>
      </c>
    </row>
    <row r="1321" spans="1:9" hidden="1" x14ac:dyDescent="0.2">
      <c r="A1321" s="6">
        <v>44048.708333333336</v>
      </c>
      <c r="B1321" s="1" t="s">
        <v>10</v>
      </c>
      <c r="C1321">
        <v>8</v>
      </c>
      <c r="D1321">
        <v>2</v>
      </c>
      <c r="E1321">
        <v>346</v>
      </c>
      <c r="F1321">
        <v>3425</v>
      </c>
      <c r="G1321" s="3">
        <f t="shared" si="60"/>
        <v>9</v>
      </c>
      <c r="H1321" s="4">
        <f t="shared" si="61"/>
        <v>2.6277372262774046E-3</v>
      </c>
      <c r="I1321" s="1">
        <f t="shared" si="62"/>
        <v>0</v>
      </c>
    </row>
    <row r="1322" spans="1:9" hidden="1" x14ac:dyDescent="0.2">
      <c r="A1322" s="6">
        <v>44049.708333333336</v>
      </c>
      <c r="B1322" s="1" t="s">
        <v>10</v>
      </c>
      <c r="C1322">
        <v>11</v>
      </c>
      <c r="D1322">
        <v>2</v>
      </c>
      <c r="E1322">
        <v>346</v>
      </c>
      <c r="F1322">
        <v>3432</v>
      </c>
      <c r="G1322" s="3">
        <f t="shared" si="60"/>
        <v>7</v>
      </c>
      <c r="H1322" s="4">
        <f t="shared" si="61"/>
        <v>2.0396270396270122E-3</v>
      </c>
      <c r="I1322" s="1">
        <f t="shared" si="62"/>
        <v>0</v>
      </c>
    </row>
    <row r="1323" spans="1:9" hidden="1" x14ac:dyDescent="0.2">
      <c r="A1323" s="6">
        <v>44050.708333333336</v>
      </c>
      <c r="B1323" s="1" t="s">
        <v>10</v>
      </c>
      <c r="C1323">
        <v>13</v>
      </c>
      <c r="D1323">
        <v>3</v>
      </c>
      <c r="E1323">
        <v>346</v>
      </c>
      <c r="F1323">
        <v>3436</v>
      </c>
      <c r="G1323" s="3">
        <f t="shared" si="60"/>
        <v>4</v>
      </c>
      <c r="H1323" s="4">
        <f t="shared" si="61"/>
        <v>1.1641443538998875E-3</v>
      </c>
      <c r="I1323" s="1">
        <f t="shared" si="62"/>
        <v>0</v>
      </c>
    </row>
    <row r="1324" spans="1:9" hidden="1" x14ac:dyDescent="0.2">
      <c r="A1324" s="6">
        <v>44051.708333333336</v>
      </c>
      <c r="B1324" s="1" t="s">
        <v>10</v>
      </c>
      <c r="C1324">
        <v>11</v>
      </c>
      <c r="D1324">
        <v>3</v>
      </c>
      <c r="E1324">
        <v>346</v>
      </c>
      <c r="F1324">
        <v>3442</v>
      </c>
      <c r="G1324" s="3">
        <f t="shared" si="60"/>
        <v>6</v>
      </c>
      <c r="H1324" s="4">
        <f t="shared" si="61"/>
        <v>1.7431725740848503E-3</v>
      </c>
      <c r="I1324" s="1">
        <f t="shared" si="62"/>
        <v>0</v>
      </c>
    </row>
    <row r="1325" spans="1:9" hidden="1" x14ac:dyDescent="0.2">
      <c r="A1325" s="6">
        <v>44052.708333333336</v>
      </c>
      <c r="B1325" s="1" t="s">
        <v>10</v>
      </c>
      <c r="C1325">
        <v>11</v>
      </c>
      <c r="D1325">
        <v>3</v>
      </c>
      <c r="E1325">
        <v>346</v>
      </c>
      <c r="F1325">
        <v>3449</v>
      </c>
      <c r="G1325" s="3">
        <f t="shared" si="60"/>
        <v>7</v>
      </c>
      <c r="H1325" s="4">
        <f t="shared" si="61"/>
        <v>2.029573789504191E-3</v>
      </c>
      <c r="I1325" s="1">
        <f t="shared" si="62"/>
        <v>0</v>
      </c>
    </row>
    <row r="1326" spans="1:9" hidden="1" x14ac:dyDescent="0.2">
      <c r="A1326" s="6">
        <v>44053.708333333336</v>
      </c>
      <c r="B1326" s="1" t="s">
        <v>10</v>
      </c>
      <c r="C1326">
        <v>10</v>
      </c>
      <c r="D1326">
        <v>3</v>
      </c>
      <c r="E1326">
        <v>347</v>
      </c>
      <c r="F1326">
        <v>3449</v>
      </c>
      <c r="G1326" s="3">
        <f t="shared" si="60"/>
        <v>0</v>
      </c>
      <c r="H1326" s="4">
        <f t="shared" si="61"/>
        <v>0</v>
      </c>
      <c r="I1326" s="1">
        <f t="shared" si="62"/>
        <v>1</v>
      </c>
    </row>
    <row r="1327" spans="1:9" hidden="1" x14ac:dyDescent="0.2">
      <c r="A1327" s="6">
        <v>44054.708333333336</v>
      </c>
      <c r="B1327" s="1" t="s">
        <v>10</v>
      </c>
      <c r="C1327">
        <v>8</v>
      </c>
      <c r="D1327">
        <v>3</v>
      </c>
      <c r="E1327">
        <v>348</v>
      </c>
      <c r="F1327">
        <v>3452</v>
      </c>
      <c r="G1327" s="3">
        <f t="shared" si="60"/>
        <v>3</v>
      </c>
      <c r="H1327" s="4">
        <f t="shared" si="61"/>
        <v>8.6906141367326661E-4</v>
      </c>
      <c r="I1327" s="1">
        <f t="shared" si="62"/>
        <v>1</v>
      </c>
    </row>
    <row r="1328" spans="1:9" hidden="1" x14ac:dyDescent="0.2">
      <c r="A1328" s="6">
        <v>44055.708333333336</v>
      </c>
      <c r="B1328" s="1" t="s">
        <v>10</v>
      </c>
      <c r="C1328">
        <v>7</v>
      </c>
      <c r="D1328">
        <v>3</v>
      </c>
      <c r="E1328">
        <v>348</v>
      </c>
      <c r="F1328">
        <v>3461</v>
      </c>
      <c r="G1328" s="3">
        <f t="shared" si="60"/>
        <v>9</v>
      </c>
      <c r="H1328" s="4">
        <f t="shared" si="61"/>
        <v>2.6004045073677595E-3</v>
      </c>
      <c r="I1328" s="1">
        <f t="shared" si="62"/>
        <v>0</v>
      </c>
    </row>
    <row r="1329" spans="1:9" hidden="1" x14ac:dyDescent="0.2">
      <c r="A1329" s="6">
        <v>44056.708333333336</v>
      </c>
      <c r="B1329" s="1" t="s">
        <v>10</v>
      </c>
      <c r="C1329">
        <v>7</v>
      </c>
      <c r="D1329">
        <v>3</v>
      </c>
      <c r="E1329">
        <v>348</v>
      </c>
      <c r="F1329">
        <v>3476</v>
      </c>
      <c r="G1329" s="3">
        <f t="shared" si="60"/>
        <v>15</v>
      </c>
      <c r="H1329" s="4">
        <f t="shared" si="61"/>
        <v>4.3153049482163031E-3</v>
      </c>
      <c r="I1329" s="1">
        <f t="shared" si="62"/>
        <v>0</v>
      </c>
    </row>
    <row r="1330" spans="1:9" hidden="1" x14ac:dyDescent="0.2">
      <c r="A1330" s="6">
        <v>44057.708333333336</v>
      </c>
      <c r="B1330" s="1" t="s">
        <v>10</v>
      </c>
      <c r="C1330">
        <v>3</v>
      </c>
      <c r="D1330">
        <v>3</v>
      </c>
      <c r="E1330">
        <v>348</v>
      </c>
      <c r="F1330">
        <v>3484</v>
      </c>
      <c r="G1330" s="3">
        <f t="shared" si="60"/>
        <v>8</v>
      </c>
      <c r="H1330" s="4">
        <f t="shared" si="61"/>
        <v>2.2962112514350874E-3</v>
      </c>
      <c r="I1330" s="1">
        <f t="shared" si="62"/>
        <v>0</v>
      </c>
    </row>
    <row r="1331" spans="1:9" hidden="1" x14ac:dyDescent="0.2">
      <c r="A1331" s="6">
        <v>44058.708333333336</v>
      </c>
      <c r="B1331" s="1" t="s">
        <v>10</v>
      </c>
      <c r="C1331">
        <v>2</v>
      </c>
      <c r="D1331">
        <v>3</v>
      </c>
      <c r="E1331">
        <v>348</v>
      </c>
      <c r="F1331">
        <v>3499</v>
      </c>
      <c r="G1331" s="3">
        <f t="shared" si="60"/>
        <v>15</v>
      </c>
      <c r="H1331" s="4">
        <f t="shared" si="61"/>
        <v>4.2869391254644063E-3</v>
      </c>
      <c r="I1331" s="1">
        <f t="shared" si="62"/>
        <v>0</v>
      </c>
    </row>
    <row r="1332" spans="1:9" hidden="1" x14ac:dyDescent="0.2">
      <c r="A1332" s="6">
        <v>44059.708333333336</v>
      </c>
      <c r="B1332" s="1" t="s">
        <v>10</v>
      </c>
      <c r="C1332">
        <v>3</v>
      </c>
      <c r="D1332">
        <v>3</v>
      </c>
      <c r="E1332">
        <v>348</v>
      </c>
      <c r="F1332">
        <v>3507</v>
      </c>
      <c r="G1332" s="3">
        <f t="shared" si="60"/>
        <v>8</v>
      </c>
      <c r="H1332" s="4">
        <f t="shared" si="61"/>
        <v>2.2811519817508286E-3</v>
      </c>
      <c r="I1332" s="1">
        <f t="shared" si="62"/>
        <v>0</v>
      </c>
    </row>
    <row r="1333" spans="1:9" hidden="1" x14ac:dyDescent="0.2">
      <c r="A1333" s="6">
        <v>44060.708333333336</v>
      </c>
      <c r="B1333" s="1" t="s">
        <v>10</v>
      </c>
      <c r="C1333">
        <v>6</v>
      </c>
      <c r="D1333">
        <v>3</v>
      </c>
      <c r="E1333">
        <v>348</v>
      </c>
      <c r="F1333">
        <v>3512</v>
      </c>
      <c r="G1333" s="3">
        <f t="shared" si="60"/>
        <v>5</v>
      </c>
      <c r="H1333" s="4">
        <f t="shared" si="61"/>
        <v>1.4236902050114297E-3</v>
      </c>
      <c r="I1333" s="1">
        <f t="shared" si="62"/>
        <v>0</v>
      </c>
    </row>
    <row r="1334" spans="1:9" hidden="1" x14ac:dyDescent="0.2">
      <c r="A1334" s="6">
        <v>44061.708333333336</v>
      </c>
      <c r="B1334" s="1" t="s">
        <v>10</v>
      </c>
      <c r="C1334">
        <v>5</v>
      </c>
      <c r="D1334">
        <v>3</v>
      </c>
      <c r="E1334">
        <v>348</v>
      </c>
      <c r="F1334">
        <v>3522</v>
      </c>
      <c r="G1334" s="3">
        <f t="shared" si="60"/>
        <v>10</v>
      </c>
      <c r="H1334" s="4">
        <f t="shared" si="61"/>
        <v>2.8392958546280544E-3</v>
      </c>
      <c r="I1334" s="1">
        <f t="shared" si="62"/>
        <v>0</v>
      </c>
    </row>
    <row r="1335" spans="1:9" hidden="1" x14ac:dyDescent="0.2">
      <c r="A1335" s="6">
        <v>44062.708333333336</v>
      </c>
      <c r="B1335" s="1" t="s">
        <v>10</v>
      </c>
      <c r="C1335">
        <v>7</v>
      </c>
      <c r="D1335">
        <v>3</v>
      </c>
      <c r="E1335">
        <v>348</v>
      </c>
      <c r="F1335">
        <v>3533</v>
      </c>
      <c r="G1335" s="3">
        <f t="shared" si="60"/>
        <v>11</v>
      </c>
      <c r="H1335" s="4">
        <f t="shared" si="61"/>
        <v>3.1135012737050216E-3</v>
      </c>
      <c r="I1335" s="1">
        <f t="shared" si="62"/>
        <v>0</v>
      </c>
    </row>
    <row r="1336" spans="1:9" hidden="1" x14ac:dyDescent="0.2">
      <c r="A1336" s="6">
        <v>44063.708333333336</v>
      </c>
      <c r="B1336" s="1" t="s">
        <v>10</v>
      </c>
      <c r="C1336">
        <v>9</v>
      </c>
      <c r="D1336">
        <v>3</v>
      </c>
      <c r="E1336">
        <v>348</v>
      </c>
      <c r="F1336">
        <v>3547</v>
      </c>
      <c r="G1336" s="3">
        <f t="shared" si="60"/>
        <v>14</v>
      </c>
      <c r="H1336" s="4">
        <f t="shared" si="61"/>
        <v>3.9469974626444859E-3</v>
      </c>
      <c r="I1336" s="1">
        <f t="shared" si="62"/>
        <v>0</v>
      </c>
    </row>
    <row r="1337" spans="1:9" hidden="1" x14ac:dyDescent="0.2">
      <c r="A1337" s="6">
        <v>44064.708333333336</v>
      </c>
      <c r="B1337" s="1" t="s">
        <v>10</v>
      </c>
      <c r="C1337">
        <v>9</v>
      </c>
      <c r="D1337">
        <v>2</v>
      </c>
      <c r="E1337">
        <v>348</v>
      </c>
      <c r="F1337">
        <v>3583</v>
      </c>
      <c r="G1337" s="3">
        <f t="shared" si="60"/>
        <v>36</v>
      </c>
      <c r="H1337" s="4">
        <f t="shared" si="61"/>
        <v>1.0047446274072058E-2</v>
      </c>
      <c r="I1337" s="1">
        <f t="shared" si="62"/>
        <v>0</v>
      </c>
    </row>
    <row r="1338" spans="1:9" hidden="1" x14ac:dyDescent="0.2">
      <c r="A1338" s="6">
        <v>44065.708333333336</v>
      </c>
      <c r="B1338" s="1" t="s">
        <v>10</v>
      </c>
      <c r="C1338">
        <v>9</v>
      </c>
      <c r="D1338">
        <v>2</v>
      </c>
      <c r="E1338">
        <v>348</v>
      </c>
      <c r="F1338">
        <v>3616</v>
      </c>
      <c r="G1338" s="3">
        <f t="shared" si="60"/>
        <v>33</v>
      </c>
      <c r="H1338" s="4">
        <f t="shared" si="61"/>
        <v>9.1261061946902311E-3</v>
      </c>
      <c r="I1338" s="1">
        <f t="shared" si="62"/>
        <v>0</v>
      </c>
    </row>
    <row r="1339" spans="1:9" hidden="1" x14ac:dyDescent="0.2">
      <c r="A1339" s="6">
        <v>44066.708333333336</v>
      </c>
      <c r="B1339" s="1" t="s">
        <v>10</v>
      </c>
      <c r="C1339">
        <v>10</v>
      </c>
      <c r="D1339">
        <v>2</v>
      </c>
      <c r="E1339">
        <v>348</v>
      </c>
      <c r="F1339">
        <v>3640</v>
      </c>
      <c r="G1339" s="3">
        <f t="shared" si="60"/>
        <v>24</v>
      </c>
      <c r="H1339" s="4">
        <f t="shared" si="61"/>
        <v>6.59340659340657E-3</v>
      </c>
      <c r="I1339" s="1">
        <f t="shared" si="62"/>
        <v>0</v>
      </c>
    </row>
    <row r="1340" spans="1:9" hidden="1" x14ac:dyDescent="0.2">
      <c r="A1340" s="6">
        <v>44067.708333333336</v>
      </c>
      <c r="B1340" s="1" t="s">
        <v>10</v>
      </c>
      <c r="C1340">
        <v>11</v>
      </c>
      <c r="D1340">
        <v>2</v>
      </c>
      <c r="E1340">
        <v>348</v>
      </c>
      <c r="F1340">
        <v>3642</v>
      </c>
      <c r="G1340" s="3">
        <f t="shared" si="60"/>
        <v>2</v>
      </c>
      <c r="H1340" s="4">
        <f t="shared" si="61"/>
        <v>5.4914881932999204E-4</v>
      </c>
      <c r="I1340" s="1">
        <f t="shared" si="62"/>
        <v>0</v>
      </c>
    </row>
    <row r="1341" spans="1:9" hidden="1" x14ac:dyDescent="0.2">
      <c r="A1341" s="6">
        <v>44068.708333333336</v>
      </c>
      <c r="B1341" s="1" t="s">
        <v>10</v>
      </c>
      <c r="C1341">
        <v>13</v>
      </c>
      <c r="D1341">
        <v>2</v>
      </c>
      <c r="E1341">
        <v>348</v>
      </c>
      <c r="F1341">
        <v>3651</v>
      </c>
      <c r="G1341" s="3">
        <f t="shared" si="60"/>
        <v>9</v>
      </c>
      <c r="H1341" s="4">
        <f t="shared" si="61"/>
        <v>2.4650780608052036E-3</v>
      </c>
      <c r="I1341" s="1">
        <f t="shared" si="62"/>
        <v>0</v>
      </c>
    </row>
    <row r="1342" spans="1:9" hidden="1" x14ac:dyDescent="0.2">
      <c r="A1342" s="6">
        <v>44069.708333333336</v>
      </c>
      <c r="B1342" s="1" t="s">
        <v>10</v>
      </c>
      <c r="C1342">
        <v>14</v>
      </c>
      <c r="D1342">
        <v>0</v>
      </c>
      <c r="E1342">
        <v>348</v>
      </c>
      <c r="F1342">
        <v>3684</v>
      </c>
      <c r="G1342" s="3">
        <f t="shared" si="60"/>
        <v>33</v>
      </c>
      <c r="H1342" s="4">
        <f t="shared" si="61"/>
        <v>8.9576547231270398E-3</v>
      </c>
      <c r="I1342" s="1">
        <f t="shared" si="62"/>
        <v>0</v>
      </c>
    </row>
    <row r="1343" spans="1:9" hidden="1" x14ac:dyDescent="0.2">
      <c r="A1343" s="6">
        <v>44070.708333333336</v>
      </c>
      <c r="B1343" s="1" t="s">
        <v>10</v>
      </c>
      <c r="C1343">
        <v>13</v>
      </c>
      <c r="D1343">
        <v>0</v>
      </c>
      <c r="E1343">
        <v>348</v>
      </c>
      <c r="F1343">
        <v>3709</v>
      </c>
      <c r="G1343" s="3">
        <f t="shared" si="60"/>
        <v>25</v>
      </c>
      <c r="H1343" s="4">
        <f t="shared" si="61"/>
        <v>6.7403612833647486E-3</v>
      </c>
      <c r="I1343" s="1">
        <f t="shared" si="62"/>
        <v>0</v>
      </c>
    </row>
    <row r="1344" spans="1:9" hidden="1" x14ac:dyDescent="0.2">
      <c r="A1344" s="6">
        <v>44071.708333333336</v>
      </c>
      <c r="B1344" s="1" t="s">
        <v>10</v>
      </c>
      <c r="C1344">
        <v>13</v>
      </c>
      <c r="D1344">
        <v>0</v>
      </c>
      <c r="E1344">
        <v>348</v>
      </c>
      <c r="F1344">
        <v>3728</v>
      </c>
      <c r="G1344" s="3">
        <f t="shared" si="60"/>
        <v>19</v>
      </c>
      <c r="H1344" s="4">
        <f t="shared" si="61"/>
        <v>5.0965665236051283E-3</v>
      </c>
      <c r="I1344" s="1">
        <f t="shared" si="62"/>
        <v>0</v>
      </c>
    </row>
    <row r="1345" spans="1:9" hidden="1" x14ac:dyDescent="0.2">
      <c r="A1345" s="6">
        <v>44072.708333333336</v>
      </c>
      <c r="B1345" s="1" t="s">
        <v>10</v>
      </c>
      <c r="C1345">
        <v>15</v>
      </c>
      <c r="D1345">
        <v>0</v>
      </c>
      <c r="E1345">
        <v>348</v>
      </c>
      <c r="F1345">
        <v>3748</v>
      </c>
      <c r="G1345" s="3">
        <f t="shared" si="60"/>
        <v>20</v>
      </c>
      <c r="H1345" s="4">
        <f t="shared" si="61"/>
        <v>5.3361792956243548E-3</v>
      </c>
      <c r="I1345" s="1">
        <f t="shared" si="62"/>
        <v>0</v>
      </c>
    </row>
    <row r="1346" spans="1:9" hidden="1" x14ac:dyDescent="0.2">
      <c r="A1346" s="6">
        <v>44073.708333333336</v>
      </c>
      <c r="B1346" s="1" t="s">
        <v>10</v>
      </c>
      <c r="C1346">
        <v>15</v>
      </c>
      <c r="D1346">
        <v>1</v>
      </c>
      <c r="E1346">
        <v>348</v>
      </c>
      <c r="F1346">
        <v>3764</v>
      </c>
      <c r="G1346" s="3">
        <f t="shared" si="60"/>
        <v>16</v>
      </c>
      <c r="H1346" s="4">
        <f t="shared" si="61"/>
        <v>4.2507970244420878E-3</v>
      </c>
      <c r="I1346" s="1">
        <f t="shared" si="62"/>
        <v>0</v>
      </c>
    </row>
    <row r="1347" spans="1:9" hidden="1" x14ac:dyDescent="0.2">
      <c r="A1347" s="6">
        <v>44074.708333333336</v>
      </c>
      <c r="B1347" s="1" t="s">
        <v>10</v>
      </c>
      <c r="C1347">
        <v>13</v>
      </c>
      <c r="D1347">
        <v>2</v>
      </c>
      <c r="E1347">
        <v>348</v>
      </c>
      <c r="F1347">
        <v>3769</v>
      </c>
      <c r="G1347" s="3">
        <f t="shared" ref="G1347:G1410" si="63">IF(AND(F1347&gt;0,AND(B1347=B1346,F1347&gt;0)),F1347-F1346,0)</f>
        <v>5</v>
      </c>
      <c r="H1347" s="4">
        <f t="shared" ref="H1347:H1410" si="64">IF(AND(F1346&gt;0,AND(B1347=B1346,F1346&gt;0)),1-(F1346/F1347),0)</f>
        <v>1.3266118333775667E-3</v>
      </c>
      <c r="I1347" s="1">
        <f t="shared" ref="I1347:I1410" si="65">IF(AND(E1347&gt;0,AND(B1347=B1346,E1347&gt;0)),E1347-E1346,0)</f>
        <v>0</v>
      </c>
    </row>
    <row r="1348" spans="1:9" hidden="1" x14ac:dyDescent="0.2">
      <c r="A1348" s="6">
        <v>44075.708333333336</v>
      </c>
      <c r="B1348" s="1" t="s">
        <v>10</v>
      </c>
      <c r="C1348">
        <v>12</v>
      </c>
      <c r="D1348">
        <v>2</v>
      </c>
      <c r="E1348">
        <v>348</v>
      </c>
      <c r="F1348">
        <v>3786</v>
      </c>
      <c r="G1348" s="3">
        <f t="shared" si="63"/>
        <v>17</v>
      </c>
      <c r="H1348" s="4">
        <f t="shared" si="64"/>
        <v>4.4902271526676696E-3</v>
      </c>
      <c r="I1348" s="1">
        <f t="shared" si="65"/>
        <v>0</v>
      </c>
    </row>
    <row r="1349" spans="1:9" hidden="1" x14ac:dyDescent="0.2">
      <c r="A1349" s="6">
        <v>44076.708333333336</v>
      </c>
      <c r="B1349" s="1" t="s">
        <v>10</v>
      </c>
      <c r="C1349">
        <v>11</v>
      </c>
      <c r="D1349">
        <v>3</v>
      </c>
      <c r="E1349">
        <v>349</v>
      </c>
      <c r="F1349">
        <v>3806</v>
      </c>
      <c r="G1349" s="3">
        <f t="shared" si="63"/>
        <v>20</v>
      </c>
      <c r="H1349" s="4">
        <f t="shared" si="64"/>
        <v>5.2548607461901931E-3</v>
      </c>
      <c r="I1349" s="1">
        <f t="shared" si="65"/>
        <v>1</v>
      </c>
    </row>
    <row r="1350" spans="1:9" hidden="1" x14ac:dyDescent="0.2">
      <c r="A1350" s="6">
        <v>44077.708333333336</v>
      </c>
      <c r="B1350" s="1" t="s">
        <v>10</v>
      </c>
      <c r="C1350">
        <v>12</v>
      </c>
      <c r="D1350">
        <v>3</v>
      </c>
      <c r="E1350">
        <v>349</v>
      </c>
      <c r="F1350">
        <v>3831</v>
      </c>
      <c r="G1350" s="3">
        <f t="shared" si="63"/>
        <v>25</v>
      </c>
      <c r="H1350" s="4">
        <f t="shared" si="64"/>
        <v>6.5257113025319891E-3</v>
      </c>
      <c r="I1350" s="1">
        <f t="shared" si="65"/>
        <v>0</v>
      </c>
    </row>
    <row r="1351" spans="1:9" hidden="1" x14ac:dyDescent="0.2">
      <c r="A1351" s="6">
        <v>44078.708333333336</v>
      </c>
      <c r="B1351" s="1" t="s">
        <v>10</v>
      </c>
      <c r="C1351">
        <v>11</v>
      </c>
      <c r="D1351">
        <v>4</v>
      </c>
      <c r="E1351">
        <v>349</v>
      </c>
      <c r="F1351">
        <v>3854</v>
      </c>
      <c r="G1351" s="3">
        <f t="shared" si="63"/>
        <v>23</v>
      </c>
      <c r="H1351" s="4">
        <f t="shared" si="64"/>
        <v>5.9678256357031945E-3</v>
      </c>
      <c r="I1351" s="1">
        <f t="shared" si="65"/>
        <v>0</v>
      </c>
    </row>
    <row r="1352" spans="1:9" hidden="1" x14ac:dyDescent="0.2">
      <c r="A1352" s="6">
        <v>44079.708333333336</v>
      </c>
      <c r="B1352" s="1" t="s">
        <v>10</v>
      </c>
      <c r="C1352">
        <v>15</v>
      </c>
      <c r="D1352">
        <v>3</v>
      </c>
      <c r="E1352">
        <v>349</v>
      </c>
      <c r="F1352">
        <v>3903</v>
      </c>
      <c r="G1352" s="3">
        <f t="shared" si="63"/>
        <v>49</v>
      </c>
      <c r="H1352" s="4">
        <f t="shared" si="64"/>
        <v>1.255444529848837E-2</v>
      </c>
      <c r="I1352" s="1">
        <f t="shared" si="65"/>
        <v>0</v>
      </c>
    </row>
    <row r="1353" spans="1:9" hidden="1" x14ac:dyDescent="0.2">
      <c r="A1353" s="6">
        <v>44080.708333333336</v>
      </c>
      <c r="B1353" s="1" t="s">
        <v>10</v>
      </c>
      <c r="C1353">
        <v>15</v>
      </c>
      <c r="D1353">
        <v>4</v>
      </c>
      <c r="E1353">
        <v>349</v>
      </c>
      <c r="F1353">
        <v>3923</v>
      </c>
      <c r="G1353" s="3">
        <f t="shared" si="63"/>
        <v>20</v>
      </c>
      <c r="H1353" s="4">
        <f t="shared" si="64"/>
        <v>5.0981391791995456E-3</v>
      </c>
      <c r="I1353" s="1">
        <f t="shared" si="65"/>
        <v>0</v>
      </c>
    </row>
    <row r="1354" spans="1:9" hidden="1" x14ac:dyDescent="0.2">
      <c r="A1354" s="6">
        <v>44081.708333333336</v>
      </c>
      <c r="B1354" s="1" t="s">
        <v>10</v>
      </c>
      <c r="C1354">
        <v>16</v>
      </c>
      <c r="D1354">
        <v>4</v>
      </c>
      <c r="E1354">
        <v>349</v>
      </c>
      <c r="F1354">
        <v>3934</v>
      </c>
      <c r="G1354" s="3">
        <f t="shared" si="63"/>
        <v>11</v>
      </c>
      <c r="H1354" s="4">
        <f t="shared" si="64"/>
        <v>2.7961362480934948E-3</v>
      </c>
      <c r="I1354" s="1">
        <f t="shared" si="65"/>
        <v>0</v>
      </c>
    </row>
    <row r="1355" spans="1:9" hidden="1" x14ac:dyDescent="0.2">
      <c r="A1355" s="6">
        <v>44082.708333333336</v>
      </c>
      <c r="B1355" s="1" t="s">
        <v>10</v>
      </c>
      <c r="C1355">
        <v>18</v>
      </c>
      <c r="D1355">
        <v>4</v>
      </c>
      <c r="E1355">
        <v>349</v>
      </c>
      <c r="F1355">
        <v>3946</v>
      </c>
      <c r="G1355" s="3">
        <f t="shared" si="63"/>
        <v>12</v>
      </c>
      <c r="H1355" s="4">
        <f t="shared" si="64"/>
        <v>3.0410542321338552E-3</v>
      </c>
      <c r="I1355" s="1">
        <f t="shared" si="65"/>
        <v>0</v>
      </c>
    </row>
    <row r="1356" spans="1:9" hidden="1" x14ac:dyDescent="0.2">
      <c r="A1356" s="6">
        <v>44083.708333333336</v>
      </c>
      <c r="B1356" s="1" t="s">
        <v>10</v>
      </c>
      <c r="C1356">
        <v>17</v>
      </c>
      <c r="D1356">
        <v>3</v>
      </c>
      <c r="E1356">
        <v>349</v>
      </c>
      <c r="F1356">
        <v>4000</v>
      </c>
      <c r="G1356" s="3">
        <f t="shared" si="63"/>
        <v>54</v>
      </c>
      <c r="H1356" s="4">
        <f t="shared" si="64"/>
        <v>1.3499999999999956E-2</v>
      </c>
      <c r="I1356" s="1">
        <f t="shared" si="65"/>
        <v>0</v>
      </c>
    </row>
    <row r="1357" spans="1:9" hidden="1" x14ac:dyDescent="0.2">
      <c r="A1357" s="6">
        <v>44084.708333333336</v>
      </c>
      <c r="B1357" s="1" t="s">
        <v>10</v>
      </c>
      <c r="C1357">
        <v>17</v>
      </c>
      <c r="D1357">
        <v>3</v>
      </c>
      <c r="E1357">
        <v>349</v>
      </c>
      <c r="F1357">
        <v>4039</v>
      </c>
      <c r="G1357" s="3">
        <f t="shared" si="63"/>
        <v>39</v>
      </c>
      <c r="H1357" s="4">
        <f t="shared" si="64"/>
        <v>9.6558554097548877E-3</v>
      </c>
      <c r="I1357" s="1">
        <f t="shared" si="65"/>
        <v>0</v>
      </c>
    </row>
    <row r="1358" spans="1:9" hidden="1" x14ac:dyDescent="0.2">
      <c r="A1358" s="6">
        <v>44085.708333333336</v>
      </c>
      <c r="B1358" s="1" t="s">
        <v>10</v>
      </c>
      <c r="C1358">
        <v>17</v>
      </c>
      <c r="D1358">
        <v>3</v>
      </c>
      <c r="E1358">
        <v>349</v>
      </c>
      <c r="F1358">
        <v>4073</v>
      </c>
      <c r="G1358" s="3">
        <f t="shared" si="63"/>
        <v>34</v>
      </c>
      <c r="H1358" s="4">
        <f t="shared" si="64"/>
        <v>8.3476552909403923E-3</v>
      </c>
      <c r="I1358" s="1">
        <f t="shared" si="65"/>
        <v>0</v>
      </c>
    </row>
    <row r="1359" spans="1:9" hidden="1" x14ac:dyDescent="0.2">
      <c r="A1359" s="6">
        <v>44086.708333333336</v>
      </c>
      <c r="B1359" s="1" t="s">
        <v>10</v>
      </c>
      <c r="C1359">
        <v>18</v>
      </c>
      <c r="D1359">
        <v>2</v>
      </c>
      <c r="E1359">
        <v>349</v>
      </c>
      <c r="F1359">
        <v>4112</v>
      </c>
      <c r="G1359" s="3">
        <f t="shared" si="63"/>
        <v>39</v>
      </c>
      <c r="H1359" s="4">
        <f t="shared" si="64"/>
        <v>9.484435797665336E-3</v>
      </c>
      <c r="I1359" s="1">
        <f t="shared" si="65"/>
        <v>0</v>
      </c>
    </row>
    <row r="1360" spans="1:9" hidden="1" x14ac:dyDescent="0.2">
      <c r="A1360" s="6">
        <v>44087.708333333336</v>
      </c>
      <c r="B1360" s="1" t="s">
        <v>10</v>
      </c>
      <c r="C1360">
        <v>23</v>
      </c>
      <c r="D1360">
        <v>2</v>
      </c>
      <c r="E1360">
        <v>349</v>
      </c>
      <c r="F1360">
        <v>4157</v>
      </c>
      <c r="G1360" s="3">
        <f t="shared" si="63"/>
        <v>45</v>
      </c>
      <c r="H1360" s="4">
        <f t="shared" si="64"/>
        <v>1.0825114265095026E-2</v>
      </c>
      <c r="I1360" s="1">
        <f t="shared" si="65"/>
        <v>0</v>
      </c>
    </row>
    <row r="1361" spans="1:9" hidden="1" x14ac:dyDescent="0.2">
      <c r="A1361" s="6">
        <v>44088.708333333336</v>
      </c>
      <c r="B1361" s="1" t="s">
        <v>10</v>
      </c>
      <c r="C1361">
        <v>22</v>
      </c>
      <c r="D1361">
        <v>3</v>
      </c>
      <c r="E1361">
        <v>349</v>
      </c>
      <c r="F1361">
        <v>4161</v>
      </c>
      <c r="G1361" s="3">
        <f t="shared" si="63"/>
        <v>4</v>
      </c>
      <c r="H1361" s="4">
        <f t="shared" si="64"/>
        <v>9.6130737803412636E-4</v>
      </c>
      <c r="I1361" s="1">
        <f t="shared" si="65"/>
        <v>0</v>
      </c>
    </row>
    <row r="1362" spans="1:9" hidden="1" x14ac:dyDescent="0.2">
      <c r="A1362" s="6">
        <v>44089.708333333336</v>
      </c>
      <c r="B1362" s="1" t="s">
        <v>10</v>
      </c>
      <c r="C1362">
        <v>24</v>
      </c>
      <c r="D1362">
        <v>2</v>
      </c>
      <c r="E1362">
        <v>349</v>
      </c>
      <c r="F1362">
        <v>4181</v>
      </c>
      <c r="G1362" s="3">
        <f t="shared" si="63"/>
        <v>20</v>
      </c>
      <c r="H1362" s="4">
        <f t="shared" si="64"/>
        <v>4.7835446065535026E-3</v>
      </c>
      <c r="I1362" s="1">
        <f t="shared" si="65"/>
        <v>0</v>
      </c>
    </row>
    <row r="1363" spans="1:9" hidden="1" x14ac:dyDescent="0.2">
      <c r="A1363" s="6">
        <v>44090.708333333336</v>
      </c>
      <c r="B1363" s="1" t="s">
        <v>10</v>
      </c>
      <c r="C1363">
        <v>22</v>
      </c>
      <c r="D1363">
        <v>3</v>
      </c>
      <c r="E1363">
        <v>349</v>
      </c>
      <c r="F1363">
        <v>4210</v>
      </c>
      <c r="G1363" s="3">
        <f t="shared" si="63"/>
        <v>29</v>
      </c>
      <c r="H1363" s="4">
        <f t="shared" si="64"/>
        <v>6.8883610451306865E-3</v>
      </c>
      <c r="I1363" s="1">
        <f t="shared" si="65"/>
        <v>0</v>
      </c>
    </row>
    <row r="1364" spans="1:9" hidden="1" x14ac:dyDescent="0.2">
      <c r="A1364" s="6">
        <v>44091.708333333336</v>
      </c>
      <c r="B1364" s="1" t="s">
        <v>10</v>
      </c>
      <c r="C1364">
        <v>22</v>
      </c>
      <c r="D1364">
        <v>4</v>
      </c>
      <c r="E1364">
        <v>349</v>
      </c>
      <c r="F1364">
        <v>4273</v>
      </c>
      <c r="G1364" s="3">
        <f t="shared" si="63"/>
        <v>63</v>
      </c>
      <c r="H1364" s="4">
        <f t="shared" si="64"/>
        <v>1.4743739761291841E-2</v>
      </c>
      <c r="I1364" s="1">
        <f t="shared" si="65"/>
        <v>0</v>
      </c>
    </row>
    <row r="1365" spans="1:9" hidden="1" x14ac:dyDescent="0.2">
      <c r="A1365" s="6">
        <v>44092.708333333336</v>
      </c>
      <c r="B1365" s="1" t="s">
        <v>10</v>
      </c>
      <c r="C1365">
        <v>22</v>
      </c>
      <c r="D1365">
        <v>4</v>
      </c>
      <c r="E1365">
        <v>349</v>
      </c>
      <c r="F1365">
        <v>4312</v>
      </c>
      <c r="G1365" s="3">
        <f t="shared" si="63"/>
        <v>39</v>
      </c>
      <c r="H1365" s="4">
        <f t="shared" si="64"/>
        <v>9.0445269016697916E-3</v>
      </c>
      <c r="I1365" s="1">
        <f t="shared" si="65"/>
        <v>0</v>
      </c>
    </row>
    <row r="1366" spans="1:9" hidden="1" x14ac:dyDescent="0.2">
      <c r="A1366" s="6">
        <v>44093.708333333336</v>
      </c>
      <c r="B1366" s="1" t="s">
        <v>10</v>
      </c>
      <c r="C1366">
        <v>20</v>
      </c>
      <c r="D1366">
        <v>3</v>
      </c>
      <c r="E1366">
        <v>350</v>
      </c>
      <c r="F1366">
        <v>4345</v>
      </c>
      <c r="G1366" s="3">
        <f t="shared" si="63"/>
        <v>33</v>
      </c>
      <c r="H1366" s="4">
        <f t="shared" si="64"/>
        <v>7.5949367088608E-3</v>
      </c>
      <c r="I1366" s="1">
        <f t="shared" si="65"/>
        <v>1</v>
      </c>
    </row>
    <row r="1367" spans="1:9" hidden="1" x14ac:dyDescent="0.2">
      <c r="A1367" s="6">
        <v>44094.708333333336</v>
      </c>
      <c r="B1367" s="1" t="s">
        <v>10</v>
      </c>
      <c r="C1367">
        <v>19</v>
      </c>
      <c r="D1367">
        <v>4</v>
      </c>
      <c r="E1367">
        <v>350</v>
      </c>
      <c r="F1367">
        <v>4377</v>
      </c>
      <c r="G1367" s="3">
        <f t="shared" si="63"/>
        <v>32</v>
      </c>
      <c r="H1367" s="4">
        <f t="shared" si="64"/>
        <v>7.31094356865436E-3</v>
      </c>
      <c r="I1367" s="1">
        <f t="shared" si="65"/>
        <v>0</v>
      </c>
    </row>
    <row r="1368" spans="1:9" hidden="1" x14ac:dyDescent="0.2">
      <c r="A1368" s="6">
        <v>44095.708333333336</v>
      </c>
      <c r="B1368" s="1" t="s">
        <v>10</v>
      </c>
      <c r="C1368">
        <v>20</v>
      </c>
      <c r="D1368">
        <v>5</v>
      </c>
      <c r="E1368">
        <v>350</v>
      </c>
      <c r="F1368">
        <v>4390</v>
      </c>
      <c r="G1368" s="3">
        <f t="shared" si="63"/>
        <v>13</v>
      </c>
      <c r="H1368" s="4">
        <f t="shared" si="64"/>
        <v>2.9612756264236761E-3</v>
      </c>
      <c r="I1368" s="1">
        <f t="shared" si="65"/>
        <v>0</v>
      </c>
    </row>
    <row r="1369" spans="1:9" hidden="1" x14ac:dyDescent="0.2">
      <c r="A1369" s="6">
        <v>44096.708333333336</v>
      </c>
      <c r="B1369" s="1" t="s">
        <v>10</v>
      </c>
      <c r="C1369">
        <v>21</v>
      </c>
      <c r="D1369">
        <v>5</v>
      </c>
      <c r="E1369">
        <v>350</v>
      </c>
      <c r="F1369">
        <v>4404</v>
      </c>
      <c r="G1369" s="3">
        <f t="shared" si="63"/>
        <v>14</v>
      </c>
      <c r="H1369" s="4">
        <f t="shared" si="64"/>
        <v>3.1789282470481295E-3</v>
      </c>
      <c r="I1369" s="1">
        <f t="shared" si="65"/>
        <v>0</v>
      </c>
    </row>
    <row r="1370" spans="1:9" hidden="1" x14ac:dyDescent="0.2">
      <c r="A1370" s="6">
        <v>44097.708333333336</v>
      </c>
      <c r="B1370" s="1" t="s">
        <v>10</v>
      </c>
      <c r="C1370">
        <v>16</v>
      </c>
      <c r="D1370">
        <v>6</v>
      </c>
      <c r="E1370">
        <v>350</v>
      </c>
      <c r="F1370">
        <v>4461</v>
      </c>
      <c r="G1370" s="3">
        <f t="shared" si="63"/>
        <v>57</v>
      </c>
      <c r="H1370" s="4">
        <f t="shared" si="64"/>
        <v>1.2777404169468709E-2</v>
      </c>
      <c r="I1370" s="1">
        <f t="shared" si="65"/>
        <v>0</v>
      </c>
    </row>
    <row r="1371" spans="1:9" hidden="1" x14ac:dyDescent="0.2">
      <c r="A1371" s="6">
        <v>44098.708333333336</v>
      </c>
      <c r="B1371" s="1" t="s">
        <v>10</v>
      </c>
      <c r="C1371">
        <v>21</v>
      </c>
      <c r="D1371">
        <v>6</v>
      </c>
      <c r="E1371">
        <v>350</v>
      </c>
      <c r="F1371">
        <v>4489</v>
      </c>
      <c r="G1371" s="3">
        <f t="shared" si="63"/>
        <v>28</v>
      </c>
      <c r="H1371" s="4">
        <f t="shared" si="64"/>
        <v>6.2374693695700367E-3</v>
      </c>
      <c r="I1371" s="1">
        <f t="shared" si="65"/>
        <v>0</v>
      </c>
    </row>
    <row r="1372" spans="1:9" hidden="1" x14ac:dyDescent="0.2">
      <c r="A1372" s="6">
        <v>44099.708333333336</v>
      </c>
      <c r="B1372" s="1" t="s">
        <v>10</v>
      </c>
      <c r="C1372">
        <v>17</v>
      </c>
      <c r="D1372">
        <v>6</v>
      </c>
      <c r="E1372">
        <v>350</v>
      </c>
      <c r="F1372">
        <v>4526</v>
      </c>
      <c r="G1372" s="3">
        <f t="shared" si="63"/>
        <v>37</v>
      </c>
      <c r="H1372" s="4">
        <f t="shared" si="64"/>
        <v>8.1749889527176212E-3</v>
      </c>
      <c r="I1372" s="1">
        <f t="shared" si="65"/>
        <v>0</v>
      </c>
    </row>
    <row r="1373" spans="1:9" hidden="1" x14ac:dyDescent="0.2">
      <c r="A1373" s="6">
        <v>44100.708333333336</v>
      </c>
      <c r="B1373" s="1" t="s">
        <v>10</v>
      </c>
      <c r="C1373">
        <v>18</v>
      </c>
      <c r="D1373">
        <v>6</v>
      </c>
      <c r="E1373">
        <v>350</v>
      </c>
      <c r="F1373">
        <v>4580</v>
      </c>
      <c r="G1373" s="3">
        <f t="shared" si="63"/>
        <v>54</v>
      </c>
      <c r="H1373" s="4">
        <f t="shared" si="64"/>
        <v>1.1790393013100475E-2</v>
      </c>
      <c r="I1373" s="1">
        <f t="shared" si="65"/>
        <v>0</v>
      </c>
    </row>
    <row r="1374" spans="1:9" hidden="1" x14ac:dyDescent="0.2">
      <c r="A1374" s="6">
        <v>44101.708333333336</v>
      </c>
      <c r="B1374" s="1" t="s">
        <v>10</v>
      </c>
      <c r="C1374">
        <v>18</v>
      </c>
      <c r="D1374">
        <v>6</v>
      </c>
      <c r="E1374">
        <v>351</v>
      </c>
      <c r="F1374">
        <v>4608</v>
      </c>
      <c r="G1374" s="3">
        <f t="shared" si="63"/>
        <v>28</v>
      </c>
      <c r="H1374" s="4">
        <f t="shared" si="64"/>
        <v>6.0763888888888395E-3</v>
      </c>
      <c r="I1374" s="1">
        <f t="shared" si="65"/>
        <v>1</v>
      </c>
    </row>
    <row r="1375" spans="1:9" hidden="1" x14ac:dyDescent="0.2">
      <c r="A1375" s="6">
        <v>44102.708333333336</v>
      </c>
      <c r="B1375" s="1" t="s">
        <v>10</v>
      </c>
      <c r="C1375">
        <v>18</v>
      </c>
      <c r="D1375">
        <v>6</v>
      </c>
      <c r="E1375">
        <v>351</v>
      </c>
      <c r="F1375">
        <v>4610</v>
      </c>
      <c r="G1375" s="3">
        <f t="shared" si="63"/>
        <v>2</v>
      </c>
      <c r="H1375" s="4">
        <f t="shared" si="64"/>
        <v>4.3383947939257261E-4</v>
      </c>
      <c r="I1375" s="1">
        <f t="shared" si="65"/>
        <v>0</v>
      </c>
    </row>
    <row r="1376" spans="1:9" hidden="1" x14ac:dyDescent="0.2">
      <c r="A1376" s="6">
        <v>44103.708333333336</v>
      </c>
      <c r="B1376" s="1" t="s">
        <v>10</v>
      </c>
      <c r="C1376">
        <v>21</v>
      </c>
      <c r="D1376">
        <v>6</v>
      </c>
      <c r="E1376">
        <v>351</v>
      </c>
      <c r="F1376">
        <v>4638</v>
      </c>
      <c r="G1376" s="3">
        <f t="shared" si="63"/>
        <v>28</v>
      </c>
      <c r="H1376" s="4">
        <f t="shared" si="64"/>
        <v>6.0370849504096658E-3</v>
      </c>
      <c r="I1376" s="1">
        <f t="shared" si="65"/>
        <v>0</v>
      </c>
    </row>
    <row r="1377" spans="1:9" hidden="1" x14ac:dyDescent="0.2">
      <c r="A1377" s="6">
        <v>44104.708333333336</v>
      </c>
      <c r="B1377" s="1" t="s">
        <v>10</v>
      </c>
      <c r="C1377">
        <v>19</v>
      </c>
      <c r="D1377">
        <v>6</v>
      </c>
      <c r="E1377">
        <v>351</v>
      </c>
      <c r="F1377">
        <v>4666</v>
      </c>
      <c r="G1377" s="3">
        <f t="shared" si="63"/>
        <v>28</v>
      </c>
      <c r="H1377" s="4">
        <f t="shared" si="64"/>
        <v>6.0008572653236225E-3</v>
      </c>
      <c r="I1377" s="1">
        <f t="shared" si="65"/>
        <v>0</v>
      </c>
    </row>
    <row r="1378" spans="1:9" hidden="1" x14ac:dyDescent="0.2">
      <c r="A1378" s="6">
        <v>44105.708333333336</v>
      </c>
      <c r="B1378" s="1" t="s">
        <v>10</v>
      </c>
      <c r="C1378">
        <v>20</v>
      </c>
      <c r="D1378">
        <v>4</v>
      </c>
      <c r="E1378">
        <v>351</v>
      </c>
      <c r="F1378">
        <v>4723</v>
      </c>
      <c r="G1378" s="3">
        <f t="shared" si="63"/>
        <v>57</v>
      </c>
      <c r="H1378" s="4">
        <f t="shared" si="64"/>
        <v>1.2068600465805601E-2</v>
      </c>
      <c r="I1378" s="1">
        <f t="shared" si="65"/>
        <v>0</v>
      </c>
    </row>
    <row r="1379" spans="1:9" hidden="1" x14ac:dyDescent="0.2">
      <c r="A1379" s="6">
        <v>44106.708333333336</v>
      </c>
      <c r="B1379" s="1" t="s">
        <v>10</v>
      </c>
      <c r="C1379">
        <v>18</v>
      </c>
      <c r="D1379">
        <v>2</v>
      </c>
      <c r="E1379">
        <v>353</v>
      </c>
      <c r="F1379">
        <v>4789</v>
      </c>
      <c r="G1379" s="3">
        <f t="shared" si="63"/>
        <v>66</v>
      </c>
      <c r="H1379" s="4">
        <f t="shared" si="64"/>
        <v>1.3781582793902736E-2</v>
      </c>
      <c r="I1379" s="1">
        <f t="shared" si="65"/>
        <v>2</v>
      </c>
    </row>
    <row r="1380" spans="1:9" hidden="1" x14ac:dyDescent="0.2">
      <c r="A1380" s="6">
        <v>44107.708333333336</v>
      </c>
      <c r="B1380" s="1" t="s">
        <v>10</v>
      </c>
      <c r="C1380">
        <v>17</v>
      </c>
      <c r="D1380">
        <v>5</v>
      </c>
      <c r="E1380">
        <v>353</v>
      </c>
      <c r="F1380">
        <v>4840</v>
      </c>
      <c r="G1380" s="3">
        <f t="shared" si="63"/>
        <v>51</v>
      </c>
      <c r="H1380" s="4">
        <f t="shared" si="64"/>
        <v>1.0537190082644643E-2</v>
      </c>
      <c r="I1380" s="1">
        <f t="shared" si="65"/>
        <v>0</v>
      </c>
    </row>
    <row r="1381" spans="1:9" hidden="1" x14ac:dyDescent="0.2">
      <c r="A1381" s="6">
        <v>44108.708333333336</v>
      </c>
      <c r="B1381" s="1" t="s">
        <v>10</v>
      </c>
      <c r="C1381">
        <v>18</v>
      </c>
      <c r="D1381">
        <v>5</v>
      </c>
      <c r="E1381">
        <v>353</v>
      </c>
      <c r="F1381">
        <v>4890</v>
      </c>
      <c r="G1381" s="3">
        <f t="shared" si="63"/>
        <v>50</v>
      </c>
      <c r="H1381" s="4">
        <f t="shared" si="64"/>
        <v>1.0224948875255602E-2</v>
      </c>
      <c r="I1381" s="1">
        <f t="shared" si="65"/>
        <v>0</v>
      </c>
    </row>
    <row r="1382" spans="1:9" hidden="1" x14ac:dyDescent="0.2">
      <c r="A1382" s="6">
        <v>44109.708333333336</v>
      </c>
      <c r="B1382" s="1" t="s">
        <v>10</v>
      </c>
      <c r="C1382">
        <v>23</v>
      </c>
      <c r="D1382">
        <v>5</v>
      </c>
      <c r="E1382">
        <v>353</v>
      </c>
      <c r="F1382">
        <v>4911</v>
      </c>
      <c r="G1382" s="3">
        <f t="shared" si="63"/>
        <v>21</v>
      </c>
      <c r="H1382" s="4">
        <f t="shared" si="64"/>
        <v>4.2761148442272967E-3</v>
      </c>
      <c r="I1382" s="1">
        <f t="shared" si="65"/>
        <v>0</v>
      </c>
    </row>
    <row r="1383" spans="1:9" hidden="1" x14ac:dyDescent="0.2">
      <c r="A1383" s="6">
        <v>44110.708333333336</v>
      </c>
      <c r="B1383" s="1" t="s">
        <v>10</v>
      </c>
      <c r="C1383">
        <v>24</v>
      </c>
      <c r="D1383">
        <v>5</v>
      </c>
      <c r="E1383">
        <v>355</v>
      </c>
      <c r="F1383">
        <v>4962</v>
      </c>
      <c r="G1383" s="3">
        <f t="shared" si="63"/>
        <v>51</v>
      </c>
      <c r="H1383" s="4">
        <f t="shared" si="64"/>
        <v>1.0278113663845234E-2</v>
      </c>
      <c r="I1383" s="1">
        <f t="shared" si="65"/>
        <v>2</v>
      </c>
    </row>
    <row r="1384" spans="1:9" hidden="1" x14ac:dyDescent="0.2">
      <c r="A1384" s="6">
        <v>44111.708333333336</v>
      </c>
      <c r="B1384" s="1" t="s">
        <v>10</v>
      </c>
      <c r="C1384">
        <v>26</v>
      </c>
      <c r="D1384">
        <v>6</v>
      </c>
      <c r="E1384">
        <v>355</v>
      </c>
      <c r="F1384">
        <v>5034</v>
      </c>
      <c r="G1384" s="3">
        <f t="shared" si="63"/>
        <v>72</v>
      </c>
      <c r="H1384" s="4">
        <f t="shared" si="64"/>
        <v>1.4302741358760418E-2</v>
      </c>
      <c r="I1384" s="1">
        <f t="shared" si="65"/>
        <v>0</v>
      </c>
    </row>
    <row r="1385" spans="1:9" hidden="1" x14ac:dyDescent="0.2">
      <c r="A1385" s="6">
        <v>44112.708333333336</v>
      </c>
      <c r="B1385" s="1" t="s">
        <v>10</v>
      </c>
      <c r="C1385">
        <v>23</v>
      </c>
      <c r="D1385">
        <v>6</v>
      </c>
      <c r="E1385">
        <v>355</v>
      </c>
      <c r="F1385">
        <v>5144</v>
      </c>
      <c r="G1385" s="3">
        <f t="shared" si="63"/>
        <v>110</v>
      </c>
      <c r="H1385" s="4">
        <f t="shared" si="64"/>
        <v>2.1384136858475844E-2</v>
      </c>
      <c r="I1385" s="1">
        <f t="shared" si="65"/>
        <v>0</v>
      </c>
    </row>
    <row r="1386" spans="1:9" hidden="1" x14ac:dyDescent="0.2">
      <c r="A1386" s="6">
        <v>44113.708333333336</v>
      </c>
      <c r="B1386" s="1" t="s">
        <v>10</v>
      </c>
      <c r="C1386">
        <v>23</v>
      </c>
      <c r="D1386">
        <v>6</v>
      </c>
      <c r="E1386">
        <v>355</v>
      </c>
      <c r="F1386">
        <v>5290</v>
      </c>
      <c r="G1386" s="3">
        <f t="shared" si="63"/>
        <v>146</v>
      </c>
      <c r="H1386" s="4">
        <f t="shared" si="64"/>
        <v>2.7599243856332722E-2</v>
      </c>
      <c r="I1386" s="1">
        <f t="shared" si="65"/>
        <v>0</v>
      </c>
    </row>
    <row r="1387" spans="1:9" hidden="1" x14ac:dyDescent="0.2">
      <c r="A1387" s="6">
        <v>44114.708333333336</v>
      </c>
      <c r="B1387" s="1" t="s">
        <v>10</v>
      </c>
      <c r="C1387">
        <v>23</v>
      </c>
      <c r="D1387">
        <v>6</v>
      </c>
      <c r="E1387">
        <v>355</v>
      </c>
      <c r="F1387">
        <v>5416</v>
      </c>
      <c r="G1387" s="3">
        <f t="shared" si="63"/>
        <v>126</v>
      </c>
      <c r="H1387" s="4">
        <f t="shared" si="64"/>
        <v>2.3264401772525867E-2</v>
      </c>
      <c r="I1387" s="1">
        <f t="shared" si="65"/>
        <v>0</v>
      </c>
    </row>
    <row r="1388" spans="1:9" hidden="1" x14ac:dyDescent="0.2">
      <c r="A1388" s="6">
        <v>44115.708333333336</v>
      </c>
      <c r="B1388" s="1" t="s">
        <v>10</v>
      </c>
      <c r="C1388">
        <v>22</v>
      </c>
      <c r="D1388">
        <v>5</v>
      </c>
      <c r="E1388">
        <v>356</v>
      </c>
      <c r="F1388">
        <v>5513</v>
      </c>
      <c r="G1388" s="3">
        <f t="shared" si="63"/>
        <v>97</v>
      </c>
      <c r="H1388" s="4">
        <f t="shared" si="64"/>
        <v>1.7594775984037692E-2</v>
      </c>
      <c r="I1388" s="1">
        <f t="shared" si="65"/>
        <v>1</v>
      </c>
    </row>
    <row r="1389" spans="1:9" hidden="1" x14ac:dyDescent="0.2">
      <c r="A1389" s="6">
        <v>43885.75</v>
      </c>
      <c r="B1389" s="1" t="s">
        <v>11</v>
      </c>
      <c r="C1389">
        <v>1</v>
      </c>
      <c r="D1389">
        <v>1</v>
      </c>
      <c r="E1389">
        <v>0</v>
      </c>
      <c r="F1389">
        <v>3</v>
      </c>
      <c r="G1389" s="3">
        <f t="shared" si="63"/>
        <v>0</v>
      </c>
      <c r="H1389" s="4">
        <f t="shared" si="64"/>
        <v>0</v>
      </c>
      <c r="I1389" s="1">
        <f t="shared" si="65"/>
        <v>0</v>
      </c>
    </row>
    <row r="1390" spans="1:9" hidden="1" x14ac:dyDescent="0.2">
      <c r="A1390" s="6">
        <v>43886.75</v>
      </c>
      <c r="B1390" s="1" t="s">
        <v>11</v>
      </c>
      <c r="C1390">
        <v>1</v>
      </c>
      <c r="D1390">
        <v>1</v>
      </c>
      <c r="E1390">
        <v>0</v>
      </c>
      <c r="F1390">
        <v>3</v>
      </c>
      <c r="G1390" s="3">
        <f t="shared" si="63"/>
        <v>0</v>
      </c>
      <c r="H1390" s="4">
        <f t="shared" si="64"/>
        <v>0</v>
      </c>
      <c r="I1390" s="1">
        <f t="shared" si="65"/>
        <v>0</v>
      </c>
    </row>
    <row r="1391" spans="1:9" hidden="1" x14ac:dyDescent="0.2">
      <c r="A1391" s="6">
        <v>43887.75</v>
      </c>
      <c r="B1391" s="1" t="s">
        <v>11</v>
      </c>
      <c r="C1391">
        <v>0</v>
      </c>
      <c r="D1391">
        <v>0</v>
      </c>
      <c r="E1391">
        <v>0</v>
      </c>
      <c r="F1391">
        <v>3</v>
      </c>
      <c r="G1391" s="3">
        <f t="shared" si="63"/>
        <v>0</v>
      </c>
      <c r="H1391" s="4">
        <f t="shared" si="64"/>
        <v>0</v>
      </c>
      <c r="I1391" s="1">
        <f t="shared" si="65"/>
        <v>0</v>
      </c>
    </row>
    <row r="1392" spans="1:9" hidden="1" x14ac:dyDescent="0.2">
      <c r="A1392" s="6">
        <v>43888.75</v>
      </c>
      <c r="B1392" s="1" t="s">
        <v>11</v>
      </c>
      <c r="C1392">
        <v>0</v>
      </c>
      <c r="D1392">
        <v>0</v>
      </c>
      <c r="E1392">
        <v>0</v>
      </c>
      <c r="F1392">
        <v>3</v>
      </c>
      <c r="G1392" s="3">
        <f t="shared" si="63"/>
        <v>0</v>
      </c>
      <c r="H1392" s="4">
        <f t="shared" si="64"/>
        <v>0</v>
      </c>
      <c r="I1392" s="1">
        <f t="shared" si="65"/>
        <v>0</v>
      </c>
    </row>
    <row r="1393" spans="1:9" hidden="1" x14ac:dyDescent="0.2">
      <c r="A1393" s="6">
        <v>43889.75</v>
      </c>
      <c r="B1393" s="1" t="s">
        <v>11</v>
      </c>
      <c r="C1393">
        <v>0</v>
      </c>
      <c r="D1393">
        <v>0</v>
      </c>
      <c r="E1393">
        <v>0</v>
      </c>
      <c r="F1393">
        <v>3</v>
      </c>
      <c r="G1393" s="3">
        <f t="shared" si="63"/>
        <v>0</v>
      </c>
      <c r="H1393" s="4">
        <f t="shared" si="64"/>
        <v>0</v>
      </c>
      <c r="I1393" s="1">
        <f t="shared" si="65"/>
        <v>0</v>
      </c>
    </row>
    <row r="1394" spans="1:9" hidden="1" x14ac:dyDescent="0.2">
      <c r="A1394" s="6">
        <v>43890.708333333336</v>
      </c>
      <c r="B1394" s="1" t="s">
        <v>11</v>
      </c>
      <c r="C1394">
        <v>3</v>
      </c>
      <c r="D1394">
        <v>0</v>
      </c>
      <c r="E1394">
        <v>0</v>
      </c>
      <c r="F1394">
        <v>6</v>
      </c>
      <c r="G1394" s="3">
        <f t="shared" si="63"/>
        <v>3</v>
      </c>
      <c r="H1394" s="4">
        <f t="shared" si="64"/>
        <v>0.5</v>
      </c>
      <c r="I1394" s="1">
        <f t="shared" si="65"/>
        <v>0</v>
      </c>
    </row>
    <row r="1395" spans="1:9" hidden="1" x14ac:dyDescent="0.2">
      <c r="A1395" s="6">
        <v>43891.708333333336</v>
      </c>
      <c r="B1395" s="1" t="s">
        <v>11</v>
      </c>
      <c r="C1395">
        <v>3</v>
      </c>
      <c r="D1395">
        <v>0</v>
      </c>
      <c r="E1395">
        <v>0</v>
      </c>
      <c r="F1395">
        <v>6</v>
      </c>
      <c r="G1395" s="3">
        <f t="shared" si="63"/>
        <v>0</v>
      </c>
      <c r="H1395" s="4">
        <f t="shared" si="64"/>
        <v>0</v>
      </c>
      <c r="I1395" s="1">
        <f t="shared" si="65"/>
        <v>0</v>
      </c>
    </row>
    <row r="1396" spans="1:9" hidden="1" x14ac:dyDescent="0.2">
      <c r="A1396" s="6">
        <v>43892.75</v>
      </c>
      <c r="B1396" s="1" t="s">
        <v>11</v>
      </c>
      <c r="C1396">
        <v>3</v>
      </c>
      <c r="D1396">
        <v>0</v>
      </c>
      <c r="E1396">
        <v>0</v>
      </c>
      <c r="F1396">
        <v>7</v>
      </c>
      <c r="G1396" s="3">
        <f t="shared" si="63"/>
        <v>1</v>
      </c>
      <c r="H1396" s="4">
        <f t="shared" si="64"/>
        <v>0.1428571428571429</v>
      </c>
      <c r="I1396" s="1">
        <f t="shared" si="65"/>
        <v>0</v>
      </c>
    </row>
    <row r="1397" spans="1:9" hidden="1" x14ac:dyDescent="0.2">
      <c r="A1397" s="6">
        <v>43893.75</v>
      </c>
      <c r="B1397" s="1" t="s">
        <v>11</v>
      </c>
      <c r="C1397">
        <v>10</v>
      </c>
      <c r="D1397">
        <v>0</v>
      </c>
      <c r="E1397">
        <v>0</v>
      </c>
      <c r="F1397">
        <v>14</v>
      </c>
      <c r="G1397" s="3">
        <f t="shared" si="63"/>
        <v>7</v>
      </c>
      <c r="H1397" s="4">
        <f t="shared" si="64"/>
        <v>0.5</v>
      </c>
      <c r="I1397" s="1">
        <f t="shared" si="65"/>
        <v>0</v>
      </c>
    </row>
    <row r="1398" spans="1:9" hidden="1" x14ac:dyDescent="0.2">
      <c r="A1398" s="6">
        <v>43894.708333333336</v>
      </c>
      <c r="B1398" s="1" t="s">
        <v>11</v>
      </c>
      <c r="C1398">
        <v>15</v>
      </c>
      <c r="D1398">
        <v>3</v>
      </c>
      <c r="E1398">
        <v>0</v>
      </c>
      <c r="F1398">
        <v>30</v>
      </c>
      <c r="G1398" s="3">
        <f t="shared" si="63"/>
        <v>16</v>
      </c>
      <c r="H1398" s="4">
        <f t="shared" si="64"/>
        <v>0.53333333333333333</v>
      </c>
      <c r="I1398" s="1">
        <f t="shared" si="65"/>
        <v>0</v>
      </c>
    </row>
    <row r="1399" spans="1:9" hidden="1" x14ac:dyDescent="0.2">
      <c r="A1399" s="6">
        <v>43895.708333333336</v>
      </c>
      <c r="B1399" s="1" t="s">
        <v>11</v>
      </c>
      <c r="C1399">
        <v>20</v>
      </c>
      <c r="D1399">
        <v>7</v>
      </c>
      <c r="E1399">
        <v>0</v>
      </c>
      <c r="F1399">
        <v>44</v>
      </c>
      <c r="G1399" s="3">
        <f t="shared" si="63"/>
        <v>14</v>
      </c>
      <c r="H1399" s="4">
        <f t="shared" si="64"/>
        <v>0.31818181818181823</v>
      </c>
      <c r="I1399" s="1">
        <f t="shared" si="65"/>
        <v>0</v>
      </c>
    </row>
    <row r="1400" spans="1:9" hidden="1" x14ac:dyDescent="0.2">
      <c r="A1400" s="6">
        <v>43896.708333333336</v>
      </c>
      <c r="B1400" s="1" t="s">
        <v>11</v>
      </c>
      <c r="C1400">
        <v>26</v>
      </c>
      <c r="D1400">
        <v>8</v>
      </c>
      <c r="E1400">
        <v>1</v>
      </c>
      <c r="F1400">
        <v>54</v>
      </c>
      <c r="G1400" s="3">
        <f t="shared" si="63"/>
        <v>10</v>
      </c>
      <c r="H1400" s="4">
        <f t="shared" si="64"/>
        <v>0.18518518518518523</v>
      </c>
      <c r="I1400" s="1">
        <f t="shared" si="65"/>
        <v>1</v>
      </c>
    </row>
    <row r="1401" spans="1:9" hidden="1" x14ac:dyDescent="0.2">
      <c r="A1401" s="6">
        <v>43897.75</v>
      </c>
      <c r="B1401" s="1" t="s">
        <v>11</v>
      </c>
      <c r="C1401">
        <v>43</v>
      </c>
      <c r="D1401">
        <v>8</v>
      </c>
      <c r="E1401">
        <v>1</v>
      </c>
      <c r="F1401">
        <v>76</v>
      </c>
      <c r="G1401" s="3">
        <f t="shared" si="63"/>
        <v>22</v>
      </c>
      <c r="H1401" s="4">
        <f t="shared" si="64"/>
        <v>0.28947368421052633</v>
      </c>
      <c r="I1401" s="1">
        <f t="shared" si="65"/>
        <v>0</v>
      </c>
    </row>
    <row r="1402" spans="1:9" hidden="1" x14ac:dyDescent="0.2">
      <c r="A1402" s="6">
        <v>43898.75</v>
      </c>
      <c r="B1402" s="1" t="s">
        <v>11</v>
      </c>
      <c r="C1402">
        <v>47</v>
      </c>
      <c r="D1402">
        <v>8</v>
      </c>
      <c r="E1402">
        <v>3</v>
      </c>
      <c r="F1402">
        <v>87</v>
      </c>
      <c r="G1402" s="3">
        <f t="shared" si="63"/>
        <v>11</v>
      </c>
      <c r="H1402" s="4">
        <f t="shared" si="64"/>
        <v>0.12643678160919536</v>
      </c>
      <c r="I1402" s="1">
        <f t="shared" si="65"/>
        <v>2</v>
      </c>
    </row>
    <row r="1403" spans="1:9" hidden="1" x14ac:dyDescent="0.2">
      <c r="A1403" s="6">
        <v>43899.75</v>
      </c>
      <c r="B1403" s="1" t="s">
        <v>11</v>
      </c>
      <c r="C1403">
        <v>55</v>
      </c>
      <c r="D1403">
        <v>8</v>
      </c>
      <c r="E1403">
        <v>5</v>
      </c>
      <c r="F1403">
        <v>102</v>
      </c>
      <c r="G1403" s="3">
        <f t="shared" si="63"/>
        <v>15</v>
      </c>
      <c r="H1403" s="4">
        <f t="shared" si="64"/>
        <v>0.1470588235294118</v>
      </c>
      <c r="I1403" s="1">
        <f t="shared" si="65"/>
        <v>2</v>
      </c>
    </row>
    <row r="1404" spans="1:9" hidden="1" x14ac:dyDescent="0.2">
      <c r="A1404" s="6">
        <v>43900.75</v>
      </c>
      <c r="B1404" s="1" t="s">
        <v>11</v>
      </c>
      <c r="C1404">
        <v>50</v>
      </c>
      <c r="D1404">
        <v>15</v>
      </c>
      <c r="E1404">
        <v>6</v>
      </c>
      <c r="F1404">
        <v>116</v>
      </c>
      <c r="G1404" s="3">
        <f t="shared" si="63"/>
        <v>14</v>
      </c>
      <c r="H1404" s="4">
        <f t="shared" si="64"/>
        <v>0.12068965517241381</v>
      </c>
      <c r="I1404" s="1">
        <f t="shared" si="65"/>
        <v>1</v>
      </c>
    </row>
    <row r="1405" spans="1:9" hidden="1" x14ac:dyDescent="0.2">
      <c r="A1405" s="6">
        <v>43901.708333333336</v>
      </c>
      <c r="B1405" s="1" t="s">
        <v>11</v>
      </c>
      <c r="C1405">
        <v>67</v>
      </c>
      <c r="D1405">
        <v>18</v>
      </c>
      <c r="E1405">
        <v>6</v>
      </c>
      <c r="F1405">
        <v>150</v>
      </c>
      <c r="G1405" s="3">
        <f t="shared" si="63"/>
        <v>34</v>
      </c>
      <c r="H1405" s="4">
        <f t="shared" si="64"/>
        <v>0.22666666666666668</v>
      </c>
      <c r="I1405" s="1">
        <f t="shared" si="65"/>
        <v>0</v>
      </c>
    </row>
    <row r="1406" spans="1:9" hidden="1" x14ac:dyDescent="0.2">
      <c r="A1406" s="6">
        <v>43902.708333333336</v>
      </c>
      <c r="B1406" s="1" t="s">
        <v>11</v>
      </c>
      <c r="C1406">
        <v>85</v>
      </c>
      <c r="D1406">
        <v>20</v>
      </c>
      <c r="E1406">
        <v>9</v>
      </c>
      <c r="F1406">
        <v>200</v>
      </c>
      <c r="G1406" s="3">
        <f t="shared" si="63"/>
        <v>50</v>
      </c>
      <c r="H1406" s="4">
        <f t="shared" si="64"/>
        <v>0.25</v>
      </c>
      <c r="I1406" s="1">
        <f t="shared" si="65"/>
        <v>3</v>
      </c>
    </row>
    <row r="1407" spans="1:9" hidden="1" x14ac:dyDescent="0.2">
      <c r="A1407" s="6">
        <v>43903.708333333336</v>
      </c>
      <c r="B1407" s="1" t="s">
        <v>11</v>
      </c>
      <c r="C1407">
        <v>122</v>
      </c>
      <c r="D1407">
        <v>24</v>
      </c>
      <c r="E1407">
        <v>11</v>
      </c>
      <c r="F1407">
        <v>277</v>
      </c>
      <c r="G1407" s="3">
        <f t="shared" si="63"/>
        <v>77</v>
      </c>
      <c r="H1407" s="4">
        <f t="shared" si="64"/>
        <v>0.27797833935018046</v>
      </c>
      <c r="I1407" s="1">
        <f t="shared" si="65"/>
        <v>2</v>
      </c>
    </row>
    <row r="1408" spans="1:9" hidden="1" x14ac:dyDescent="0.2">
      <c r="A1408" s="6">
        <v>43904.708333333336</v>
      </c>
      <c r="B1408" s="1" t="s">
        <v>11</v>
      </c>
      <c r="C1408">
        <v>181</v>
      </c>
      <c r="D1408">
        <v>25</v>
      </c>
      <c r="E1408">
        <v>13</v>
      </c>
      <c r="F1408">
        <v>357</v>
      </c>
      <c r="G1408" s="3">
        <f t="shared" si="63"/>
        <v>80</v>
      </c>
      <c r="H1408" s="4">
        <f t="shared" si="64"/>
        <v>0.22408963585434172</v>
      </c>
      <c r="I1408" s="1">
        <f t="shared" si="65"/>
        <v>2</v>
      </c>
    </row>
    <row r="1409" spans="1:9" hidden="1" x14ac:dyDescent="0.2">
      <c r="A1409" s="6">
        <v>43905.708333333336</v>
      </c>
      <c r="B1409" s="1" t="s">
        <v>11</v>
      </c>
      <c r="C1409">
        <v>223</v>
      </c>
      <c r="D1409">
        <v>31</v>
      </c>
      <c r="E1409">
        <v>16</v>
      </c>
      <c r="F1409">
        <v>436</v>
      </c>
      <c r="G1409" s="3">
        <f t="shared" si="63"/>
        <v>79</v>
      </c>
      <c r="H1409" s="4">
        <f t="shared" si="64"/>
        <v>0.18119266055045868</v>
      </c>
      <c r="I1409" s="1">
        <f t="shared" si="65"/>
        <v>3</v>
      </c>
    </row>
    <row r="1410" spans="1:9" hidden="1" x14ac:dyDescent="0.2">
      <c r="A1410" s="6">
        <v>43906.708333333336</v>
      </c>
      <c r="B1410" s="1" t="s">
        <v>11</v>
      </c>
      <c r="C1410">
        <v>267</v>
      </c>
      <c r="D1410">
        <v>31</v>
      </c>
      <c r="E1410">
        <v>19</v>
      </c>
      <c r="F1410">
        <v>523</v>
      </c>
      <c r="G1410" s="3">
        <f t="shared" si="63"/>
        <v>87</v>
      </c>
      <c r="H1410" s="4">
        <f t="shared" si="64"/>
        <v>0.16634799235181641</v>
      </c>
      <c r="I1410" s="1">
        <f t="shared" si="65"/>
        <v>3</v>
      </c>
    </row>
    <row r="1411" spans="1:9" hidden="1" x14ac:dyDescent="0.2">
      <c r="A1411" s="6">
        <v>43907.708333333336</v>
      </c>
      <c r="B1411" s="1" t="s">
        <v>11</v>
      </c>
      <c r="C1411">
        <v>314</v>
      </c>
      <c r="D1411">
        <v>44</v>
      </c>
      <c r="E1411">
        <v>23</v>
      </c>
      <c r="F1411">
        <v>607</v>
      </c>
      <c r="G1411" s="3">
        <f t="shared" ref="G1411:G1474" si="66">IF(AND(F1411&gt;0,AND(B1411=B1410,F1411&gt;0)),F1411-F1410,0)</f>
        <v>84</v>
      </c>
      <c r="H1411" s="4">
        <f t="shared" ref="H1411:H1474" si="67">IF(AND(F1410&gt;0,AND(B1411=B1410,F1410&gt;0)),1-(F1410/F1411),0)</f>
        <v>0.13838550247116965</v>
      </c>
      <c r="I1411" s="1">
        <f t="shared" ref="I1411:I1474" si="68">IF(AND(E1411&gt;0,AND(B1411=B1410,E1411&gt;0)),E1411-E1410,0)</f>
        <v>4</v>
      </c>
    </row>
    <row r="1412" spans="1:9" hidden="1" x14ac:dyDescent="0.2">
      <c r="A1412" s="6">
        <v>43908.708333333336</v>
      </c>
      <c r="B1412" s="1" t="s">
        <v>11</v>
      </c>
      <c r="C1412">
        <v>374</v>
      </c>
      <c r="D1412">
        <v>44</v>
      </c>
      <c r="E1412">
        <v>32</v>
      </c>
      <c r="F1412">
        <v>724</v>
      </c>
      <c r="G1412" s="3">
        <f t="shared" si="66"/>
        <v>117</v>
      </c>
      <c r="H1412" s="4">
        <f t="shared" si="67"/>
        <v>0.16160220994475138</v>
      </c>
      <c r="I1412" s="1">
        <f t="shared" si="68"/>
        <v>9</v>
      </c>
    </row>
    <row r="1413" spans="1:9" hidden="1" x14ac:dyDescent="0.2">
      <c r="A1413" s="6">
        <v>43909.708333333336</v>
      </c>
      <c r="B1413" s="1" t="s">
        <v>11</v>
      </c>
      <c r="C1413">
        <v>426</v>
      </c>
      <c r="D1413">
        <v>45</v>
      </c>
      <c r="E1413">
        <v>38</v>
      </c>
      <c r="F1413">
        <v>823</v>
      </c>
      <c r="G1413" s="3">
        <f t="shared" si="66"/>
        <v>99</v>
      </c>
      <c r="H1413" s="4">
        <f t="shared" si="67"/>
        <v>0.12029161603888217</v>
      </c>
      <c r="I1413" s="1">
        <f t="shared" si="68"/>
        <v>6</v>
      </c>
    </row>
    <row r="1414" spans="1:9" hidden="1" x14ac:dyDescent="0.2">
      <c r="A1414" s="6">
        <v>43910.708333333336</v>
      </c>
      <c r="B1414" s="1" t="s">
        <v>11</v>
      </c>
      <c r="C1414">
        <v>537</v>
      </c>
      <c r="D1414">
        <v>47</v>
      </c>
      <c r="E1414">
        <v>43</v>
      </c>
      <c r="F1414">
        <v>1008</v>
      </c>
      <c r="G1414" s="3">
        <f t="shared" si="66"/>
        <v>185</v>
      </c>
      <c r="H1414" s="4">
        <f t="shared" si="67"/>
        <v>0.18353174603174605</v>
      </c>
      <c r="I1414" s="1">
        <f t="shared" si="68"/>
        <v>5</v>
      </c>
    </row>
    <row r="1415" spans="1:9" hidden="1" x14ac:dyDescent="0.2">
      <c r="A1415" s="6">
        <v>43911.708333333336</v>
      </c>
      <c r="B1415" s="1" t="s">
        <v>11</v>
      </c>
      <c r="C1415">
        <v>591</v>
      </c>
      <c r="D1415">
        <v>70</v>
      </c>
      <c r="E1415">
        <v>50</v>
      </c>
      <c r="F1415">
        <v>1190</v>
      </c>
      <c r="G1415" s="3">
        <f t="shared" si="66"/>
        <v>182</v>
      </c>
      <c r="H1415" s="4">
        <f t="shared" si="67"/>
        <v>0.15294117647058825</v>
      </c>
      <c r="I1415" s="1">
        <f t="shared" si="68"/>
        <v>7</v>
      </c>
    </row>
    <row r="1416" spans="1:9" hidden="1" x14ac:dyDescent="0.2">
      <c r="A1416" s="6">
        <v>43912.708333333336</v>
      </c>
      <c r="B1416" s="1" t="s">
        <v>11</v>
      </c>
      <c r="C1416">
        <v>671</v>
      </c>
      <c r="D1416">
        <v>79</v>
      </c>
      <c r="E1416">
        <v>53</v>
      </c>
      <c r="F1416">
        <v>1383</v>
      </c>
      <c r="G1416" s="3">
        <f t="shared" si="66"/>
        <v>193</v>
      </c>
      <c r="H1416" s="4">
        <f t="shared" si="67"/>
        <v>0.13955169920462762</v>
      </c>
      <c r="I1416" s="1">
        <f t="shared" si="68"/>
        <v>3</v>
      </c>
    </row>
    <row r="1417" spans="1:9" hidden="1" x14ac:dyDescent="0.2">
      <c r="A1417" s="6">
        <v>43913.708333333336</v>
      </c>
      <c r="B1417" s="1" t="s">
        <v>11</v>
      </c>
      <c r="C1417">
        <v>718</v>
      </c>
      <c r="D1417">
        <v>96</v>
      </c>
      <c r="E1417">
        <v>63</v>
      </c>
      <c r="F1417">
        <v>1540</v>
      </c>
      <c r="G1417" s="3">
        <f t="shared" si="66"/>
        <v>157</v>
      </c>
      <c r="H1417" s="4">
        <f t="shared" si="67"/>
        <v>0.1019480519480519</v>
      </c>
      <c r="I1417" s="1">
        <f t="shared" si="68"/>
        <v>10</v>
      </c>
    </row>
    <row r="1418" spans="1:9" hidden="1" x14ac:dyDescent="0.2">
      <c r="A1418" s="6">
        <v>43914.708333333336</v>
      </c>
      <c r="B1418" s="1" t="s">
        <v>11</v>
      </c>
      <c r="C1418">
        <v>747</v>
      </c>
      <c r="D1418">
        <v>94</v>
      </c>
      <c r="E1418">
        <v>80</v>
      </c>
      <c r="F1418">
        <v>1728</v>
      </c>
      <c r="G1418" s="3">
        <f t="shared" si="66"/>
        <v>188</v>
      </c>
      <c r="H1418" s="4">
        <f t="shared" si="67"/>
        <v>0.10879629629629628</v>
      </c>
      <c r="I1418" s="1">
        <f t="shared" si="68"/>
        <v>17</v>
      </c>
    </row>
    <row r="1419" spans="1:9" hidden="1" x14ac:dyDescent="0.2">
      <c r="A1419" s="6">
        <v>43915.708333333336</v>
      </c>
      <c r="B1419" s="1" t="s">
        <v>11</v>
      </c>
      <c r="C1419">
        <v>805</v>
      </c>
      <c r="D1419">
        <v>101</v>
      </c>
      <c r="E1419">
        <v>95</v>
      </c>
      <c r="F1419">
        <v>1901</v>
      </c>
      <c r="G1419" s="3">
        <f t="shared" si="66"/>
        <v>173</v>
      </c>
      <c r="H1419" s="4">
        <f t="shared" si="67"/>
        <v>9.1004734350341954E-2</v>
      </c>
      <c r="I1419" s="1">
        <f t="shared" si="68"/>
        <v>15</v>
      </c>
    </row>
    <row r="1420" spans="1:9" hidden="1" x14ac:dyDescent="0.2">
      <c r="A1420" s="6">
        <v>43916.708333333336</v>
      </c>
      <c r="B1420" s="1" t="s">
        <v>11</v>
      </c>
      <c r="C1420">
        <v>878</v>
      </c>
      <c r="D1420">
        <v>113</v>
      </c>
      <c r="E1420">
        <v>106</v>
      </c>
      <c r="F1420">
        <v>2096</v>
      </c>
      <c r="G1420" s="3">
        <f t="shared" si="66"/>
        <v>195</v>
      </c>
      <c r="H1420" s="4">
        <f t="shared" si="67"/>
        <v>9.3034351145038219E-2</v>
      </c>
      <c r="I1420" s="1">
        <f t="shared" si="68"/>
        <v>11</v>
      </c>
    </row>
    <row r="1421" spans="1:9" hidden="1" x14ac:dyDescent="0.2">
      <c r="A1421" s="6">
        <v>43917.708333333336</v>
      </c>
      <c r="B1421" s="1" t="s">
        <v>11</v>
      </c>
      <c r="C1421">
        <v>992</v>
      </c>
      <c r="D1421">
        <v>126</v>
      </c>
      <c r="E1421">
        <v>118</v>
      </c>
      <c r="F1421">
        <v>2295</v>
      </c>
      <c r="G1421" s="3">
        <f t="shared" si="66"/>
        <v>199</v>
      </c>
      <c r="H1421" s="4">
        <f t="shared" si="67"/>
        <v>8.671023965141611E-2</v>
      </c>
      <c r="I1421" s="1">
        <f t="shared" si="68"/>
        <v>12</v>
      </c>
    </row>
    <row r="1422" spans="1:9" hidden="1" x14ac:dyDescent="0.2">
      <c r="A1422" s="6">
        <v>43918.708333333336</v>
      </c>
      <c r="B1422" s="1" t="s">
        <v>11</v>
      </c>
      <c r="C1422">
        <v>985</v>
      </c>
      <c r="D1422">
        <v>133</v>
      </c>
      <c r="E1422">
        <v>124</v>
      </c>
      <c r="F1422">
        <v>2505</v>
      </c>
      <c r="G1422" s="3">
        <f t="shared" si="66"/>
        <v>210</v>
      </c>
      <c r="H1422" s="4">
        <f t="shared" si="67"/>
        <v>8.3832335329341312E-2</v>
      </c>
      <c r="I1422" s="1">
        <f t="shared" si="68"/>
        <v>6</v>
      </c>
    </row>
    <row r="1423" spans="1:9" hidden="1" x14ac:dyDescent="0.2">
      <c r="A1423" s="6">
        <v>43919.708333333336</v>
      </c>
      <c r="B1423" s="1" t="s">
        <v>11</v>
      </c>
      <c r="C1423">
        <v>1062</v>
      </c>
      <c r="D1423">
        <v>133</v>
      </c>
      <c r="E1423">
        <v>136</v>
      </c>
      <c r="F1423">
        <v>2706</v>
      </c>
      <c r="G1423" s="3">
        <f t="shared" si="66"/>
        <v>201</v>
      </c>
      <c r="H1423" s="4">
        <f t="shared" si="67"/>
        <v>7.4279379157427883E-2</v>
      </c>
      <c r="I1423" s="1">
        <f t="shared" si="68"/>
        <v>12</v>
      </c>
    </row>
    <row r="1424" spans="1:9" hidden="1" x14ac:dyDescent="0.2">
      <c r="A1424" s="6">
        <v>43920.708333333336</v>
      </c>
      <c r="B1424" s="1" t="s">
        <v>11</v>
      </c>
      <c r="C1424">
        <v>1079</v>
      </c>
      <c r="D1424">
        <v>154</v>
      </c>
      <c r="E1424">
        <v>150</v>
      </c>
      <c r="F1424">
        <v>2914</v>
      </c>
      <c r="G1424" s="3">
        <f t="shared" si="66"/>
        <v>208</v>
      </c>
      <c r="H1424" s="4">
        <f t="shared" si="67"/>
        <v>7.1379547014413181E-2</v>
      </c>
      <c r="I1424" s="1">
        <f t="shared" si="68"/>
        <v>14</v>
      </c>
    </row>
    <row r="1425" spans="1:9" hidden="1" x14ac:dyDescent="0.2">
      <c r="A1425" s="6">
        <v>43921.708333333336</v>
      </c>
      <c r="B1425" s="1" t="s">
        <v>11</v>
      </c>
      <c r="C1425">
        <v>1127</v>
      </c>
      <c r="D1425">
        <v>173</v>
      </c>
      <c r="E1425">
        <v>162</v>
      </c>
      <c r="F1425">
        <v>3095</v>
      </c>
      <c r="G1425" s="3">
        <f t="shared" si="66"/>
        <v>181</v>
      </c>
      <c r="H1425" s="4">
        <f t="shared" si="67"/>
        <v>5.848142164781911E-2</v>
      </c>
      <c r="I1425" s="1">
        <f t="shared" si="68"/>
        <v>12</v>
      </c>
    </row>
    <row r="1426" spans="1:9" hidden="1" x14ac:dyDescent="0.2">
      <c r="A1426" s="6">
        <v>43922.708333333336</v>
      </c>
      <c r="B1426" s="1" t="s">
        <v>11</v>
      </c>
      <c r="C1426">
        <v>1131</v>
      </c>
      <c r="D1426">
        <v>177</v>
      </c>
      <c r="E1426">
        <v>169</v>
      </c>
      <c r="F1426">
        <v>3264</v>
      </c>
      <c r="G1426" s="3">
        <f t="shared" si="66"/>
        <v>169</v>
      </c>
      <c r="H1426" s="4">
        <f t="shared" si="67"/>
        <v>5.1776960784313708E-2</v>
      </c>
      <c r="I1426" s="1">
        <f t="shared" si="68"/>
        <v>7</v>
      </c>
    </row>
    <row r="1427" spans="1:9" hidden="1" x14ac:dyDescent="0.2">
      <c r="A1427" s="6">
        <v>43923.708333333336</v>
      </c>
      <c r="B1427" s="1" t="s">
        <v>11</v>
      </c>
      <c r="C1427">
        <v>1169</v>
      </c>
      <c r="D1427">
        <v>181</v>
      </c>
      <c r="E1427">
        <v>185</v>
      </c>
      <c r="F1427">
        <v>3433</v>
      </c>
      <c r="G1427" s="3">
        <f t="shared" si="66"/>
        <v>169</v>
      </c>
      <c r="H1427" s="4">
        <f t="shared" si="67"/>
        <v>4.9228080396155005E-2</v>
      </c>
      <c r="I1427" s="1">
        <f t="shared" si="68"/>
        <v>16</v>
      </c>
    </row>
    <row r="1428" spans="1:9" hidden="1" x14ac:dyDescent="0.2">
      <c r="A1428" s="6">
        <v>43924.708333333336</v>
      </c>
      <c r="B1428" s="1" t="s">
        <v>11</v>
      </c>
      <c r="C1428">
        <v>1194</v>
      </c>
      <c r="D1428">
        <v>188</v>
      </c>
      <c r="E1428">
        <v>199</v>
      </c>
      <c r="F1428">
        <v>3600</v>
      </c>
      <c r="G1428" s="3">
        <f t="shared" si="66"/>
        <v>167</v>
      </c>
      <c r="H1428" s="4">
        <f t="shared" si="67"/>
        <v>4.6388888888888924E-2</v>
      </c>
      <c r="I1428" s="1">
        <f t="shared" si="68"/>
        <v>14</v>
      </c>
    </row>
    <row r="1429" spans="1:9" hidden="1" x14ac:dyDescent="0.2">
      <c r="A1429" s="6">
        <v>43925.708333333336</v>
      </c>
      <c r="B1429" s="1" t="s">
        <v>11</v>
      </c>
      <c r="C1429">
        <v>1236</v>
      </c>
      <c r="D1429">
        <v>193</v>
      </c>
      <c r="E1429">
        <v>212</v>
      </c>
      <c r="F1429">
        <v>3757</v>
      </c>
      <c r="G1429" s="3">
        <f t="shared" si="66"/>
        <v>157</v>
      </c>
      <c r="H1429" s="4">
        <f t="shared" si="67"/>
        <v>4.1788661165823804E-2</v>
      </c>
      <c r="I1429" s="1">
        <f t="shared" si="68"/>
        <v>13</v>
      </c>
    </row>
    <row r="1430" spans="1:9" hidden="1" x14ac:dyDescent="0.2">
      <c r="A1430" s="6">
        <v>43926.708333333336</v>
      </c>
      <c r="B1430" s="1" t="s">
        <v>11</v>
      </c>
      <c r="C1430">
        <v>1235</v>
      </c>
      <c r="D1430">
        <v>197</v>
      </c>
      <c r="E1430">
        <v>219</v>
      </c>
      <c r="F1430">
        <v>3880</v>
      </c>
      <c r="G1430" s="3">
        <f t="shared" si="66"/>
        <v>123</v>
      </c>
      <c r="H1430" s="4">
        <f t="shared" si="67"/>
        <v>3.170103092783505E-2</v>
      </c>
      <c r="I1430" s="1">
        <f t="shared" si="68"/>
        <v>7</v>
      </c>
    </row>
    <row r="1431" spans="1:9" hidden="1" x14ac:dyDescent="0.2">
      <c r="A1431" s="6">
        <v>43927.708333333336</v>
      </c>
      <c r="B1431" s="1" t="s">
        <v>11</v>
      </c>
      <c r="C1431">
        <v>1235</v>
      </c>
      <c r="D1431">
        <v>197</v>
      </c>
      <c r="E1431">
        <v>229</v>
      </c>
      <c r="F1431">
        <v>4031</v>
      </c>
      <c r="G1431" s="3">
        <f t="shared" si="66"/>
        <v>151</v>
      </c>
      <c r="H1431" s="4">
        <f t="shared" si="67"/>
        <v>3.7459687422475851E-2</v>
      </c>
      <c r="I1431" s="1">
        <f t="shared" si="68"/>
        <v>10</v>
      </c>
    </row>
    <row r="1432" spans="1:9" hidden="1" x14ac:dyDescent="0.2">
      <c r="A1432" s="6">
        <v>43928.708333333336</v>
      </c>
      <c r="B1432" s="1" t="s">
        <v>11</v>
      </c>
      <c r="C1432">
        <v>1229</v>
      </c>
      <c r="D1432">
        <v>192</v>
      </c>
      <c r="E1432">
        <v>238</v>
      </c>
      <c r="F1432">
        <v>4149</v>
      </c>
      <c r="G1432" s="3">
        <f t="shared" si="66"/>
        <v>118</v>
      </c>
      <c r="H1432" s="4">
        <f t="shared" si="67"/>
        <v>2.8440588093516461E-2</v>
      </c>
      <c r="I1432" s="1">
        <f t="shared" si="68"/>
        <v>9</v>
      </c>
    </row>
    <row r="1433" spans="1:9" hidden="1" x14ac:dyDescent="0.2">
      <c r="A1433" s="6">
        <v>43929.708333333336</v>
      </c>
      <c r="B1433" s="1" t="s">
        <v>11</v>
      </c>
      <c r="C1433">
        <v>1241</v>
      </c>
      <c r="D1433">
        <v>196</v>
      </c>
      <c r="E1433">
        <v>244</v>
      </c>
      <c r="F1433">
        <v>4266</v>
      </c>
      <c r="G1433" s="3">
        <f t="shared" si="66"/>
        <v>117</v>
      </c>
      <c r="H1433" s="4">
        <f t="shared" si="67"/>
        <v>2.7426160337552741E-2</v>
      </c>
      <c r="I1433" s="1">
        <f t="shared" si="68"/>
        <v>6</v>
      </c>
    </row>
    <row r="1434" spans="1:9" hidden="1" x14ac:dyDescent="0.2">
      <c r="A1434" s="6">
        <v>43930.708333333336</v>
      </c>
      <c r="B1434" s="1" t="s">
        <v>11</v>
      </c>
      <c r="C1434">
        <v>1244</v>
      </c>
      <c r="D1434">
        <v>198</v>
      </c>
      <c r="E1434">
        <v>253</v>
      </c>
      <c r="F1434">
        <v>4429</v>
      </c>
      <c r="G1434" s="3">
        <f t="shared" si="66"/>
        <v>163</v>
      </c>
      <c r="H1434" s="4">
        <f t="shared" si="67"/>
        <v>3.680289004289905E-2</v>
      </c>
      <c r="I1434" s="1">
        <f t="shared" si="68"/>
        <v>9</v>
      </c>
    </row>
    <row r="1435" spans="1:9" hidden="1" x14ac:dyDescent="0.2">
      <c r="A1435" s="6">
        <v>43931.708333333336</v>
      </c>
      <c r="B1435" s="1" t="s">
        <v>11</v>
      </c>
      <c r="C1435">
        <v>1236</v>
      </c>
      <c r="D1435">
        <v>201</v>
      </c>
      <c r="E1435">
        <v>263</v>
      </c>
      <c r="F1435">
        <v>4583</v>
      </c>
      <c r="G1435" s="3">
        <f t="shared" si="66"/>
        <v>154</v>
      </c>
      <c r="H1435" s="4">
        <f t="shared" si="67"/>
        <v>3.3602443814095606E-2</v>
      </c>
      <c r="I1435" s="1">
        <f t="shared" si="68"/>
        <v>10</v>
      </c>
    </row>
    <row r="1436" spans="1:9" hidden="1" x14ac:dyDescent="0.2">
      <c r="A1436" s="6">
        <v>43932.708333333336</v>
      </c>
      <c r="B1436" s="1" t="s">
        <v>11</v>
      </c>
      <c r="C1436">
        <v>1264</v>
      </c>
      <c r="D1436">
        <v>203</v>
      </c>
      <c r="E1436">
        <v>273</v>
      </c>
      <c r="F1436">
        <v>4723</v>
      </c>
      <c r="G1436" s="3">
        <f t="shared" si="66"/>
        <v>140</v>
      </c>
      <c r="H1436" s="4">
        <f t="shared" si="67"/>
        <v>2.9642176582680535E-2</v>
      </c>
      <c r="I1436" s="1">
        <f t="shared" si="68"/>
        <v>10</v>
      </c>
    </row>
    <row r="1437" spans="1:9" hidden="1" x14ac:dyDescent="0.2">
      <c r="A1437" s="6">
        <v>43933.708333333336</v>
      </c>
      <c r="B1437" s="1" t="s">
        <v>11</v>
      </c>
      <c r="C1437">
        <v>1268</v>
      </c>
      <c r="D1437">
        <v>201</v>
      </c>
      <c r="E1437">
        <v>279</v>
      </c>
      <c r="F1437">
        <v>4845</v>
      </c>
      <c r="G1437" s="3">
        <f t="shared" si="66"/>
        <v>122</v>
      </c>
      <c r="H1437" s="4">
        <f t="shared" si="67"/>
        <v>2.5180598555211597E-2</v>
      </c>
      <c r="I1437" s="1">
        <f t="shared" si="68"/>
        <v>6</v>
      </c>
    </row>
    <row r="1438" spans="1:9" hidden="1" x14ac:dyDescent="0.2">
      <c r="A1438" s="6">
        <v>43934.708333333336</v>
      </c>
      <c r="B1438" s="1" t="s">
        <v>11</v>
      </c>
      <c r="C1438">
        <v>1314</v>
      </c>
      <c r="D1438">
        <v>200</v>
      </c>
      <c r="E1438">
        <v>284</v>
      </c>
      <c r="F1438">
        <v>4968</v>
      </c>
      <c r="G1438" s="3">
        <f t="shared" si="66"/>
        <v>123</v>
      </c>
      <c r="H1438" s="4">
        <f t="shared" si="67"/>
        <v>2.4758454106280192E-2</v>
      </c>
      <c r="I1438" s="1">
        <f t="shared" si="68"/>
        <v>5</v>
      </c>
    </row>
    <row r="1439" spans="1:9" hidden="1" x14ac:dyDescent="0.2">
      <c r="A1439" s="6">
        <v>43935.708333333336</v>
      </c>
      <c r="B1439" s="1" t="s">
        <v>11</v>
      </c>
      <c r="C1439">
        <v>1344</v>
      </c>
      <c r="D1439">
        <v>199</v>
      </c>
      <c r="E1439">
        <v>300</v>
      </c>
      <c r="F1439">
        <v>5111</v>
      </c>
      <c r="G1439" s="3">
        <f t="shared" si="66"/>
        <v>143</v>
      </c>
      <c r="H1439" s="4">
        <f t="shared" si="67"/>
        <v>2.7978869105850124E-2</v>
      </c>
      <c r="I1439" s="1">
        <f t="shared" si="68"/>
        <v>16</v>
      </c>
    </row>
    <row r="1440" spans="1:9" hidden="1" x14ac:dyDescent="0.2">
      <c r="A1440" s="6">
        <v>43936.708333333336</v>
      </c>
      <c r="B1440" s="1" t="s">
        <v>11</v>
      </c>
      <c r="C1440">
        <v>1342</v>
      </c>
      <c r="D1440">
        <v>196</v>
      </c>
      <c r="E1440">
        <v>311</v>
      </c>
      <c r="F1440">
        <v>5232</v>
      </c>
      <c r="G1440" s="3">
        <f t="shared" si="66"/>
        <v>121</v>
      </c>
      <c r="H1440" s="4">
        <f t="shared" si="67"/>
        <v>2.3126911314984677E-2</v>
      </c>
      <c r="I1440" s="1">
        <f t="shared" si="68"/>
        <v>11</v>
      </c>
    </row>
    <row r="1441" spans="1:9" hidden="1" x14ac:dyDescent="0.2">
      <c r="A1441" s="6">
        <v>43937.708333333336</v>
      </c>
      <c r="B1441" s="1" t="s">
        <v>11</v>
      </c>
      <c r="C1441">
        <v>1347</v>
      </c>
      <c r="D1441">
        <v>197</v>
      </c>
      <c r="E1441">
        <v>316</v>
      </c>
      <c r="F1441">
        <v>5380</v>
      </c>
      <c r="G1441" s="3">
        <f t="shared" si="66"/>
        <v>148</v>
      </c>
      <c r="H1441" s="4">
        <f t="shared" si="67"/>
        <v>2.750929368029742E-2</v>
      </c>
      <c r="I1441" s="1">
        <f t="shared" si="68"/>
        <v>5</v>
      </c>
    </row>
    <row r="1442" spans="1:9" hidden="1" x14ac:dyDescent="0.2">
      <c r="A1442" s="6">
        <v>43938.708333333336</v>
      </c>
      <c r="B1442" s="1" t="s">
        <v>11</v>
      </c>
      <c r="C1442">
        <v>1332</v>
      </c>
      <c r="D1442">
        <v>187</v>
      </c>
      <c r="E1442">
        <v>332</v>
      </c>
      <c r="F1442">
        <v>5524</v>
      </c>
      <c r="G1442" s="3">
        <f t="shared" si="66"/>
        <v>144</v>
      </c>
      <c r="H1442" s="4">
        <f t="shared" si="67"/>
        <v>2.6068066618392449E-2</v>
      </c>
      <c r="I1442" s="1">
        <f t="shared" si="68"/>
        <v>16</v>
      </c>
    </row>
    <row r="1443" spans="1:9" hidden="1" x14ac:dyDescent="0.2">
      <c r="A1443" s="6">
        <v>43939.708333333336</v>
      </c>
      <c r="B1443" s="1" t="s">
        <v>11</v>
      </c>
      <c r="C1443">
        <v>1376</v>
      </c>
      <c r="D1443">
        <v>186</v>
      </c>
      <c r="E1443">
        <v>340</v>
      </c>
      <c r="F1443">
        <v>5668</v>
      </c>
      <c r="G1443" s="3">
        <f t="shared" si="66"/>
        <v>144</v>
      </c>
      <c r="H1443" s="4">
        <f t="shared" si="67"/>
        <v>2.5405786873676783E-2</v>
      </c>
      <c r="I1443" s="1">
        <f t="shared" si="68"/>
        <v>8</v>
      </c>
    </row>
    <row r="1444" spans="1:9" hidden="1" x14ac:dyDescent="0.2">
      <c r="A1444" s="6">
        <v>43940.708333333336</v>
      </c>
      <c r="B1444" s="1" t="s">
        <v>11</v>
      </c>
      <c r="C1444">
        <v>1370</v>
      </c>
      <c r="D1444">
        <v>185</v>
      </c>
      <c r="E1444">
        <v>341</v>
      </c>
      <c r="F1444">
        <v>5755</v>
      </c>
      <c r="G1444" s="3">
        <f t="shared" si="66"/>
        <v>87</v>
      </c>
      <c r="H1444" s="4">
        <f t="shared" si="67"/>
        <v>1.5117289313640314E-2</v>
      </c>
      <c r="I1444" s="1">
        <f t="shared" si="68"/>
        <v>1</v>
      </c>
    </row>
    <row r="1445" spans="1:9" hidden="1" x14ac:dyDescent="0.2">
      <c r="A1445" s="6">
        <v>43941.708333333336</v>
      </c>
      <c r="B1445" s="1" t="s">
        <v>11</v>
      </c>
      <c r="C1445">
        <v>1388</v>
      </c>
      <c r="D1445">
        <v>185</v>
      </c>
      <c r="E1445">
        <v>349</v>
      </c>
      <c r="F1445">
        <v>5815</v>
      </c>
      <c r="G1445" s="3">
        <f t="shared" si="66"/>
        <v>60</v>
      </c>
      <c r="H1445" s="4">
        <f t="shared" si="67"/>
        <v>1.0318142734307867E-2</v>
      </c>
      <c r="I1445" s="1">
        <f t="shared" si="68"/>
        <v>8</v>
      </c>
    </row>
    <row r="1446" spans="1:9" hidden="1" x14ac:dyDescent="0.2">
      <c r="A1446" s="6">
        <v>43942.708333333336</v>
      </c>
      <c r="B1446" s="1" t="s">
        <v>11</v>
      </c>
      <c r="C1446">
        <v>1380</v>
      </c>
      <c r="D1446">
        <v>184</v>
      </c>
      <c r="E1446">
        <v>363</v>
      </c>
      <c r="F1446">
        <v>5895</v>
      </c>
      <c r="G1446" s="3">
        <f t="shared" si="66"/>
        <v>80</v>
      </c>
      <c r="H1446" s="4">
        <f t="shared" si="67"/>
        <v>1.3570822731128085E-2</v>
      </c>
      <c r="I1446" s="1">
        <f t="shared" si="68"/>
        <v>14</v>
      </c>
    </row>
    <row r="1447" spans="1:9" hidden="1" x14ac:dyDescent="0.2">
      <c r="A1447" s="6">
        <v>43943.708333333336</v>
      </c>
      <c r="B1447" s="1" t="s">
        <v>11</v>
      </c>
      <c r="C1447">
        <v>1384</v>
      </c>
      <c r="D1447">
        <v>187</v>
      </c>
      <c r="E1447">
        <v>370</v>
      </c>
      <c r="F1447">
        <v>5975</v>
      </c>
      <c r="G1447" s="3">
        <f t="shared" si="66"/>
        <v>80</v>
      </c>
      <c r="H1447" s="4">
        <f t="shared" si="67"/>
        <v>1.3389121338912124E-2</v>
      </c>
      <c r="I1447" s="1">
        <f t="shared" si="68"/>
        <v>7</v>
      </c>
    </row>
    <row r="1448" spans="1:9" hidden="1" x14ac:dyDescent="0.2">
      <c r="A1448" s="6">
        <v>43944.708333333336</v>
      </c>
      <c r="B1448" s="1" t="s">
        <v>11</v>
      </c>
      <c r="C1448">
        <v>1385</v>
      </c>
      <c r="D1448">
        <v>186</v>
      </c>
      <c r="E1448">
        <v>375</v>
      </c>
      <c r="F1448">
        <v>6054</v>
      </c>
      <c r="G1448" s="3">
        <f t="shared" si="66"/>
        <v>79</v>
      </c>
      <c r="H1448" s="4">
        <f t="shared" si="67"/>
        <v>1.3049223653782582E-2</v>
      </c>
      <c r="I1448" s="1">
        <f t="shared" si="68"/>
        <v>5</v>
      </c>
    </row>
    <row r="1449" spans="1:9" hidden="1" x14ac:dyDescent="0.2">
      <c r="A1449" s="6">
        <v>43945.708333333336</v>
      </c>
      <c r="B1449" s="1" t="s">
        <v>11</v>
      </c>
      <c r="C1449">
        <v>1396</v>
      </c>
      <c r="D1449">
        <v>184</v>
      </c>
      <c r="E1449">
        <v>384</v>
      </c>
      <c r="F1449">
        <v>6132</v>
      </c>
      <c r="G1449" s="3">
        <f t="shared" si="66"/>
        <v>78</v>
      </c>
      <c r="H1449" s="4">
        <f t="shared" si="67"/>
        <v>1.2720156555772966E-2</v>
      </c>
      <c r="I1449" s="1">
        <f t="shared" si="68"/>
        <v>9</v>
      </c>
    </row>
    <row r="1450" spans="1:9" hidden="1" x14ac:dyDescent="0.2">
      <c r="A1450" s="6">
        <v>43946.708333333336</v>
      </c>
      <c r="B1450" s="1" t="s">
        <v>11</v>
      </c>
      <c r="C1450">
        <v>1421</v>
      </c>
      <c r="D1450">
        <v>183</v>
      </c>
      <c r="E1450">
        <v>387</v>
      </c>
      <c r="F1450">
        <v>6224</v>
      </c>
      <c r="G1450" s="3">
        <f t="shared" si="66"/>
        <v>92</v>
      </c>
      <c r="H1450" s="4">
        <f t="shared" si="67"/>
        <v>1.4781491002570646E-2</v>
      </c>
      <c r="I1450" s="1">
        <f t="shared" si="68"/>
        <v>3</v>
      </c>
    </row>
    <row r="1451" spans="1:9" hidden="1" x14ac:dyDescent="0.2">
      <c r="A1451" s="6">
        <v>43947.708333333336</v>
      </c>
      <c r="B1451" s="1" t="s">
        <v>11</v>
      </c>
      <c r="C1451">
        <v>1442</v>
      </c>
      <c r="D1451">
        <v>161</v>
      </c>
      <c r="E1451">
        <v>389</v>
      </c>
      <c r="F1451">
        <v>6309</v>
      </c>
      <c r="G1451" s="3">
        <f t="shared" si="66"/>
        <v>85</v>
      </c>
      <c r="H1451" s="4">
        <f t="shared" si="67"/>
        <v>1.3472816611190375E-2</v>
      </c>
      <c r="I1451" s="1">
        <f t="shared" si="68"/>
        <v>2</v>
      </c>
    </row>
    <row r="1452" spans="1:9" hidden="1" x14ac:dyDescent="0.2">
      <c r="A1452" s="6">
        <v>43948.708333333336</v>
      </c>
      <c r="B1452" s="1" t="s">
        <v>11</v>
      </c>
      <c r="C1452">
        <v>1464</v>
      </c>
      <c r="D1452">
        <v>143</v>
      </c>
      <c r="E1452">
        <v>397</v>
      </c>
      <c r="F1452">
        <v>6392</v>
      </c>
      <c r="G1452" s="3">
        <f t="shared" si="66"/>
        <v>83</v>
      </c>
      <c r="H1452" s="4">
        <f t="shared" si="67"/>
        <v>1.2984981226533132E-2</v>
      </c>
      <c r="I1452" s="1">
        <f t="shared" si="68"/>
        <v>8</v>
      </c>
    </row>
    <row r="1453" spans="1:9" hidden="1" x14ac:dyDescent="0.2">
      <c r="A1453" s="6">
        <v>43949.708333333336</v>
      </c>
      <c r="B1453" s="1" t="s">
        <v>11</v>
      </c>
      <c r="C1453">
        <v>1468</v>
      </c>
      <c r="D1453">
        <v>132</v>
      </c>
      <c r="E1453">
        <v>414</v>
      </c>
      <c r="F1453">
        <v>6467</v>
      </c>
      <c r="G1453" s="3">
        <f t="shared" si="66"/>
        <v>75</v>
      </c>
      <c r="H1453" s="4">
        <f t="shared" si="67"/>
        <v>1.1597340343281304E-2</v>
      </c>
      <c r="I1453" s="1">
        <f t="shared" si="68"/>
        <v>17</v>
      </c>
    </row>
    <row r="1454" spans="1:9" hidden="1" x14ac:dyDescent="0.2">
      <c r="A1454" s="6">
        <v>43950.708333333336</v>
      </c>
      <c r="B1454" s="1" t="s">
        <v>11</v>
      </c>
      <c r="C1454">
        <v>1445</v>
      </c>
      <c r="D1454">
        <v>130</v>
      </c>
      <c r="E1454">
        <v>431</v>
      </c>
      <c r="F1454">
        <v>6545</v>
      </c>
      <c r="G1454" s="3">
        <f t="shared" si="66"/>
        <v>78</v>
      </c>
      <c r="H1454" s="4">
        <f t="shared" si="67"/>
        <v>1.1917494270435425E-2</v>
      </c>
      <c r="I1454" s="1">
        <f t="shared" si="68"/>
        <v>17</v>
      </c>
    </row>
    <row r="1455" spans="1:9" hidden="1" x14ac:dyDescent="0.2">
      <c r="A1455" s="6">
        <v>43951.708333333336</v>
      </c>
      <c r="B1455" s="1" t="s">
        <v>11</v>
      </c>
      <c r="C1455">
        <v>1417</v>
      </c>
      <c r="D1455">
        <v>115</v>
      </c>
      <c r="E1455">
        <v>441</v>
      </c>
      <c r="F1455">
        <v>6616</v>
      </c>
      <c r="G1455" s="3">
        <f t="shared" si="66"/>
        <v>71</v>
      </c>
      <c r="H1455" s="4">
        <f t="shared" si="67"/>
        <v>1.0731559854897266E-2</v>
      </c>
      <c r="I1455" s="1">
        <f t="shared" si="68"/>
        <v>10</v>
      </c>
    </row>
    <row r="1456" spans="1:9" hidden="1" x14ac:dyDescent="0.2">
      <c r="A1456" s="6">
        <v>43952.708333333336</v>
      </c>
      <c r="B1456" s="1" t="s">
        <v>11</v>
      </c>
      <c r="C1456">
        <v>1372</v>
      </c>
      <c r="D1456">
        <v>105</v>
      </c>
      <c r="E1456">
        <v>482</v>
      </c>
      <c r="F1456">
        <v>6672</v>
      </c>
      <c r="G1456" s="3">
        <f t="shared" si="66"/>
        <v>56</v>
      </c>
      <c r="H1456" s="4">
        <f t="shared" si="67"/>
        <v>8.3932853717025857E-3</v>
      </c>
      <c r="I1456" s="1">
        <f t="shared" si="68"/>
        <v>41</v>
      </c>
    </row>
    <row r="1457" spans="1:9" hidden="1" x14ac:dyDescent="0.2">
      <c r="A1457" s="6">
        <v>43953.708333333336</v>
      </c>
      <c r="B1457" s="1" t="s">
        <v>11</v>
      </c>
      <c r="C1457">
        <v>1370</v>
      </c>
      <c r="D1457">
        <v>96</v>
      </c>
      <c r="E1457">
        <v>497</v>
      </c>
      <c r="F1457">
        <v>6756</v>
      </c>
      <c r="G1457" s="3">
        <f t="shared" si="66"/>
        <v>84</v>
      </c>
      <c r="H1457" s="4">
        <f t="shared" si="67"/>
        <v>1.243339253996445E-2</v>
      </c>
      <c r="I1457" s="1">
        <f t="shared" si="68"/>
        <v>15</v>
      </c>
    </row>
    <row r="1458" spans="1:9" hidden="1" x14ac:dyDescent="0.2">
      <c r="A1458" s="6">
        <v>43954.708333333336</v>
      </c>
      <c r="B1458" s="1" t="s">
        <v>11</v>
      </c>
      <c r="C1458">
        <v>1346</v>
      </c>
      <c r="D1458">
        <v>95</v>
      </c>
      <c r="E1458">
        <v>508</v>
      </c>
      <c r="F1458">
        <v>6809</v>
      </c>
      <c r="G1458" s="3">
        <f t="shared" si="66"/>
        <v>53</v>
      </c>
      <c r="H1458" s="4">
        <f t="shared" si="67"/>
        <v>7.783815538258243E-3</v>
      </c>
      <c r="I1458" s="1">
        <f t="shared" si="68"/>
        <v>11</v>
      </c>
    </row>
    <row r="1459" spans="1:9" hidden="1" x14ac:dyDescent="0.2">
      <c r="A1459" s="6">
        <v>43955.708333333336</v>
      </c>
      <c r="B1459" s="1" t="s">
        <v>11</v>
      </c>
      <c r="C1459">
        <v>1335</v>
      </c>
      <c r="D1459">
        <v>95</v>
      </c>
      <c r="E1459">
        <v>524</v>
      </c>
      <c r="F1459">
        <v>6847</v>
      </c>
      <c r="G1459" s="3">
        <f t="shared" si="66"/>
        <v>38</v>
      </c>
      <c r="H1459" s="4">
        <f t="shared" si="67"/>
        <v>5.5498758580400098E-3</v>
      </c>
      <c r="I1459" s="1">
        <f t="shared" si="68"/>
        <v>16</v>
      </c>
    </row>
    <row r="1460" spans="1:9" hidden="1" x14ac:dyDescent="0.2">
      <c r="A1460" s="6">
        <v>43956.708333333336</v>
      </c>
      <c r="B1460" s="1" t="s">
        <v>11</v>
      </c>
      <c r="C1460">
        <v>1315</v>
      </c>
      <c r="D1460">
        <v>91</v>
      </c>
      <c r="E1460">
        <v>534</v>
      </c>
      <c r="F1460">
        <v>6914</v>
      </c>
      <c r="G1460" s="3">
        <f t="shared" si="66"/>
        <v>67</v>
      </c>
      <c r="H1460" s="4">
        <f t="shared" si="67"/>
        <v>9.6904830778131723E-3</v>
      </c>
      <c r="I1460" s="1">
        <f t="shared" si="68"/>
        <v>10</v>
      </c>
    </row>
    <row r="1461" spans="1:9" hidden="1" x14ac:dyDescent="0.2">
      <c r="A1461" s="6">
        <v>43957.708333333336</v>
      </c>
      <c r="B1461" s="1" t="s">
        <v>11</v>
      </c>
      <c r="C1461">
        <v>1351</v>
      </c>
      <c r="D1461">
        <v>91</v>
      </c>
      <c r="E1461">
        <v>538</v>
      </c>
      <c r="F1461">
        <v>6995</v>
      </c>
      <c r="G1461" s="3">
        <f t="shared" si="66"/>
        <v>81</v>
      </c>
      <c r="H1461" s="4">
        <f t="shared" si="67"/>
        <v>1.1579699785561171E-2</v>
      </c>
      <c r="I1461" s="1">
        <f t="shared" si="68"/>
        <v>4</v>
      </c>
    </row>
    <row r="1462" spans="1:9" hidden="1" x14ac:dyDescent="0.2">
      <c r="A1462" s="6">
        <v>43958.708333333336</v>
      </c>
      <c r="B1462" s="1" t="s">
        <v>11</v>
      </c>
      <c r="C1462">
        <v>1291</v>
      </c>
      <c r="D1462">
        <v>89</v>
      </c>
      <c r="E1462">
        <v>543</v>
      </c>
      <c r="F1462">
        <v>7034</v>
      </c>
      <c r="G1462" s="3">
        <f t="shared" si="66"/>
        <v>39</v>
      </c>
      <c r="H1462" s="4">
        <f t="shared" si="67"/>
        <v>5.5444981518339986E-3</v>
      </c>
      <c r="I1462" s="1">
        <f t="shared" si="68"/>
        <v>5</v>
      </c>
    </row>
    <row r="1463" spans="1:9" hidden="1" x14ac:dyDescent="0.2">
      <c r="A1463" s="6">
        <v>43959.708333333336</v>
      </c>
      <c r="B1463" s="1" t="s">
        <v>11</v>
      </c>
      <c r="C1463">
        <v>1278</v>
      </c>
      <c r="D1463">
        <v>84</v>
      </c>
      <c r="E1463">
        <v>549</v>
      </c>
      <c r="F1463">
        <v>7086</v>
      </c>
      <c r="G1463" s="3">
        <f t="shared" si="66"/>
        <v>52</v>
      </c>
      <c r="H1463" s="4">
        <f t="shared" si="67"/>
        <v>7.3384137736381971E-3</v>
      </c>
      <c r="I1463" s="1">
        <f t="shared" si="68"/>
        <v>6</v>
      </c>
    </row>
    <row r="1464" spans="1:9" hidden="1" x14ac:dyDescent="0.2">
      <c r="A1464" s="6">
        <v>43960.708333333336</v>
      </c>
      <c r="B1464" s="1" t="s">
        <v>11</v>
      </c>
      <c r="C1464">
        <v>1277</v>
      </c>
      <c r="D1464">
        <v>82</v>
      </c>
      <c r="E1464">
        <v>553</v>
      </c>
      <c r="F1464">
        <v>7133</v>
      </c>
      <c r="G1464" s="3">
        <f t="shared" si="66"/>
        <v>47</v>
      </c>
      <c r="H1464" s="4">
        <f t="shared" si="67"/>
        <v>6.5890929482685934E-3</v>
      </c>
      <c r="I1464" s="1">
        <f t="shared" si="68"/>
        <v>4</v>
      </c>
    </row>
    <row r="1465" spans="1:9" hidden="1" x14ac:dyDescent="0.2">
      <c r="A1465" s="6">
        <v>43961.708333333336</v>
      </c>
      <c r="B1465" s="1" t="s">
        <v>11</v>
      </c>
      <c r="C1465">
        <v>1265</v>
      </c>
      <c r="D1465">
        <v>84</v>
      </c>
      <c r="E1465">
        <v>557</v>
      </c>
      <c r="F1465">
        <v>7165</v>
      </c>
      <c r="G1465" s="3">
        <f t="shared" si="66"/>
        <v>32</v>
      </c>
      <c r="H1465" s="4">
        <f t="shared" si="67"/>
        <v>4.4661549197487771E-3</v>
      </c>
      <c r="I1465" s="1">
        <f t="shared" si="68"/>
        <v>4</v>
      </c>
    </row>
    <row r="1466" spans="1:9" hidden="1" x14ac:dyDescent="0.2">
      <c r="A1466" s="6">
        <v>43962.708333333336</v>
      </c>
      <c r="B1466" s="1" t="s">
        <v>11</v>
      </c>
      <c r="C1466">
        <v>1266</v>
      </c>
      <c r="D1466">
        <v>83</v>
      </c>
      <c r="E1466">
        <v>562</v>
      </c>
      <c r="F1466">
        <v>7190</v>
      </c>
      <c r="G1466" s="3">
        <f t="shared" si="66"/>
        <v>25</v>
      </c>
      <c r="H1466" s="4">
        <f t="shared" si="67"/>
        <v>3.477051460361591E-3</v>
      </c>
      <c r="I1466" s="1">
        <f t="shared" si="68"/>
        <v>5</v>
      </c>
    </row>
    <row r="1467" spans="1:9" hidden="1" x14ac:dyDescent="0.2">
      <c r="A1467" s="6">
        <v>43963.708333333336</v>
      </c>
      <c r="B1467" s="1" t="s">
        <v>11</v>
      </c>
      <c r="C1467">
        <v>1258</v>
      </c>
      <c r="D1467">
        <v>84</v>
      </c>
      <c r="E1467">
        <v>566</v>
      </c>
      <c r="F1467">
        <v>7212</v>
      </c>
      <c r="G1467" s="3">
        <f t="shared" si="66"/>
        <v>22</v>
      </c>
      <c r="H1467" s="4">
        <f t="shared" si="67"/>
        <v>3.0504714364947283E-3</v>
      </c>
      <c r="I1467" s="1">
        <f t="shared" si="68"/>
        <v>4</v>
      </c>
    </row>
    <row r="1468" spans="1:9" hidden="1" x14ac:dyDescent="0.2">
      <c r="A1468" s="6">
        <v>43964.708333333336</v>
      </c>
      <c r="B1468" s="1" t="s">
        <v>11</v>
      </c>
      <c r="C1468">
        <v>1224</v>
      </c>
      <c r="D1468">
        <v>83</v>
      </c>
      <c r="E1468">
        <v>577</v>
      </c>
      <c r="F1468">
        <v>7250</v>
      </c>
      <c r="G1468" s="3">
        <f t="shared" si="66"/>
        <v>38</v>
      </c>
      <c r="H1468" s="4">
        <f t="shared" si="67"/>
        <v>5.2413793103448514E-3</v>
      </c>
      <c r="I1468" s="1">
        <f t="shared" si="68"/>
        <v>11</v>
      </c>
    </row>
    <row r="1469" spans="1:9" hidden="1" x14ac:dyDescent="0.2">
      <c r="A1469" s="6">
        <v>43965.708333333336</v>
      </c>
      <c r="B1469" s="1" t="s">
        <v>11</v>
      </c>
      <c r="C1469">
        <v>1178</v>
      </c>
      <c r="D1469">
        <v>79</v>
      </c>
      <c r="E1469">
        <v>595</v>
      </c>
      <c r="F1469">
        <v>7291</v>
      </c>
      <c r="G1469" s="3">
        <f t="shared" si="66"/>
        <v>41</v>
      </c>
      <c r="H1469" s="4">
        <f t="shared" si="67"/>
        <v>5.623371279659839E-3</v>
      </c>
      <c r="I1469" s="1">
        <f t="shared" si="68"/>
        <v>18</v>
      </c>
    </row>
    <row r="1470" spans="1:9" hidden="1" x14ac:dyDescent="0.2">
      <c r="A1470" s="6">
        <v>43966.708333333336</v>
      </c>
      <c r="B1470" s="1" t="s">
        <v>11</v>
      </c>
      <c r="C1470">
        <v>1173</v>
      </c>
      <c r="D1470">
        <v>79</v>
      </c>
      <c r="E1470">
        <v>604</v>
      </c>
      <c r="F1470">
        <v>7364</v>
      </c>
      <c r="G1470" s="3">
        <f t="shared" si="66"/>
        <v>73</v>
      </c>
      <c r="H1470" s="4">
        <f t="shared" si="67"/>
        <v>9.9130907115697608E-3</v>
      </c>
      <c r="I1470" s="1">
        <f t="shared" si="68"/>
        <v>9</v>
      </c>
    </row>
    <row r="1471" spans="1:9" hidden="1" x14ac:dyDescent="0.2">
      <c r="A1471" s="6">
        <v>43967.708333333336</v>
      </c>
      <c r="B1471" s="1" t="s">
        <v>11</v>
      </c>
      <c r="C1471">
        <v>1156</v>
      </c>
      <c r="D1471">
        <v>76</v>
      </c>
      <c r="E1471">
        <v>616</v>
      </c>
      <c r="F1471">
        <v>7396</v>
      </c>
      <c r="G1471" s="3">
        <f t="shared" si="66"/>
        <v>32</v>
      </c>
      <c r="H1471" s="4">
        <f t="shared" si="67"/>
        <v>4.3266630611140666E-3</v>
      </c>
      <c r="I1471" s="1">
        <f t="shared" si="68"/>
        <v>12</v>
      </c>
    </row>
    <row r="1472" spans="1:9" hidden="1" x14ac:dyDescent="0.2">
      <c r="A1472" s="6">
        <v>43968.708333333336</v>
      </c>
      <c r="B1472" s="1" t="s">
        <v>11</v>
      </c>
      <c r="C1472">
        <v>1150</v>
      </c>
      <c r="D1472">
        <v>74</v>
      </c>
      <c r="E1472">
        <v>622</v>
      </c>
      <c r="F1472">
        <v>7446</v>
      </c>
      <c r="G1472" s="3">
        <f t="shared" si="66"/>
        <v>50</v>
      </c>
      <c r="H1472" s="4">
        <f t="shared" si="67"/>
        <v>6.7150147730324905E-3</v>
      </c>
      <c r="I1472" s="1">
        <f t="shared" si="68"/>
        <v>6</v>
      </c>
    </row>
    <row r="1473" spans="1:9" hidden="1" x14ac:dyDescent="0.2">
      <c r="A1473" s="6">
        <v>43969.708333333336</v>
      </c>
      <c r="B1473" s="1" t="s">
        <v>11</v>
      </c>
      <c r="C1473">
        <v>1137</v>
      </c>
      <c r="D1473">
        <v>73</v>
      </c>
      <c r="E1473">
        <v>628</v>
      </c>
      <c r="F1473">
        <v>7485</v>
      </c>
      <c r="G1473" s="3">
        <f t="shared" si="66"/>
        <v>39</v>
      </c>
      <c r="H1473" s="4">
        <f t="shared" si="67"/>
        <v>5.2104208416833275E-3</v>
      </c>
      <c r="I1473" s="1">
        <f t="shared" si="68"/>
        <v>6</v>
      </c>
    </row>
    <row r="1474" spans="1:9" hidden="1" x14ac:dyDescent="0.2">
      <c r="A1474" s="6">
        <v>43970.708333333336</v>
      </c>
      <c r="B1474" s="1" t="s">
        <v>11</v>
      </c>
      <c r="C1474">
        <v>1124</v>
      </c>
      <c r="D1474">
        <v>74</v>
      </c>
      <c r="E1474">
        <v>640</v>
      </c>
      <c r="F1474">
        <v>7505</v>
      </c>
      <c r="G1474" s="3">
        <f t="shared" si="66"/>
        <v>20</v>
      </c>
      <c r="H1474" s="4">
        <f t="shared" si="67"/>
        <v>2.6648900732845204E-3</v>
      </c>
      <c r="I1474" s="1">
        <f t="shared" si="68"/>
        <v>12</v>
      </c>
    </row>
    <row r="1475" spans="1:9" hidden="1" x14ac:dyDescent="0.2">
      <c r="A1475" s="6">
        <v>43971.708333333336</v>
      </c>
      <c r="B1475" s="1" t="s">
        <v>11</v>
      </c>
      <c r="C1475">
        <v>1119</v>
      </c>
      <c r="D1475">
        <v>74</v>
      </c>
      <c r="E1475">
        <v>647</v>
      </c>
      <c r="F1475">
        <v>7533</v>
      </c>
      <c r="G1475" s="3">
        <f t="shared" ref="G1475:G1538" si="69">IF(AND(F1475&gt;0,AND(B1475=B1474,F1475&gt;0)),F1475-F1474,0)</f>
        <v>28</v>
      </c>
      <c r="H1475" s="4">
        <f t="shared" ref="H1475:H1538" si="70">IF(AND(F1474&gt;0,AND(B1475=B1474,F1474&gt;0)),1-(F1474/F1475),0)</f>
        <v>3.7169786273728578E-3</v>
      </c>
      <c r="I1475" s="1">
        <f t="shared" ref="I1475:I1538" si="71">IF(AND(E1475&gt;0,AND(B1475=B1474,E1475&gt;0)),E1475-E1474,0)</f>
        <v>7</v>
      </c>
    </row>
    <row r="1476" spans="1:9" hidden="1" x14ac:dyDescent="0.2">
      <c r="A1476" s="6">
        <v>43972.708333333336</v>
      </c>
      <c r="B1476" s="1" t="s">
        <v>11</v>
      </c>
      <c r="C1476">
        <v>1110</v>
      </c>
      <c r="D1476">
        <v>68</v>
      </c>
      <c r="E1476">
        <v>662</v>
      </c>
      <c r="F1476">
        <v>7558</v>
      </c>
      <c r="G1476" s="3">
        <f t="shared" si="69"/>
        <v>25</v>
      </c>
      <c r="H1476" s="4">
        <f t="shared" si="70"/>
        <v>3.3077533739084286E-3</v>
      </c>
      <c r="I1476" s="1">
        <f t="shared" si="71"/>
        <v>15</v>
      </c>
    </row>
    <row r="1477" spans="1:9" hidden="1" x14ac:dyDescent="0.2">
      <c r="A1477" s="6">
        <v>43973.708333333336</v>
      </c>
      <c r="B1477" s="1" t="s">
        <v>11</v>
      </c>
      <c r="C1477">
        <v>1111</v>
      </c>
      <c r="D1477">
        <v>67</v>
      </c>
      <c r="E1477">
        <v>669</v>
      </c>
      <c r="F1477">
        <v>7589</v>
      </c>
      <c r="G1477" s="3">
        <f t="shared" si="69"/>
        <v>31</v>
      </c>
      <c r="H1477" s="4">
        <f t="shared" si="70"/>
        <v>4.0848596653050295E-3</v>
      </c>
      <c r="I1477" s="1">
        <f t="shared" si="71"/>
        <v>7</v>
      </c>
    </row>
    <row r="1478" spans="1:9" hidden="1" x14ac:dyDescent="0.2">
      <c r="A1478" s="6">
        <v>43974.708333333336</v>
      </c>
      <c r="B1478" s="1" t="s">
        <v>11</v>
      </c>
      <c r="C1478">
        <v>1097</v>
      </c>
      <c r="D1478">
        <v>60</v>
      </c>
      <c r="E1478">
        <v>676</v>
      </c>
      <c r="F1478">
        <v>7607</v>
      </c>
      <c r="G1478" s="3">
        <f t="shared" si="69"/>
        <v>18</v>
      </c>
      <c r="H1478" s="4">
        <f t="shared" si="70"/>
        <v>2.3662416195608937E-3</v>
      </c>
      <c r="I1478" s="1">
        <f t="shared" si="71"/>
        <v>7</v>
      </c>
    </row>
    <row r="1479" spans="1:9" hidden="1" x14ac:dyDescent="0.2">
      <c r="A1479" s="6">
        <v>43975.708333333336</v>
      </c>
      <c r="B1479" s="1" t="s">
        <v>11</v>
      </c>
      <c r="C1479">
        <v>1088</v>
      </c>
      <c r="D1479">
        <v>61</v>
      </c>
      <c r="E1479">
        <v>684</v>
      </c>
      <c r="F1479">
        <v>7627</v>
      </c>
      <c r="G1479" s="3">
        <f t="shared" si="69"/>
        <v>20</v>
      </c>
      <c r="H1479" s="4">
        <f t="shared" si="70"/>
        <v>2.622263012980186E-3</v>
      </c>
      <c r="I1479" s="1">
        <f t="shared" si="71"/>
        <v>8</v>
      </c>
    </row>
    <row r="1480" spans="1:9" hidden="1" x14ac:dyDescent="0.2">
      <c r="A1480" s="6">
        <v>43976.708333333336</v>
      </c>
      <c r="B1480" s="1" t="s">
        <v>11</v>
      </c>
      <c r="C1480">
        <v>1085</v>
      </c>
      <c r="D1480">
        <v>60</v>
      </c>
      <c r="E1480">
        <v>688</v>
      </c>
      <c r="F1480">
        <v>7643</v>
      </c>
      <c r="G1480" s="3">
        <f t="shared" si="69"/>
        <v>16</v>
      </c>
      <c r="H1480" s="4">
        <f t="shared" si="70"/>
        <v>2.0934188146015664E-3</v>
      </c>
      <c r="I1480" s="1">
        <f t="shared" si="71"/>
        <v>4</v>
      </c>
    </row>
    <row r="1481" spans="1:9" hidden="1" x14ac:dyDescent="0.2">
      <c r="A1481" s="6">
        <v>43977.708333333336</v>
      </c>
      <c r="B1481" s="1" t="s">
        <v>11</v>
      </c>
      <c r="C1481">
        <v>1083</v>
      </c>
      <c r="D1481">
        <v>59</v>
      </c>
      <c r="E1481">
        <v>693</v>
      </c>
      <c r="F1481">
        <v>7661</v>
      </c>
      <c r="G1481" s="3">
        <f t="shared" si="69"/>
        <v>18</v>
      </c>
      <c r="H1481" s="4">
        <f t="shared" si="70"/>
        <v>2.3495627202715363E-3</v>
      </c>
      <c r="I1481" s="1">
        <f t="shared" si="71"/>
        <v>5</v>
      </c>
    </row>
    <row r="1482" spans="1:9" hidden="1" x14ac:dyDescent="0.2">
      <c r="A1482" s="6">
        <v>43978.708333333336</v>
      </c>
      <c r="B1482" s="1" t="s">
        <v>11</v>
      </c>
      <c r="C1482">
        <v>1062</v>
      </c>
      <c r="D1482">
        <v>65</v>
      </c>
      <c r="E1482">
        <v>701</v>
      </c>
      <c r="F1482">
        <v>7672</v>
      </c>
      <c r="G1482" s="3">
        <f t="shared" si="69"/>
        <v>11</v>
      </c>
      <c r="H1482" s="4">
        <f t="shared" si="70"/>
        <v>1.4337851929092649E-3</v>
      </c>
      <c r="I1482" s="1">
        <f t="shared" si="71"/>
        <v>8</v>
      </c>
    </row>
    <row r="1483" spans="1:9" hidden="1" x14ac:dyDescent="0.2">
      <c r="A1483" s="6">
        <v>43979.708333333336</v>
      </c>
      <c r="B1483" s="1" t="s">
        <v>11</v>
      </c>
      <c r="C1483">
        <v>1035</v>
      </c>
      <c r="D1483">
        <v>64</v>
      </c>
      <c r="E1483">
        <v>708</v>
      </c>
      <c r="F1483">
        <v>7693</v>
      </c>
      <c r="G1483" s="3">
        <f t="shared" si="69"/>
        <v>21</v>
      </c>
      <c r="H1483" s="4">
        <f t="shared" si="70"/>
        <v>2.7297543221109777E-3</v>
      </c>
      <c r="I1483" s="1">
        <f t="shared" si="71"/>
        <v>7</v>
      </c>
    </row>
    <row r="1484" spans="1:9" hidden="1" x14ac:dyDescent="0.2">
      <c r="A1484" s="6">
        <v>43980.708333333336</v>
      </c>
      <c r="B1484" s="1" t="s">
        <v>11</v>
      </c>
      <c r="C1484">
        <v>817</v>
      </c>
      <c r="D1484">
        <v>59</v>
      </c>
      <c r="E1484">
        <v>721</v>
      </c>
      <c r="F1484">
        <v>7709</v>
      </c>
      <c r="G1484" s="3">
        <f t="shared" si="69"/>
        <v>16</v>
      </c>
      <c r="H1484" s="4">
        <f t="shared" si="70"/>
        <v>2.0754961733039368E-3</v>
      </c>
      <c r="I1484" s="1">
        <f t="shared" si="71"/>
        <v>13</v>
      </c>
    </row>
    <row r="1485" spans="1:9" hidden="1" x14ac:dyDescent="0.2">
      <c r="A1485" s="6">
        <v>43981.708333333336</v>
      </c>
      <c r="B1485" s="1" t="s">
        <v>11</v>
      </c>
      <c r="C1485">
        <v>769</v>
      </c>
      <c r="D1485">
        <v>58</v>
      </c>
      <c r="E1485">
        <v>728</v>
      </c>
      <c r="F1485">
        <v>7715</v>
      </c>
      <c r="G1485" s="3">
        <f t="shared" si="69"/>
        <v>6</v>
      </c>
      <c r="H1485" s="4">
        <f t="shared" si="70"/>
        <v>7.7770576798441571E-4</v>
      </c>
      <c r="I1485" s="1">
        <f t="shared" si="71"/>
        <v>7</v>
      </c>
    </row>
    <row r="1486" spans="1:9" hidden="1" x14ac:dyDescent="0.2">
      <c r="A1486" s="6">
        <v>43982.708333333336</v>
      </c>
      <c r="B1486" s="1" t="s">
        <v>11</v>
      </c>
      <c r="C1486">
        <v>730</v>
      </c>
      <c r="D1486">
        <v>57</v>
      </c>
      <c r="E1486">
        <v>735</v>
      </c>
      <c r="F1486">
        <v>7728</v>
      </c>
      <c r="G1486" s="3">
        <f t="shared" si="69"/>
        <v>13</v>
      </c>
      <c r="H1486" s="4">
        <f t="shared" si="70"/>
        <v>1.6821946169772728E-3</v>
      </c>
      <c r="I1486" s="1">
        <f t="shared" si="71"/>
        <v>7</v>
      </c>
    </row>
    <row r="1487" spans="1:9" hidden="1" x14ac:dyDescent="0.2">
      <c r="A1487" s="6">
        <v>43983.708333333336</v>
      </c>
      <c r="B1487" s="1" t="s">
        <v>11</v>
      </c>
      <c r="C1487">
        <v>594</v>
      </c>
      <c r="D1487">
        <v>56</v>
      </c>
      <c r="E1487">
        <v>739</v>
      </c>
      <c r="F1487">
        <v>7738</v>
      </c>
      <c r="G1487" s="3">
        <f t="shared" si="69"/>
        <v>10</v>
      </c>
      <c r="H1487" s="4">
        <f t="shared" si="70"/>
        <v>1.2923235978289371E-3</v>
      </c>
      <c r="I1487" s="1">
        <f t="shared" si="71"/>
        <v>4</v>
      </c>
    </row>
    <row r="1488" spans="1:9" hidden="1" x14ac:dyDescent="0.2">
      <c r="A1488" s="6">
        <v>43984.708333333336</v>
      </c>
      <c r="B1488" s="1" t="s">
        <v>11</v>
      </c>
      <c r="C1488">
        <v>580</v>
      </c>
      <c r="D1488">
        <v>56</v>
      </c>
      <c r="E1488">
        <v>741</v>
      </c>
      <c r="F1488">
        <v>7743</v>
      </c>
      <c r="G1488" s="3">
        <f t="shared" si="69"/>
        <v>5</v>
      </c>
      <c r="H1488" s="4">
        <f t="shared" si="70"/>
        <v>6.4574454345855958E-4</v>
      </c>
      <c r="I1488" s="1">
        <f t="shared" si="71"/>
        <v>2</v>
      </c>
    </row>
    <row r="1489" spans="1:9" hidden="1" x14ac:dyDescent="0.2">
      <c r="A1489" s="6">
        <v>43985.708333333336</v>
      </c>
      <c r="B1489" s="1" t="s">
        <v>11</v>
      </c>
      <c r="C1489">
        <v>519</v>
      </c>
      <c r="D1489">
        <v>51</v>
      </c>
      <c r="E1489">
        <v>747</v>
      </c>
      <c r="F1489">
        <v>7753</v>
      </c>
      <c r="G1489" s="3">
        <f t="shared" si="69"/>
        <v>10</v>
      </c>
      <c r="H1489" s="4">
        <f t="shared" si="70"/>
        <v>1.2898232942086807E-3</v>
      </c>
      <c r="I1489" s="1">
        <f t="shared" si="71"/>
        <v>6</v>
      </c>
    </row>
    <row r="1490" spans="1:9" hidden="1" x14ac:dyDescent="0.2">
      <c r="A1490" s="6">
        <v>43986.708333333336</v>
      </c>
      <c r="B1490" s="1" t="s">
        <v>11</v>
      </c>
      <c r="C1490">
        <v>488</v>
      </c>
      <c r="D1490">
        <v>51</v>
      </c>
      <c r="E1490">
        <v>750</v>
      </c>
      <c r="F1490">
        <v>7764</v>
      </c>
      <c r="G1490" s="3">
        <f t="shared" si="69"/>
        <v>11</v>
      </c>
      <c r="H1490" s="4">
        <f t="shared" si="70"/>
        <v>1.4167954662545057E-3</v>
      </c>
      <c r="I1490" s="1">
        <f t="shared" si="71"/>
        <v>3</v>
      </c>
    </row>
    <row r="1491" spans="1:9" hidden="1" x14ac:dyDescent="0.2">
      <c r="A1491" s="6">
        <v>43987.708333333336</v>
      </c>
      <c r="B1491" s="1" t="s">
        <v>11</v>
      </c>
      <c r="C1491">
        <v>480</v>
      </c>
      <c r="D1491">
        <v>51</v>
      </c>
      <c r="E1491">
        <v>754</v>
      </c>
      <c r="F1491">
        <v>7773</v>
      </c>
      <c r="G1491" s="3">
        <f t="shared" si="69"/>
        <v>9</v>
      </c>
      <c r="H1491" s="4">
        <f t="shared" si="70"/>
        <v>1.1578541103820505E-3</v>
      </c>
      <c r="I1491" s="1">
        <f t="shared" si="71"/>
        <v>4</v>
      </c>
    </row>
    <row r="1492" spans="1:9" hidden="1" x14ac:dyDescent="0.2">
      <c r="A1492" s="6">
        <v>43988.708333333336</v>
      </c>
      <c r="B1492" s="1" t="s">
        <v>11</v>
      </c>
      <c r="C1492">
        <v>477</v>
      </c>
      <c r="D1492">
        <v>49</v>
      </c>
      <c r="E1492">
        <v>758</v>
      </c>
      <c r="F1492">
        <v>7801</v>
      </c>
      <c r="G1492" s="3">
        <f t="shared" si="69"/>
        <v>28</v>
      </c>
      <c r="H1492" s="4">
        <f t="shared" si="70"/>
        <v>3.5892834252019279E-3</v>
      </c>
      <c r="I1492" s="1">
        <f t="shared" si="71"/>
        <v>4</v>
      </c>
    </row>
    <row r="1493" spans="1:9" hidden="1" x14ac:dyDescent="0.2">
      <c r="A1493" s="6">
        <v>43989.708333333336</v>
      </c>
      <c r="B1493" s="1" t="s">
        <v>11</v>
      </c>
      <c r="C1493">
        <v>467</v>
      </c>
      <c r="D1493">
        <v>49</v>
      </c>
      <c r="E1493">
        <v>760</v>
      </c>
      <c r="F1493">
        <v>7812</v>
      </c>
      <c r="G1493" s="3">
        <f t="shared" si="69"/>
        <v>11</v>
      </c>
      <c r="H1493" s="4">
        <f t="shared" si="70"/>
        <v>1.4080901177675464E-3</v>
      </c>
      <c r="I1493" s="1">
        <f t="shared" si="71"/>
        <v>2</v>
      </c>
    </row>
    <row r="1494" spans="1:9" hidden="1" x14ac:dyDescent="0.2">
      <c r="A1494" s="6">
        <v>43990.708333333336</v>
      </c>
      <c r="B1494" s="1" t="s">
        <v>11</v>
      </c>
      <c r="C1494">
        <v>466</v>
      </c>
      <c r="D1494">
        <v>49</v>
      </c>
      <c r="E1494">
        <v>763</v>
      </c>
      <c r="F1494">
        <v>7828</v>
      </c>
      <c r="G1494" s="3">
        <f t="shared" si="69"/>
        <v>16</v>
      </c>
      <c r="H1494" s="4">
        <f t="shared" si="70"/>
        <v>2.0439448134900173E-3</v>
      </c>
      <c r="I1494" s="1">
        <f t="shared" si="71"/>
        <v>3</v>
      </c>
    </row>
    <row r="1495" spans="1:9" hidden="1" x14ac:dyDescent="0.2">
      <c r="A1495" s="6">
        <v>43991.708333333336</v>
      </c>
      <c r="B1495" s="1" t="s">
        <v>11</v>
      </c>
      <c r="C1495">
        <v>462</v>
      </c>
      <c r="D1495">
        <v>47</v>
      </c>
      <c r="E1495">
        <v>766</v>
      </c>
      <c r="F1495">
        <v>7851</v>
      </c>
      <c r="G1495" s="3">
        <f t="shared" si="69"/>
        <v>23</v>
      </c>
      <c r="H1495" s="4">
        <f t="shared" si="70"/>
        <v>2.9295631129792055E-3</v>
      </c>
      <c r="I1495" s="1">
        <f t="shared" si="71"/>
        <v>3</v>
      </c>
    </row>
    <row r="1496" spans="1:9" hidden="1" x14ac:dyDescent="0.2">
      <c r="A1496" s="6">
        <v>43992.708333333336</v>
      </c>
      <c r="B1496" s="1" t="s">
        <v>11</v>
      </c>
      <c r="C1496">
        <v>368</v>
      </c>
      <c r="D1496">
        <v>47</v>
      </c>
      <c r="E1496">
        <v>770</v>
      </c>
      <c r="F1496">
        <v>7869</v>
      </c>
      <c r="G1496" s="3">
        <f t="shared" si="69"/>
        <v>18</v>
      </c>
      <c r="H1496" s="4">
        <f t="shared" si="70"/>
        <v>2.2874571101791918E-3</v>
      </c>
      <c r="I1496" s="1">
        <f t="shared" si="71"/>
        <v>4</v>
      </c>
    </row>
    <row r="1497" spans="1:9" hidden="1" x14ac:dyDescent="0.2">
      <c r="A1497" s="6">
        <v>43993.708333333336</v>
      </c>
      <c r="B1497" s="1" t="s">
        <v>11</v>
      </c>
      <c r="C1497">
        <v>320</v>
      </c>
      <c r="D1497">
        <v>46</v>
      </c>
      <c r="E1497">
        <v>776</v>
      </c>
      <c r="F1497">
        <v>7889</v>
      </c>
      <c r="G1497" s="3">
        <f t="shared" si="69"/>
        <v>20</v>
      </c>
      <c r="H1497" s="4">
        <f t="shared" si="70"/>
        <v>2.5351755609075433E-3</v>
      </c>
      <c r="I1497" s="1">
        <f t="shared" si="71"/>
        <v>6</v>
      </c>
    </row>
    <row r="1498" spans="1:9" hidden="1" x14ac:dyDescent="0.2">
      <c r="A1498" s="6">
        <v>43994.708333333336</v>
      </c>
      <c r="B1498" s="1" t="s">
        <v>11</v>
      </c>
      <c r="C1498">
        <v>293</v>
      </c>
      <c r="D1498">
        <v>47</v>
      </c>
      <c r="E1498">
        <v>781</v>
      </c>
      <c r="F1498">
        <v>7916</v>
      </c>
      <c r="G1498" s="3">
        <f t="shared" si="69"/>
        <v>27</v>
      </c>
      <c r="H1498" s="4">
        <f t="shared" si="70"/>
        <v>3.4108135421930807E-3</v>
      </c>
      <c r="I1498" s="1">
        <f t="shared" si="71"/>
        <v>5</v>
      </c>
    </row>
    <row r="1499" spans="1:9" hidden="1" x14ac:dyDescent="0.2">
      <c r="A1499" s="6">
        <v>43995.708333333336</v>
      </c>
      <c r="B1499" s="1" t="s">
        <v>11</v>
      </c>
      <c r="C1499">
        <v>303</v>
      </c>
      <c r="D1499">
        <v>45</v>
      </c>
      <c r="E1499">
        <v>806</v>
      </c>
      <c r="F1499">
        <v>7941</v>
      </c>
      <c r="G1499" s="3">
        <f t="shared" si="69"/>
        <v>25</v>
      </c>
      <c r="H1499" s="4">
        <f t="shared" si="70"/>
        <v>3.1482181085505934E-3</v>
      </c>
      <c r="I1499" s="1">
        <f t="shared" si="71"/>
        <v>25</v>
      </c>
    </row>
    <row r="1500" spans="1:9" hidden="1" x14ac:dyDescent="0.2">
      <c r="A1500" s="6">
        <v>43996.708333333336</v>
      </c>
      <c r="B1500" s="1" t="s">
        <v>11</v>
      </c>
      <c r="C1500">
        <v>305</v>
      </c>
      <c r="D1500">
        <v>37</v>
      </c>
      <c r="E1500">
        <v>808</v>
      </c>
      <c r="F1500">
        <v>7955</v>
      </c>
      <c r="G1500" s="3">
        <f t="shared" si="69"/>
        <v>14</v>
      </c>
      <c r="H1500" s="4">
        <f t="shared" si="70"/>
        <v>1.7598994343180907E-3</v>
      </c>
      <c r="I1500" s="1">
        <f t="shared" si="71"/>
        <v>2</v>
      </c>
    </row>
    <row r="1501" spans="1:9" hidden="1" x14ac:dyDescent="0.2">
      <c r="A1501" s="6">
        <v>43997.708333333336</v>
      </c>
      <c r="B1501" s="1" t="s">
        <v>11</v>
      </c>
      <c r="C1501">
        <v>304</v>
      </c>
      <c r="D1501">
        <v>37</v>
      </c>
      <c r="E1501">
        <v>811</v>
      </c>
      <c r="F1501">
        <v>7958</v>
      </c>
      <c r="G1501" s="3">
        <f t="shared" si="69"/>
        <v>3</v>
      </c>
      <c r="H1501" s="4">
        <f t="shared" si="70"/>
        <v>3.7697914048751002E-4</v>
      </c>
      <c r="I1501" s="1">
        <f t="shared" si="71"/>
        <v>3</v>
      </c>
    </row>
    <row r="1502" spans="1:9" hidden="1" x14ac:dyDescent="0.2">
      <c r="A1502" s="6">
        <v>43998.708333333336</v>
      </c>
      <c r="B1502" s="1" t="s">
        <v>11</v>
      </c>
      <c r="C1502">
        <v>308</v>
      </c>
      <c r="D1502">
        <v>38</v>
      </c>
      <c r="E1502">
        <v>814</v>
      </c>
      <c r="F1502">
        <v>7967</v>
      </c>
      <c r="G1502" s="3">
        <f t="shared" si="69"/>
        <v>9</v>
      </c>
      <c r="H1502" s="4">
        <f t="shared" si="70"/>
        <v>1.1296598468683028E-3</v>
      </c>
      <c r="I1502" s="1">
        <f t="shared" si="71"/>
        <v>3</v>
      </c>
    </row>
    <row r="1503" spans="1:9" hidden="1" x14ac:dyDescent="0.2">
      <c r="A1503" s="6">
        <v>43999.708333333336</v>
      </c>
      <c r="B1503" s="1" t="s">
        <v>11</v>
      </c>
      <c r="C1503">
        <v>284</v>
      </c>
      <c r="D1503">
        <v>38</v>
      </c>
      <c r="E1503">
        <v>818</v>
      </c>
      <c r="F1503">
        <v>7977</v>
      </c>
      <c r="G1503" s="3">
        <f t="shared" si="69"/>
        <v>10</v>
      </c>
      <c r="H1503" s="4">
        <f t="shared" si="70"/>
        <v>1.2536041118215158E-3</v>
      </c>
      <c r="I1503" s="1">
        <f t="shared" si="71"/>
        <v>4</v>
      </c>
    </row>
    <row r="1504" spans="1:9" hidden="1" x14ac:dyDescent="0.2">
      <c r="A1504" s="6">
        <v>44000.708333333336</v>
      </c>
      <c r="B1504" s="1" t="s">
        <v>11</v>
      </c>
      <c r="C1504">
        <v>261</v>
      </c>
      <c r="D1504">
        <v>38</v>
      </c>
      <c r="E1504">
        <v>822</v>
      </c>
      <c r="F1504">
        <v>7986</v>
      </c>
      <c r="G1504" s="3">
        <f t="shared" si="69"/>
        <v>9</v>
      </c>
      <c r="H1504" s="4">
        <f t="shared" si="70"/>
        <v>1.1269722013523831E-3</v>
      </c>
      <c r="I1504" s="1">
        <f t="shared" si="71"/>
        <v>4</v>
      </c>
    </row>
    <row r="1505" spans="1:9" hidden="1" x14ac:dyDescent="0.2">
      <c r="A1505" s="6">
        <v>44001.708333333336</v>
      </c>
      <c r="B1505" s="1" t="s">
        <v>11</v>
      </c>
      <c r="C1505">
        <v>247</v>
      </c>
      <c r="D1505">
        <v>38</v>
      </c>
      <c r="E1505">
        <v>826</v>
      </c>
      <c r="F1505">
        <v>7995</v>
      </c>
      <c r="G1505" s="3">
        <f t="shared" si="69"/>
        <v>9</v>
      </c>
      <c r="H1505" s="4">
        <f t="shared" si="70"/>
        <v>1.1257035647279645E-3</v>
      </c>
      <c r="I1505" s="1">
        <f t="shared" si="71"/>
        <v>4</v>
      </c>
    </row>
    <row r="1506" spans="1:9" hidden="1" x14ac:dyDescent="0.2">
      <c r="A1506" s="6">
        <v>44002.708333333336</v>
      </c>
      <c r="B1506" s="1" t="s">
        <v>11</v>
      </c>
      <c r="C1506">
        <v>247</v>
      </c>
      <c r="D1506">
        <v>39</v>
      </c>
      <c r="E1506">
        <v>827</v>
      </c>
      <c r="F1506">
        <v>8009</v>
      </c>
      <c r="G1506" s="3">
        <f t="shared" si="69"/>
        <v>14</v>
      </c>
      <c r="H1506" s="4">
        <f t="shared" si="70"/>
        <v>1.7480334623548588E-3</v>
      </c>
      <c r="I1506" s="1">
        <f t="shared" si="71"/>
        <v>1</v>
      </c>
    </row>
    <row r="1507" spans="1:9" hidden="1" x14ac:dyDescent="0.2">
      <c r="A1507" s="6">
        <v>44003.708333333336</v>
      </c>
      <c r="B1507" s="1" t="s">
        <v>11</v>
      </c>
      <c r="C1507">
        <v>247</v>
      </c>
      <c r="D1507">
        <v>39</v>
      </c>
      <c r="E1507">
        <v>827</v>
      </c>
      <c r="F1507">
        <v>8017</v>
      </c>
      <c r="G1507" s="3">
        <f t="shared" si="69"/>
        <v>8</v>
      </c>
      <c r="H1507" s="4">
        <f t="shared" si="70"/>
        <v>9.9787950604968145E-4</v>
      </c>
      <c r="I1507" s="1">
        <f t="shared" si="71"/>
        <v>0</v>
      </c>
    </row>
    <row r="1508" spans="1:9" hidden="1" x14ac:dyDescent="0.2">
      <c r="A1508" s="6">
        <v>44004.708333333336</v>
      </c>
      <c r="B1508" s="1" t="s">
        <v>11</v>
      </c>
      <c r="C1508">
        <v>201</v>
      </c>
      <c r="D1508">
        <v>23</v>
      </c>
      <c r="E1508">
        <v>830</v>
      </c>
      <c r="F1508">
        <v>8025</v>
      </c>
      <c r="G1508" s="3">
        <f t="shared" si="69"/>
        <v>8</v>
      </c>
      <c r="H1508" s="4">
        <f t="shared" si="70"/>
        <v>9.9688473520254117E-4</v>
      </c>
      <c r="I1508" s="1">
        <f t="shared" si="71"/>
        <v>3</v>
      </c>
    </row>
    <row r="1509" spans="1:9" hidden="1" x14ac:dyDescent="0.2">
      <c r="A1509" s="6">
        <v>44005.708333333336</v>
      </c>
      <c r="B1509" s="1" t="s">
        <v>11</v>
      </c>
      <c r="C1509">
        <v>184</v>
      </c>
      <c r="D1509">
        <v>16</v>
      </c>
      <c r="E1509">
        <v>832</v>
      </c>
      <c r="F1509">
        <v>8033</v>
      </c>
      <c r="G1509" s="3">
        <f t="shared" si="69"/>
        <v>8</v>
      </c>
      <c r="H1509" s="4">
        <f t="shared" si="70"/>
        <v>9.958919457239146E-4</v>
      </c>
      <c r="I1509" s="1">
        <f t="shared" si="71"/>
        <v>2</v>
      </c>
    </row>
    <row r="1510" spans="1:9" hidden="1" x14ac:dyDescent="0.2">
      <c r="A1510" s="6">
        <v>44006.708333333336</v>
      </c>
      <c r="B1510" s="1" t="s">
        <v>11</v>
      </c>
      <c r="C1510">
        <v>181</v>
      </c>
      <c r="D1510">
        <v>13</v>
      </c>
      <c r="E1510">
        <v>833</v>
      </c>
      <c r="F1510">
        <v>8039</v>
      </c>
      <c r="G1510" s="3">
        <f t="shared" si="69"/>
        <v>6</v>
      </c>
      <c r="H1510" s="4">
        <f t="shared" si="70"/>
        <v>7.4636148774720468E-4</v>
      </c>
      <c r="I1510" s="1">
        <f t="shared" si="71"/>
        <v>1</v>
      </c>
    </row>
    <row r="1511" spans="1:9" hidden="1" x14ac:dyDescent="0.2">
      <c r="A1511" s="6">
        <v>44007.708333333336</v>
      </c>
      <c r="B1511" s="1" t="s">
        <v>11</v>
      </c>
      <c r="C1511">
        <v>181</v>
      </c>
      <c r="D1511">
        <v>12</v>
      </c>
      <c r="E1511">
        <v>835</v>
      </c>
      <c r="F1511">
        <v>8051</v>
      </c>
      <c r="G1511" s="3">
        <f t="shared" si="69"/>
        <v>12</v>
      </c>
      <c r="H1511" s="4">
        <f t="shared" si="70"/>
        <v>1.4904980747733054E-3</v>
      </c>
      <c r="I1511" s="1">
        <f t="shared" si="71"/>
        <v>2</v>
      </c>
    </row>
    <row r="1512" spans="1:9" hidden="1" x14ac:dyDescent="0.2">
      <c r="A1512" s="6">
        <v>44008.708333333336</v>
      </c>
      <c r="B1512" s="1" t="s">
        <v>11</v>
      </c>
      <c r="C1512">
        <v>185</v>
      </c>
      <c r="D1512">
        <v>13</v>
      </c>
      <c r="E1512">
        <v>836</v>
      </c>
      <c r="F1512">
        <v>8064</v>
      </c>
      <c r="G1512" s="3">
        <f t="shared" si="69"/>
        <v>13</v>
      </c>
      <c r="H1512" s="4">
        <f t="shared" si="70"/>
        <v>1.6121031746031411E-3</v>
      </c>
      <c r="I1512" s="1">
        <f t="shared" si="71"/>
        <v>1</v>
      </c>
    </row>
    <row r="1513" spans="1:9" hidden="1" x14ac:dyDescent="0.2">
      <c r="A1513" s="6">
        <v>44009.708333333336</v>
      </c>
      <c r="B1513" s="1" t="s">
        <v>11</v>
      </c>
      <c r="C1513">
        <v>185</v>
      </c>
      <c r="D1513">
        <v>13</v>
      </c>
      <c r="E1513">
        <v>837</v>
      </c>
      <c r="F1513">
        <v>8082</v>
      </c>
      <c r="G1513" s="3">
        <f t="shared" si="69"/>
        <v>18</v>
      </c>
      <c r="H1513" s="4">
        <f t="shared" si="70"/>
        <v>2.2271714922048602E-3</v>
      </c>
      <c r="I1513" s="1">
        <f t="shared" si="71"/>
        <v>1</v>
      </c>
    </row>
    <row r="1514" spans="1:9" hidden="1" x14ac:dyDescent="0.2">
      <c r="A1514" s="6">
        <v>44010.708333333336</v>
      </c>
      <c r="B1514" s="1" t="s">
        <v>11</v>
      </c>
      <c r="C1514">
        <v>187</v>
      </c>
      <c r="D1514">
        <v>13</v>
      </c>
      <c r="E1514">
        <v>837</v>
      </c>
      <c r="F1514">
        <v>8096</v>
      </c>
      <c r="G1514" s="3">
        <f t="shared" si="69"/>
        <v>14</v>
      </c>
      <c r="H1514" s="4">
        <f t="shared" si="70"/>
        <v>1.7292490118576698E-3</v>
      </c>
      <c r="I1514" s="1">
        <f t="shared" si="71"/>
        <v>0</v>
      </c>
    </row>
    <row r="1515" spans="1:9" hidden="1" x14ac:dyDescent="0.2">
      <c r="A1515" s="6">
        <v>44011.708333333336</v>
      </c>
      <c r="B1515" s="1" t="s">
        <v>11</v>
      </c>
      <c r="C1515">
        <v>190</v>
      </c>
      <c r="D1515">
        <v>13</v>
      </c>
      <c r="E1515">
        <v>837</v>
      </c>
      <c r="F1515">
        <v>8105</v>
      </c>
      <c r="G1515" s="3">
        <f t="shared" si="69"/>
        <v>9</v>
      </c>
      <c r="H1515" s="4">
        <f t="shared" si="70"/>
        <v>1.1104256631708775E-3</v>
      </c>
      <c r="I1515" s="1">
        <f t="shared" si="71"/>
        <v>0</v>
      </c>
    </row>
    <row r="1516" spans="1:9" hidden="1" x14ac:dyDescent="0.2">
      <c r="A1516" s="6">
        <v>44012.708333333336</v>
      </c>
      <c r="B1516" s="1" t="s">
        <v>11</v>
      </c>
      <c r="C1516">
        <v>189</v>
      </c>
      <c r="D1516">
        <v>13</v>
      </c>
      <c r="E1516">
        <v>837</v>
      </c>
      <c r="F1516">
        <v>8110</v>
      </c>
      <c r="G1516" s="3">
        <f t="shared" si="69"/>
        <v>5</v>
      </c>
      <c r="H1516" s="4">
        <f t="shared" si="70"/>
        <v>6.1652281134405573E-4</v>
      </c>
      <c r="I1516" s="1">
        <f t="shared" si="71"/>
        <v>0</v>
      </c>
    </row>
    <row r="1517" spans="1:9" hidden="1" x14ac:dyDescent="0.2">
      <c r="A1517" s="6">
        <v>44013.708333333336</v>
      </c>
      <c r="B1517" s="1" t="s">
        <v>11</v>
      </c>
      <c r="C1517">
        <v>190</v>
      </c>
      <c r="D1517">
        <v>12</v>
      </c>
      <c r="E1517">
        <v>839</v>
      </c>
      <c r="F1517">
        <v>8119</v>
      </c>
      <c r="G1517" s="3">
        <f t="shared" si="69"/>
        <v>9</v>
      </c>
      <c r="H1517" s="4">
        <f t="shared" si="70"/>
        <v>1.1085109003572402E-3</v>
      </c>
      <c r="I1517" s="1">
        <f t="shared" si="71"/>
        <v>2</v>
      </c>
    </row>
    <row r="1518" spans="1:9" hidden="1" x14ac:dyDescent="0.2">
      <c r="A1518" s="6">
        <v>44014.708333333336</v>
      </c>
      <c r="B1518" s="1" t="s">
        <v>11</v>
      </c>
      <c r="C1518">
        <v>188</v>
      </c>
      <c r="D1518">
        <v>11</v>
      </c>
      <c r="E1518">
        <v>839</v>
      </c>
      <c r="F1518">
        <v>8130</v>
      </c>
      <c r="G1518" s="3">
        <f t="shared" si="69"/>
        <v>11</v>
      </c>
      <c r="H1518" s="4">
        <f t="shared" si="70"/>
        <v>1.353013530135283E-3</v>
      </c>
      <c r="I1518" s="1">
        <f t="shared" si="71"/>
        <v>0</v>
      </c>
    </row>
    <row r="1519" spans="1:9" hidden="1" x14ac:dyDescent="0.2">
      <c r="A1519" s="6">
        <v>44015.708333333336</v>
      </c>
      <c r="B1519" s="1" t="s">
        <v>11</v>
      </c>
      <c r="C1519">
        <v>188</v>
      </c>
      <c r="D1519">
        <v>11</v>
      </c>
      <c r="E1519">
        <v>840</v>
      </c>
      <c r="F1519">
        <v>8141</v>
      </c>
      <c r="G1519" s="3">
        <f t="shared" si="69"/>
        <v>11</v>
      </c>
      <c r="H1519" s="4">
        <f t="shared" si="70"/>
        <v>1.3511853580641109E-3</v>
      </c>
      <c r="I1519" s="1">
        <f t="shared" si="71"/>
        <v>1</v>
      </c>
    </row>
    <row r="1520" spans="1:9" hidden="1" x14ac:dyDescent="0.2">
      <c r="A1520" s="6">
        <v>44016.708333333336</v>
      </c>
      <c r="B1520" s="1" t="s">
        <v>11</v>
      </c>
      <c r="C1520">
        <v>197</v>
      </c>
      <c r="D1520">
        <v>11</v>
      </c>
      <c r="E1520">
        <v>841</v>
      </c>
      <c r="F1520">
        <v>8172</v>
      </c>
      <c r="G1520" s="3">
        <f t="shared" si="69"/>
        <v>31</v>
      </c>
      <c r="H1520" s="4">
        <f t="shared" si="70"/>
        <v>3.7934410181106326E-3</v>
      </c>
      <c r="I1520" s="1">
        <f t="shared" si="71"/>
        <v>1</v>
      </c>
    </row>
    <row r="1521" spans="1:9" hidden="1" x14ac:dyDescent="0.2">
      <c r="A1521" s="6">
        <v>44017.708333333336</v>
      </c>
      <c r="B1521" s="1" t="s">
        <v>11</v>
      </c>
      <c r="C1521">
        <v>199</v>
      </c>
      <c r="D1521">
        <v>11</v>
      </c>
      <c r="E1521">
        <v>841</v>
      </c>
      <c r="F1521">
        <v>8186</v>
      </c>
      <c r="G1521" s="3">
        <f t="shared" si="69"/>
        <v>14</v>
      </c>
      <c r="H1521" s="4">
        <f t="shared" si="70"/>
        <v>1.7102369899828496E-3</v>
      </c>
      <c r="I1521" s="1">
        <f t="shared" si="71"/>
        <v>0</v>
      </c>
    </row>
    <row r="1522" spans="1:9" hidden="1" x14ac:dyDescent="0.2">
      <c r="A1522" s="6">
        <v>44018.708333333336</v>
      </c>
      <c r="B1522" s="1" t="s">
        <v>11</v>
      </c>
      <c r="C1522">
        <v>200</v>
      </c>
      <c r="D1522">
        <v>12</v>
      </c>
      <c r="E1522">
        <v>842</v>
      </c>
      <c r="F1522">
        <v>8205</v>
      </c>
      <c r="G1522" s="3">
        <f t="shared" si="69"/>
        <v>19</v>
      </c>
      <c r="H1522" s="4">
        <f t="shared" si="70"/>
        <v>2.3156611822059414E-3</v>
      </c>
      <c r="I1522" s="1">
        <f t="shared" si="71"/>
        <v>1</v>
      </c>
    </row>
    <row r="1523" spans="1:9" hidden="1" x14ac:dyDescent="0.2">
      <c r="A1523" s="6">
        <v>44019.708333333336</v>
      </c>
      <c r="B1523" s="1" t="s">
        <v>11</v>
      </c>
      <c r="C1523">
        <v>202</v>
      </c>
      <c r="D1523">
        <v>13</v>
      </c>
      <c r="E1523">
        <v>842</v>
      </c>
      <c r="F1523">
        <v>8210</v>
      </c>
      <c r="G1523" s="3">
        <f t="shared" si="69"/>
        <v>5</v>
      </c>
      <c r="H1523" s="4">
        <f t="shared" si="70"/>
        <v>6.0901339829477763E-4</v>
      </c>
      <c r="I1523" s="1">
        <f t="shared" si="71"/>
        <v>0</v>
      </c>
    </row>
    <row r="1524" spans="1:9" hidden="1" x14ac:dyDescent="0.2">
      <c r="A1524" s="6">
        <v>44020.708333333336</v>
      </c>
      <c r="B1524" s="1" t="s">
        <v>11</v>
      </c>
      <c r="C1524">
        <v>198</v>
      </c>
      <c r="D1524">
        <v>13</v>
      </c>
      <c r="E1524">
        <v>842</v>
      </c>
      <c r="F1524">
        <v>8224</v>
      </c>
      <c r="G1524" s="3">
        <f t="shared" si="69"/>
        <v>14</v>
      </c>
      <c r="H1524" s="4">
        <f t="shared" si="70"/>
        <v>1.7023346303501885E-3</v>
      </c>
      <c r="I1524" s="1">
        <f t="shared" si="71"/>
        <v>0</v>
      </c>
    </row>
    <row r="1525" spans="1:9" hidden="1" x14ac:dyDescent="0.2">
      <c r="A1525" s="6">
        <v>44021.708333333336</v>
      </c>
      <c r="B1525" s="1" t="s">
        <v>11</v>
      </c>
      <c r="C1525">
        <v>198</v>
      </c>
      <c r="D1525">
        <v>13</v>
      </c>
      <c r="E1525">
        <v>843</v>
      </c>
      <c r="F1525">
        <v>8252</v>
      </c>
      <c r="G1525" s="3">
        <f t="shared" si="69"/>
        <v>28</v>
      </c>
      <c r="H1525" s="4">
        <f t="shared" si="70"/>
        <v>3.3931168201648543E-3</v>
      </c>
      <c r="I1525" s="1">
        <f t="shared" si="71"/>
        <v>1</v>
      </c>
    </row>
    <row r="1526" spans="1:9" hidden="1" x14ac:dyDescent="0.2">
      <c r="A1526" s="6">
        <v>44022.708333333336</v>
      </c>
      <c r="B1526" s="1" t="s">
        <v>11</v>
      </c>
      <c r="C1526">
        <v>197</v>
      </c>
      <c r="D1526">
        <v>13</v>
      </c>
      <c r="E1526">
        <v>844</v>
      </c>
      <c r="F1526">
        <v>8275</v>
      </c>
      <c r="G1526" s="3">
        <f t="shared" si="69"/>
        <v>23</v>
      </c>
      <c r="H1526" s="4">
        <f t="shared" si="70"/>
        <v>2.7794561933535133E-3</v>
      </c>
      <c r="I1526" s="1">
        <f t="shared" si="71"/>
        <v>1</v>
      </c>
    </row>
    <row r="1527" spans="1:9" hidden="1" x14ac:dyDescent="0.2">
      <c r="A1527" s="6">
        <v>44023.708333333336</v>
      </c>
      <c r="B1527" s="1" t="s">
        <v>11</v>
      </c>
      <c r="C1527">
        <v>198</v>
      </c>
      <c r="D1527">
        <v>13</v>
      </c>
      <c r="E1527">
        <v>844</v>
      </c>
      <c r="F1527">
        <v>8294</v>
      </c>
      <c r="G1527" s="3">
        <f t="shared" si="69"/>
        <v>19</v>
      </c>
      <c r="H1527" s="4">
        <f t="shared" si="70"/>
        <v>2.2908126356402381E-3</v>
      </c>
      <c r="I1527" s="1">
        <f t="shared" si="71"/>
        <v>0</v>
      </c>
    </row>
    <row r="1528" spans="1:9" hidden="1" x14ac:dyDescent="0.2">
      <c r="A1528" s="6">
        <v>44024.708333333336</v>
      </c>
      <c r="B1528" s="1" t="s">
        <v>11</v>
      </c>
      <c r="C1528">
        <v>197</v>
      </c>
      <c r="D1528">
        <v>12</v>
      </c>
      <c r="E1528">
        <v>844</v>
      </c>
      <c r="F1528">
        <v>8314</v>
      </c>
      <c r="G1528" s="3">
        <f t="shared" si="69"/>
        <v>20</v>
      </c>
      <c r="H1528" s="4">
        <f t="shared" si="70"/>
        <v>2.4055809477988577E-3</v>
      </c>
      <c r="I1528" s="1">
        <f t="shared" si="71"/>
        <v>0</v>
      </c>
    </row>
    <row r="1529" spans="1:9" hidden="1" x14ac:dyDescent="0.2">
      <c r="A1529" s="6">
        <v>44025.708333333336</v>
      </c>
      <c r="B1529" s="1" t="s">
        <v>11</v>
      </c>
      <c r="C1529">
        <v>191</v>
      </c>
      <c r="D1529">
        <v>11</v>
      </c>
      <c r="E1529">
        <v>845</v>
      </c>
      <c r="F1529">
        <v>8338</v>
      </c>
      <c r="G1529" s="3">
        <f t="shared" si="69"/>
        <v>24</v>
      </c>
      <c r="H1529" s="4">
        <f t="shared" si="70"/>
        <v>2.8783881026624991E-3</v>
      </c>
      <c r="I1529" s="1">
        <f t="shared" si="71"/>
        <v>1</v>
      </c>
    </row>
    <row r="1530" spans="1:9" hidden="1" x14ac:dyDescent="0.2">
      <c r="A1530" s="6">
        <v>44026.708333333336</v>
      </c>
      <c r="B1530" s="1" t="s">
        <v>11</v>
      </c>
      <c r="C1530">
        <v>188</v>
      </c>
      <c r="D1530">
        <v>10</v>
      </c>
      <c r="E1530">
        <v>846</v>
      </c>
      <c r="F1530">
        <v>8356</v>
      </c>
      <c r="G1530" s="3">
        <f t="shared" si="69"/>
        <v>18</v>
      </c>
      <c r="H1530" s="4">
        <f t="shared" si="70"/>
        <v>2.1541407371947763E-3</v>
      </c>
      <c r="I1530" s="1">
        <f t="shared" si="71"/>
        <v>1</v>
      </c>
    </row>
    <row r="1531" spans="1:9" hidden="1" x14ac:dyDescent="0.2">
      <c r="A1531" s="6">
        <v>44027.708333333336</v>
      </c>
      <c r="B1531" s="1" t="s">
        <v>11</v>
      </c>
      <c r="C1531">
        <v>190</v>
      </c>
      <c r="D1531">
        <v>10</v>
      </c>
      <c r="E1531">
        <v>847</v>
      </c>
      <c r="F1531">
        <v>8376</v>
      </c>
      <c r="G1531" s="3">
        <f t="shared" si="69"/>
        <v>20</v>
      </c>
      <c r="H1531" s="4">
        <f t="shared" si="70"/>
        <v>2.3877745940783512E-3</v>
      </c>
      <c r="I1531" s="1">
        <f t="shared" si="71"/>
        <v>1</v>
      </c>
    </row>
    <row r="1532" spans="1:9" hidden="1" x14ac:dyDescent="0.2">
      <c r="A1532" s="6">
        <v>44028.708333333336</v>
      </c>
      <c r="B1532" s="1" t="s">
        <v>11</v>
      </c>
      <c r="C1532">
        <v>175</v>
      </c>
      <c r="D1532">
        <v>9</v>
      </c>
      <c r="E1532">
        <v>848</v>
      </c>
      <c r="F1532">
        <v>8385</v>
      </c>
      <c r="G1532" s="3">
        <f t="shared" si="69"/>
        <v>9</v>
      </c>
      <c r="H1532" s="4">
        <f t="shared" si="70"/>
        <v>1.0733452593917336E-3</v>
      </c>
      <c r="I1532" s="1">
        <f t="shared" si="71"/>
        <v>1</v>
      </c>
    </row>
    <row r="1533" spans="1:9" hidden="1" x14ac:dyDescent="0.2">
      <c r="A1533" s="6">
        <v>44029.708333333336</v>
      </c>
      <c r="B1533" s="1" t="s">
        <v>11</v>
      </c>
      <c r="C1533">
        <v>175</v>
      </c>
      <c r="D1533">
        <v>9</v>
      </c>
      <c r="E1533">
        <v>849</v>
      </c>
      <c r="F1533">
        <v>8399</v>
      </c>
      <c r="G1533" s="3">
        <f t="shared" si="69"/>
        <v>14</v>
      </c>
      <c r="H1533" s="4">
        <f t="shared" si="70"/>
        <v>1.6668651029884129E-3</v>
      </c>
      <c r="I1533" s="1">
        <f t="shared" si="71"/>
        <v>1</v>
      </c>
    </row>
    <row r="1534" spans="1:9" hidden="1" x14ac:dyDescent="0.2">
      <c r="A1534" s="6">
        <v>44030.708333333336</v>
      </c>
      <c r="B1534" s="1" t="s">
        <v>11</v>
      </c>
      <c r="C1534">
        <v>174</v>
      </c>
      <c r="D1534">
        <v>9</v>
      </c>
      <c r="E1534">
        <v>850</v>
      </c>
      <c r="F1534">
        <v>8419</v>
      </c>
      <c r="G1534" s="3">
        <f t="shared" si="69"/>
        <v>20</v>
      </c>
      <c r="H1534" s="4">
        <f t="shared" si="70"/>
        <v>2.3755790473928284E-3</v>
      </c>
      <c r="I1534" s="1">
        <f t="shared" si="71"/>
        <v>1</v>
      </c>
    </row>
    <row r="1535" spans="1:9" hidden="1" x14ac:dyDescent="0.2">
      <c r="A1535" s="6">
        <v>44031.708333333336</v>
      </c>
      <c r="B1535" s="1" t="s">
        <v>11</v>
      </c>
      <c r="C1535">
        <v>180</v>
      </c>
      <c r="D1535">
        <v>9</v>
      </c>
      <c r="E1535">
        <v>851</v>
      </c>
      <c r="F1535">
        <v>8436</v>
      </c>
      <c r="G1535" s="3">
        <f t="shared" si="69"/>
        <v>17</v>
      </c>
      <c r="H1535" s="4">
        <f t="shared" si="70"/>
        <v>2.015173067804632E-3</v>
      </c>
      <c r="I1535" s="1">
        <f t="shared" si="71"/>
        <v>1</v>
      </c>
    </row>
    <row r="1536" spans="1:9" hidden="1" x14ac:dyDescent="0.2">
      <c r="A1536" s="6">
        <v>44032.708333333336</v>
      </c>
      <c r="B1536" s="1" t="s">
        <v>11</v>
      </c>
      <c r="C1536">
        <v>175</v>
      </c>
      <c r="D1536">
        <v>9</v>
      </c>
      <c r="E1536">
        <v>851</v>
      </c>
      <c r="F1536">
        <v>8450</v>
      </c>
      <c r="G1536" s="3">
        <f t="shared" si="69"/>
        <v>14</v>
      </c>
      <c r="H1536" s="4">
        <f t="shared" si="70"/>
        <v>1.6568047337277569E-3</v>
      </c>
      <c r="I1536" s="1">
        <f t="shared" si="71"/>
        <v>0</v>
      </c>
    </row>
    <row r="1537" spans="1:9" hidden="1" x14ac:dyDescent="0.2">
      <c r="A1537" s="6">
        <v>44033.708333333336</v>
      </c>
      <c r="B1537" s="1" t="s">
        <v>11</v>
      </c>
      <c r="C1537">
        <v>175</v>
      </c>
      <c r="D1537">
        <v>9</v>
      </c>
      <c r="E1537">
        <v>853</v>
      </c>
      <c r="F1537">
        <v>8456</v>
      </c>
      <c r="G1537" s="3">
        <f t="shared" si="69"/>
        <v>6</v>
      </c>
      <c r="H1537" s="4">
        <f t="shared" si="70"/>
        <v>7.0955534531691455E-4</v>
      </c>
      <c r="I1537" s="1">
        <f t="shared" si="71"/>
        <v>2</v>
      </c>
    </row>
    <row r="1538" spans="1:9" hidden="1" x14ac:dyDescent="0.2">
      <c r="A1538" s="6">
        <v>44034.708333333336</v>
      </c>
      <c r="B1538" s="1" t="s">
        <v>11</v>
      </c>
      <c r="C1538">
        <v>174</v>
      </c>
      <c r="D1538">
        <v>9</v>
      </c>
      <c r="E1538">
        <v>855</v>
      </c>
      <c r="F1538">
        <v>8472</v>
      </c>
      <c r="G1538" s="3">
        <f t="shared" si="69"/>
        <v>16</v>
      </c>
      <c r="H1538" s="4">
        <f t="shared" si="70"/>
        <v>1.8885741265344258E-3</v>
      </c>
      <c r="I1538" s="1">
        <f t="shared" si="71"/>
        <v>2</v>
      </c>
    </row>
    <row r="1539" spans="1:9" hidden="1" x14ac:dyDescent="0.2">
      <c r="A1539" s="6">
        <v>44035.708333333336</v>
      </c>
      <c r="B1539" s="1" t="s">
        <v>11</v>
      </c>
      <c r="C1539">
        <v>180</v>
      </c>
      <c r="D1539">
        <v>9</v>
      </c>
      <c r="E1539">
        <v>856</v>
      </c>
      <c r="F1539">
        <v>8498</v>
      </c>
      <c r="G1539" s="3">
        <f t="shared" ref="G1539:G1602" si="72">IF(AND(F1539&gt;0,AND(B1539=B1538,F1539&gt;0)),F1539-F1538,0)</f>
        <v>26</v>
      </c>
      <c r="H1539" s="4">
        <f t="shared" ref="H1539:H1602" si="73">IF(AND(F1538&gt;0,AND(B1539=B1538,F1538&gt;0)),1-(F1538/F1539),0)</f>
        <v>3.0595434219816697E-3</v>
      </c>
      <c r="I1539" s="1">
        <f t="shared" ref="I1539:I1602" si="74">IF(AND(E1539&gt;0,AND(B1539=B1538,E1539&gt;0)),E1539-E1538,0)</f>
        <v>1</v>
      </c>
    </row>
    <row r="1540" spans="1:9" hidden="1" x14ac:dyDescent="0.2">
      <c r="A1540" s="6">
        <v>44036.708333333336</v>
      </c>
      <c r="B1540" s="1" t="s">
        <v>11</v>
      </c>
      <c r="C1540">
        <v>184</v>
      </c>
      <c r="D1540">
        <v>9</v>
      </c>
      <c r="E1540">
        <v>857</v>
      </c>
      <c r="F1540">
        <v>8516</v>
      </c>
      <c r="G1540" s="3">
        <f t="shared" si="72"/>
        <v>18</v>
      </c>
      <c r="H1540" s="4">
        <f t="shared" si="73"/>
        <v>2.1136683889150243E-3</v>
      </c>
      <c r="I1540" s="1">
        <f t="shared" si="74"/>
        <v>1</v>
      </c>
    </row>
    <row r="1541" spans="1:9" hidden="1" x14ac:dyDescent="0.2">
      <c r="A1541" s="6">
        <v>44037.708333333336</v>
      </c>
      <c r="B1541" s="1" t="s">
        <v>11</v>
      </c>
      <c r="C1541">
        <v>186</v>
      </c>
      <c r="D1541">
        <v>9</v>
      </c>
      <c r="E1541">
        <v>858</v>
      </c>
      <c r="F1541">
        <v>8535</v>
      </c>
      <c r="G1541" s="3">
        <f t="shared" si="72"/>
        <v>19</v>
      </c>
      <c r="H1541" s="4">
        <f t="shared" si="73"/>
        <v>2.2261277094317578E-3</v>
      </c>
      <c r="I1541" s="1">
        <f t="shared" si="74"/>
        <v>1</v>
      </c>
    </row>
    <row r="1542" spans="1:9" hidden="1" x14ac:dyDescent="0.2">
      <c r="A1542" s="6">
        <v>44038.708333333336</v>
      </c>
      <c r="B1542" s="1" t="s">
        <v>11</v>
      </c>
      <c r="C1542">
        <v>189</v>
      </c>
      <c r="D1542">
        <v>9</v>
      </c>
      <c r="E1542">
        <v>860</v>
      </c>
      <c r="F1542">
        <v>8554</v>
      </c>
      <c r="G1542" s="3">
        <f t="shared" si="72"/>
        <v>19</v>
      </c>
      <c r="H1542" s="4">
        <f t="shared" si="73"/>
        <v>2.2211830722469461E-3</v>
      </c>
      <c r="I1542" s="1">
        <f t="shared" si="74"/>
        <v>2</v>
      </c>
    </row>
    <row r="1543" spans="1:9" hidden="1" x14ac:dyDescent="0.2">
      <c r="A1543" s="6">
        <v>44039.708333333336</v>
      </c>
      <c r="B1543" s="1" t="s">
        <v>11</v>
      </c>
      <c r="C1543">
        <v>193</v>
      </c>
      <c r="D1543">
        <v>9</v>
      </c>
      <c r="E1543">
        <v>861</v>
      </c>
      <c r="F1543">
        <v>8567</v>
      </c>
      <c r="G1543" s="3">
        <f t="shared" si="72"/>
        <v>13</v>
      </c>
      <c r="H1543" s="4">
        <f t="shared" si="73"/>
        <v>1.5174506828528056E-3</v>
      </c>
      <c r="I1543" s="1">
        <f t="shared" si="74"/>
        <v>1</v>
      </c>
    </row>
    <row r="1544" spans="1:9" hidden="1" x14ac:dyDescent="0.2">
      <c r="A1544" s="6">
        <v>44040.708333333336</v>
      </c>
      <c r="B1544" s="1" t="s">
        <v>11</v>
      </c>
      <c r="C1544">
        <v>194</v>
      </c>
      <c r="D1544">
        <v>9</v>
      </c>
      <c r="E1544">
        <v>862</v>
      </c>
      <c r="F1544">
        <v>8577</v>
      </c>
      <c r="G1544" s="3">
        <f t="shared" si="72"/>
        <v>10</v>
      </c>
      <c r="H1544" s="4">
        <f t="shared" si="73"/>
        <v>1.1659088259298178E-3</v>
      </c>
      <c r="I1544" s="1">
        <f t="shared" si="74"/>
        <v>1</v>
      </c>
    </row>
    <row r="1545" spans="1:9" hidden="1" x14ac:dyDescent="0.2">
      <c r="A1545" s="6">
        <v>44041.708333333336</v>
      </c>
      <c r="B1545" s="1" t="s">
        <v>11</v>
      </c>
      <c r="C1545">
        <v>198</v>
      </c>
      <c r="D1545">
        <v>9</v>
      </c>
      <c r="E1545">
        <v>862</v>
      </c>
      <c r="F1545">
        <v>8611</v>
      </c>
      <c r="G1545" s="3">
        <f t="shared" si="72"/>
        <v>34</v>
      </c>
      <c r="H1545" s="4">
        <f t="shared" si="73"/>
        <v>3.9484380443618461E-3</v>
      </c>
      <c r="I1545" s="1">
        <f t="shared" si="74"/>
        <v>0</v>
      </c>
    </row>
    <row r="1546" spans="1:9" hidden="1" x14ac:dyDescent="0.2">
      <c r="A1546" s="6">
        <v>44042.708333333336</v>
      </c>
      <c r="B1546" s="1" t="s">
        <v>11</v>
      </c>
      <c r="C1546">
        <v>188</v>
      </c>
      <c r="D1546">
        <v>9</v>
      </c>
      <c r="E1546">
        <v>863</v>
      </c>
      <c r="F1546">
        <v>8629</v>
      </c>
      <c r="G1546" s="3">
        <f t="shared" si="72"/>
        <v>18</v>
      </c>
      <c r="H1546" s="4">
        <f t="shared" si="73"/>
        <v>2.0859891065013736E-3</v>
      </c>
      <c r="I1546" s="1">
        <f t="shared" si="74"/>
        <v>1</v>
      </c>
    </row>
    <row r="1547" spans="1:9" hidden="1" x14ac:dyDescent="0.2">
      <c r="A1547" s="6">
        <v>44043.708333333336</v>
      </c>
      <c r="B1547" s="1" t="s">
        <v>11</v>
      </c>
      <c r="C1547">
        <v>183</v>
      </c>
      <c r="D1547">
        <v>9</v>
      </c>
      <c r="E1547">
        <v>863</v>
      </c>
      <c r="F1547">
        <v>8647</v>
      </c>
      <c r="G1547" s="3">
        <f t="shared" si="72"/>
        <v>18</v>
      </c>
      <c r="H1547" s="4">
        <f t="shared" si="73"/>
        <v>2.0816468139238653E-3</v>
      </c>
      <c r="I1547" s="1">
        <f t="shared" si="74"/>
        <v>0</v>
      </c>
    </row>
    <row r="1548" spans="1:9" hidden="1" x14ac:dyDescent="0.2">
      <c r="A1548" s="6">
        <v>44044.708333333336</v>
      </c>
      <c r="B1548" s="1" t="s">
        <v>11</v>
      </c>
      <c r="C1548">
        <v>172</v>
      </c>
      <c r="D1548">
        <v>9</v>
      </c>
      <c r="E1548">
        <v>863</v>
      </c>
      <c r="F1548">
        <v>8665</v>
      </c>
      <c r="G1548" s="3">
        <f t="shared" si="72"/>
        <v>18</v>
      </c>
      <c r="H1548" s="4">
        <f t="shared" si="73"/>
        <v>2.0773225620311919E-3</v>
      </c>
      <c r="I1548" s="1">
        <f t="shared" si="74"/>
        <v>0</v>
      </c>
    </row>
    <row r="1549" spans="1:9" hidden="1" x14ac:dyDescent="0.2">
      <c r="A1549" s="6">
        <v>44045.708333333336</v>
      </c>
      <c r="B1549" s="1" t="s">
        <v>11</v>
      </c>
      <c r="C1549">
        <v>176</v>
      </c>
      <c r="D1549">
        <v>9</v>
      </c>
      <c r="E1549">
        <v>863</v>
      </c>
      <c r="F1549">
        <v>8682</v>
      </c>
      <c r="G1549" s="3">
        <f t="shared" si="72"/>
        <v>17</v>
      </c>
      <c r="H1549" s="4">
        <f t="shared" si="73"/>
        <v>1.958074176456992E-3</v>
      </c>
      <c r="I1549" s="1">
        <f t="shared" si="74"/>
        <v>0</v>
      </c>
    </row>
    <row r="1550" spans="1:9" hidden="1" x14ac:dyDescent="0.2">
      <c r="A1550" s="6">
        <v>44046.708333333336</v>
      </c>
      <c r="B1550" s="1" t="s">
        <v>11</v>
      </c>
      <c r="C1550">
        <v>174</v>
      </c>
      <c r="D1550">
        <v>9</v>
      </c>
      <c r="E1550">
        <v>864</v>
      </c>
      <c r="F1550">
        <v>8697</v>
      </c>
      <c r="G1550" s="3">
        <f t="shared" si="72"/>
        <v>15</v>
      </c>
      <c r="H1550" s="4">
        <f t="shared" si="73"/>
        <v>1.7247326664366902E-3</v>
      </c>
      <c r="I1550" s="1">
        <f t="shared" si="74"/>
        <v>1</v>
      </c>
    </row>
    <row r="1551" spans="1:9" hidden="1" x14ac:dyDescent="0.2">
      <c r="A1551" s="6">
        <v>44047.708333333336</v>
      </c>
      <c r="B1551" s="1" t="s">
        <v>11</v>
      </c>
      <c r="C1551">
        <v>179</v>
      </c>
      <c r="D1551">
        <v>8</v>
      </c>
      <c r="E1551">
        <v>864</v>
      </c>
      <c r="F1551">
        <v>8714</v>
      </c>
      <c r="G1551" s="3">
        <f t="shared" si="72"/>
        <v>17</v>
      </c>
      <c r="H1551" s="4">
        <f t="shared" si="73"/>
        <v>1.9508836355290882E-3</v>
      </c>
      <c r="I1551" s="1">
        <f t="shared" si="74"/>
        <v>0</v>
      </c>
    </row>
    <row r="1552" spans="1:9" hidden="1" x14ac:dyDescent="0.2">
      <c r="A1552" s="6">
        <v>44048.708333333336</v>
      </c>
      <c r="B1552" s="1" t="s">
        <v>11</v>
      </c>
      <c r="C1552">
        <v>188</v>
      </c>
      <c r="D1552">
        <v>7</v>
      </c>
      <c r="E1552">
        <v>865</v>
      </c>
      <c r="F1552">
        <v>8726</v>
      </c>
      <c r="G1552" s="3">
        <f t="shared" si="72"/>
        <v>12</v>
      </c>
      <c r="H1552" s="4">
        <f t="shared" si="73"/>
        <v>1.3752005500802245E-3</v>
      </c>
      <c r="I1552" s="1">
        <f t="shared" si="74"/>
        <v>1</v>
      </c>
    </row>
    <row r="1553" spans="1:9" hidden="1" x14ac:dyDescent="0.2">
      <c r="A1553" s="6">
        <v>44049.708333333336</v>
      </c>
      <c r="B1553" s="1" t="s">
        <v>11</v>
      </c>
      <c r="C1553">
        <v>185</v>
      </c>
      <c r="D1553">
        <v>8</v>
      </c>
      <c r="E1553">
        <v>865</v>
      </c>
      <c r="F1553">
        <v>8744</v>
      </c>
      <c r="G1553" s="3">
        <f t="shared" si="72"/>
        <v>18</v>
      </c>
      <c r="H1553" s="4">
        <f t="shared" si="73"/>
        <v>2.058554437328497E-3</v>
      </c>
      <c r="I1553" s="1">
        <f t="shared" si="74"/>
        <v>0</v>
      </c>
    </row>
    <row r="1554" spans="1:9" hidden="1" x14ac:dyDescent="0.2">
      <c r="A1554" s="6">
        <v>44050.708333333336</v>
      </c>
      <c r="B1554" s="1" t="s">
        <v>11</v>
      </c>
      <c r="C1554">
        <v>184</v>
      </c>
      <c r="D1554">
        <v>8</v>
      </c>
      <c r="E1554">
        <v>865</v>
      </c>
      <c r="F1554">
        <v>8764</v>
      </c>
      <c r="G1554" s="3">
        <f t="shared" si="72"/>
        <v>20</v>
      </c>
      <c r="H1554" s="4">
        <f t="shared" si="73"/>
        <v>2.2820629849383822E-3</v>
      </c>
      <c r="I1554" s="1">
        <f t="shared" si="74"/>
        <v>0</v>
      </c>
    </row>
    <row r="1555" spans="1:9" hidden="1" x14ac:dyDescent="0.2">
      <c r="A1555" s="6">
        <v>44051.708333333336</v>
      </c>
      <c r="B1555" s="1" t="s">
        <v>11</v>
      </c>
      <c r="C1555">
        <v>189</v>
      </c>
      <c r="D1555">
        <v>8</v>
      </c>
      <c r="E1555">
        <v>866</v>
      </c>
      <c r="F1555">
        <v>8784</v>
      </c>
      <c r="G1555" s="3">
        <f t="shared" si="72"/>
        <v>20</v>
      </c>
      <c r="H1555" s="4">
        <f t="shared" si="73"/>
        <v>2.2768670309654127E-3</v>
      </c>
      <c r="I1555" s="1">
        <f t="shared" si="74"/>
        <v>1</v>
      </c>
    </row>
    <row r="1556" spans="1:9" hidden="1" x14ac:dyDescent="0.2">
      <c r="A1556" s="6">
        <v>44052.708333333336</v>
      </c>
      <c r="B1556" s="1" t="s">
        <v>11</v>
      </c>
      <c r="C1556">
        <v>189</v>
      </c>
      <c r="D1556">
        <v>8</v>
      </c>
      <c r="E1556">
        <v>866</v>
      </c>
      <c r="F1556">
        <v>8822</v>
      </c>
      <c r="G1556" s="3">
        <f t="shared" si="72"/>
        <v>38</v>
      </c>
      <c r="H1556" s="4">
        <f t="shared" si="73"/>
        <v>4.3074132849694191E-3</v>
      </c>
      <c r="I1556" s="1">
        <f t="shared" si="74"/>
        <v>0</v>
      </c>
    </row>
    <row r="1557" spans="1:9" hidden="1" x14ac:dyDescent="0.2">
      <c r="A1557" s="6">
        <v>44053.708333333336</v>
      </c>
      <c r="B1557" s="1" t="s">
        <v>11</v>
      </c>
      <c r="C1557">
        <v>195</v>
      </c>
      <c r="D1557">
        <v>8</v>
      </c>
      <c r="E1557">
        <v>867</v>
      </c>
      <c r="F1557">
        <v>8860</v>
      </c>
      <c r="G1557" s="3">
        <f t="shared" si="72"/>
        <v>38</v>
      </c>
      <c r="H1557" s="4">
        <f t="shared" si="73"/>
        <v>4.2889390519187387E-3</v>
      </c>
      <c r="I1557" s="1">
        <f t="shared" si="74"/>
        <v>1</v>
      </c>
    </row>
    <row r="1558" spans="1:9" hidden="1" x14ac:dyDescent="0.2">
      <c r="A1558" s="6">
        <v>44054.708333333336</v>
      </c>
      <c r="B1558" s="1" t="s">
        <v>11</v>
      </c>
      <c r="C1558">
        <v>203</v>
      </c>
      <c r="D1558">
        <v>9</v>
      </c>
      <c r="E1558">
        <v>867</v>
      </c>
      <c r="F1558">
        <v>8883</v>
      </c>
      <c r="G1558" s="3">
        <f t="shared" si="72"/>
        <v>23</v>
      </c>
      <c r="H1558" s="4">
        <f t="shared" si="73"/>
        <v>2.5892153551727581E-3</v>
      </c>
      <c r="I1558" s="1">
        <f t="shared" si="74"/>
        <v>0</v>
      </c>
    </row>
    <row r="1559" spans="1:9" hidden="1" x14ac:dyDescent="0.2">
      <c r="A1559" s="6">
        <v>44055.708333333336</v>
      </c>
      <c r="B1559" s="1" t="s">
        <v>11</v>
      </c>
      <c r="C1559">
        <v>190</v>
      </c>
      <c r="D1559">
        <v>9</v>
      </c>
      <c r="E1559">
        <v>868</v>
      </c>
      <c r="F1559">
        <v>8920</v>
      </c>
      <c r="G1559" s="3">
        <f t="shared" si="72"/>
        <v>37</v>
      </c>
      <c r="H1559" s="4">
        <f t="shared" si="73"/>
        <v>4.14798206278022E-3</v>
      </c>
      <c r="I1559" s="1">
        <f t="shared" si="74"/>
        <v>1</v>
      </c>
    </row>
    <row r="1560" spans="1:9" hidden="1" x14ac:dyDescent="0.2">
      <c r="A1560" s="6">
        <v>44056.708333333336</v>
      </c>
      <c r="B1560" s="1" t="s">
        <v>11</v>
      </c>
      <c r="C1560">
        <v>195</v>
      </c>
      <c r="D1560">
        <v>9</v>
      </c>
      <c r="E1560">
        <v>869</v>
      </c>
      <c r="F1560">
        <v>8956</v>
      </c>
      <c r="G1560" s="3">
        <f t="shared" si="72"/>
        <v>36</v>
      </c>
      <c r="H1560" s="4">
        <f t="shared" si="73"/>
        <v>4.0196516301920227E-3</v>
      </c>
      <c r="I1560" s="1">
        <f t="shared" si="74"/>
        <v>1</v>
      </c>
    </row>
    <row r="1561" spans="1:9" hidden="1" x14ac:dyDescent="0.2">
      <c r="A1561" s="6">
        <v>44057.708333333336</v>
      </c>
      <c r="B1561" s="1" t="s">
        <v>11</v>
      </c>
      <c r="C1561">
        <v>192</v>
      </c>
      <c r="D1561">
        <v>9</v>
      </c>
      <c r="E1561">
        <v>870</v>
      </c>
      <c r="F1561">
        <v>9001</v>
      </c>
      <c r="G1561" s="3">
        <f t="shared" si="72"/>
        <v>45</v>
      </c>
      <c r="H1561" s="4">
        <f t="shared" si="73"/>
        <v>4.999444506165962E-3</v>
      </c>
      <c r="I1561" s="1">
        <f t="shared" si="74"/>
        <v>1</v>
      </c>
    </row>
    <row r="1562" spans="1:9" hidden="1" x14ac:dyDescent="0.2">
      <c r="A1562" s="6">
        <v>44058.708333333336</v>
      </c>
      <c r="B1562" s="1" t="s">
        <v>11</v>
      </c>
      <c r="C1562">
        <v>193</v>
      </c>
      <c r="D1562">
        <v>9</v>
      </c>
      <c r="E1562">
        <v>870</v>
      </c>
      <c r="F1562">
        <v>9059</v>
      </c>
      <c r="G1562" s="3">
        <f t="shared" si="72"/>
        <v>58</v>
      </c>
      <c r="H1562" s="4">
        <f t="shared" si="73"/>
        <v>6.4024726791036546E-3</v>
      </c>
      <c r="I1562" s="1">
        <f t="shared" si="74"/>
        <v>0</v>
      </c>
    </row>
    <row r="1563" spans="1:9" hidden="1" x14ac:dyDescent="0.2">
      <c r="A1563" s="6">
        <v>44059.708333333336</v>
      </c>
      <c r="B1563" s="1" t="s">
        <v>11</v>
      </c>
      <c r="C1563">
        <v>204</v>
      </c>
      <c r="D1563">
        <v>9</v>
      </c>
      <c r="E1563">
        <v>870</v>
      </c>
      <c r="F1563">
        <v>9127</v>
      </c>
      <c r="G1563" s="3">
        <f t="shared" si="72"/>
        <v>68</v>
      </c>
      <c r="H1563" s="4">
        <f t="shared" si="73"/>
        <v>7.4504218253533816E-3</v>
      </c>
      <c r="I1563" s="1">
        <f t="shared" si="74"/>
        <v>0</v>
      </c>
    </row>
    <row r="1564" spans="1:9" hidden="1" x14ac:dyDescent="0.2">
      <c r="A1564" s="6">
        <v>44060.708333333336</v>
      </c>
      <c r="B1564" s="1" t="s">
        <v>11</v>
      </c>
      <c r="C1564">
        <v>212</v>
      </c>
      <c r="D1564">
        <v>9</v>
      </c>
      <c r="E1564">
        <v>870</v>
      </c>
      <c r="F1564">
        <v>9178</v>
      </c>
      <c r="G1564" s="3">
        <f t="shared" si="72"/>
        <v>51</v>
      </c>
      <c r="H1564" s="4">
        <f t="shared" si="73"/>
        <v>5.5567661799956758E-3</v>
      </c>
      <c r="I1564" s="1">
        <f t="shared" si="74"/>
        <v>0</v>
      </c>
    </row>
    <row r="1565" spans="1:9" hidden="1" x14ac:dyDescent="0.2">
      <c r="A1565" s="6">
        <v>44061.708333333336</v>
      </c>
      <c r="B1565" s="1" t="s">
        <v>11</v>
      </c>
      <c r="C1565">
        <v>218</v>
      </c>
      <c r="D1565">
        <v>6</v>
      </c>
      <c r="E1565">
        <v>871</v>
      </c>
      <c r="F1565">
        <v>9221</v>
      </c>
      <c r="G1565" s="3">
        <f t="shared" si="72"/>
        <v>43</v>
      </c>
      <c r="H1565" s="4">
        <f t="shared" si="73"/>
        <v>4.6632686259624467E-3</v>
      </c>
      <c r="I1565" s="1">
        <f t="shared" si="74"/>
        <v>1</v>
      </c>
    </row>
    <row r="1566" spans="1:9" hidden="1" x14ac:dyDescent="0.2">
      <c r="A1566" s="6">
        <v>44062.708333333336</v>
      </c>
      <c r="B1566" s="1" t="s">
        <v>11</v>
      </c>
      <c r="C1566">
        <v>229</v>
      </c>
      <c r="D1566">
        <v>6</v>
      </c>
      <c r="E1566">
        <v>871</v>
      </c>
      <c r="F1566">
        <v>9296</v>
      </c>
      <c r="G1566" s="3">
        <f t="shared" si="72"/>
        <v>75</v>
      </c>
      <c r="H1566" s="4">
        <f t="shared" si="73"/>
        <v>8.0679862306368699E-3</v>
      </c>
      <c r="I1566" s="1">
        <f t="shared" si="74"/>
        <v>0</v>
      </c>
    </row>
    <row r="1567" spans="1:9" hidden="1" x14ac:dyDescent="0.2">
      <c r="A1567" s="6">
        <v>44063.708333333336</v>
      </c>
      <c r="B1567" s="1" t="s">
        <v>11</v>
      </c>
      <c r="C1567">
        <v>238</v>
      </c>
      <c r="D1567">
        <v>6</v>
      </c>
      <c r="E1567">
        <v>872</v>
      </c>
      <c r="F1567">
        <v>9411</v>
      </c>
      <c r="G1567" s="3">
        <f t="shared" si="72"/>
        <v>115</v>
      </c>
      <c r="H1567" s="4">
        <f t="shared" si="73"/>
        <v>1.2219742854106874E-2</v>
      </c>
      <c r="I1567" s="1">
        <f t="shared" si="74"/>
        <v>1</v>
      </c>
    </row>
    <row r="1568" spans="1:9" hidden="1" x14ac:dyDescent="0.2">
      <c r="A1568" s="6">
        <v>44064.708333333336</v>
      </c>
      <c r="B1568" s="1" t="s">
        <v>11</v>
      </c>
      <c r="C1568">
        <v>248</v>
      </c>
      <c r="D1568">
        <v>6</v>
      </c>
      <c r="E1568">
        <v>873</v>
      </c>
      <c r="F1568">
        <v>9548</v>
      </c>
      <c r="G1568" s="3">
        <f t="shared" si="72"/>
        <v>137</v>
      </c>
      <c r="H1568" s="4">
        <f t="shared" si="73"/>
        <v>1.4348554671135272E-2</v>
      </c>
      <c r="I1568" s="1">
        <f t="shared" si="74"/>
        <v>1</v>
      </c>
    </row>
    <row r="1569" spans="1:9" hidden="1" x14ac:dyDescent="0.2">
      <c r="A1569" s="6">
        <v>44065.708333333336</v>
      </c>
      <c r="B1569" s="1" t="s">
        <v>11</v>
      </c>
      <c r="C1569">
        <v>265</v>
      </c>
      <c r="D1569">
        <v>6</v>
      </c>
      <c r="E1569">
        <v>873</v>
      </c>
      <c r="F1569">
        <v>9763</v>
      </c>
      <c r="G1569" s="3">
        <f t="shared" si="72"/>
        <v>215</v>
      </c>
      <c r="H1569" s="4">
        <f t="shared" si="73"/>
        <v>2.2021919491959419E-2</v>
      </c>
      <c r="I1569" s="1">
        <f t="shared" si="74"/>
        <v>0</v>
      </c>
    </row>
    <row r="1570" spans="1:9" hidden="1" x14ac:dyDescent="0.2">
      <c r="A1570" s="6">
        <v>44066.708333333336</v>
      </c>
      <c r="B1570" s="1" t="s">
        <v>11</v>
      </c>
      <c r="C1570">
        <v>286</v>
      </c>
      <c r="D1570">
        <v>6</v>
      </c>
      <c r="E1570">
        <v>874</v>
      </c>
      <c r="F1570">
        <v>9947</v>
      </c>
      <c r="G1570" s="3">
        <f t="shared" si="72"/>
        <v>184</v>
      </c>
      <c r="H1570" s="4">
        <f t="shared" si="73"/>
        <v>1.8498039609932682E-2</v>
      </c>
      <c r="I1570" s="1">
        <f t="shared" si="74"/>
        <v>1</v>
      </c>
    </row>
    <row r="1571" spans="1:9" hidden="1" x14ac:dyDescent="0.2">
      <c r="A1571" s="6">
        <v>44067.708333333336</v>
      </c>
      <c r="B1571" s="1" t="s">
        <v>11</v>
      </c>
      <c r="C1571">
        <v>299</v>
      </c>
      <c r="D1571">
        <v>6</v>
      </c>
      <c r="E1571">
        <v>875</v>
      </c>
      <c r="F1571">
        <v>10093</v>
      </c>
      <c r="G1571" s="3">
        <f t="shared" si="72"/>
        <v>146</v>
      </c>
      <c r="H1571" s="4">
        <f t="shared" si="73"/>
        <v>1.4465471118597084E-2</v>
      </c>
      <c r="I1571" s="1">
        <f t="shared" si="74"/>
        <v>1</v>
      </c>
    </row>
    <row r="1572" spans="1:9" hidden="1" x14ac:dyDescent="0.2">
      <c r="A1572" s="6">
        <v>44068.708333333336</v>
      </c>
      <c r="B1572" s="1" t="s">
        <v>11</v>
      </c>
      <c r="C1572">
        <v>281</v>
      </c>
      <c r="D1572">
        <v>6</v>
      </c>
      <c r="E1572">
        <v>875</v>
      </c>
      <c r="F1572">
        <v>10236</v>
      </c>
      <c r="G1572" s="3">
        <f t="shared" si="72"/>
        <v>143</v>
      </c>
      <c r="H1572" s="4">
        <f t="shared" si="73"/>
        <v>1.397030089878859E-2</v>
      </c>
      <c r="I1572" s="1">
        <f t="shared" si="74"/>
        <v>0</v>
      </c>
    </row>
    <row r="1573" spans="1:9" hidden="1" x14ac:dyDescent="0.2">
      <c r="A1573" s="6">
        <v>44069.708333333336</v>
      </c>
      <c r="B1573" s="1" t="s">
        <v>11</v>
      </c>
      <c r="C1573">
        <v>263</v>
      </c>
      <c r="D1573">
        <v>6</v>
      </c>
      <c r="E1573">
        <v>876</v>
      </c>
      <c r="F1573">
        <v>10398</v>
      </c>
      <c r="G1573" s="3">
        <f t="shared" si="72"/>
        <v>162</v>
      </c>
      <c r="H1573" s="4">
        <f t="shared" si="73"/>
        <v>1.5579919215233717E-2</v>
      </c>
      <c r="I1573" s="1">
        <f t="shared" si="74"/>
        <v>1</v>
      </c>
    </row>
    <row r="1574" spans="1:9" hidden="1" x14ac:dyDescent="0.2">
      <c r="A1574" s="6">
        <v>44070.708333333336</v>
      </c>
      <c r="B1574" s="1" t="s">
        <v>11</v>
      </c>
      <c r="C1574">
        <v>268</v>
      </c>
      <c r="D1574">
        <v>6</v>
      </c>
      <c r="E1574">
        <v>877</v>
      </c>
      <c r="F1574">
        <v>10550</v>
      </c>
      <c r="G1574" s="3">
        <f t="shared" si="72"/>
        <v>152</v>
      </c>
      <c r="H1574" s="4">
        <f t="shared" si="73"/>
        <v>1.4407582938388619E-2</v>
      </c>
      <c r="I1574" s="1">
        <f t="shared" si="74"/>
        <v>1</v>
      </c>
    </row>
    <row r="1575" spans="1:9" hidden="1" x14ac:dyDescent="0.2">
      <c r="A1575" s="6">
        <v>44071.708333333336</v>
      </c>
      <c r="B1575" s="1" t="s">
        <v>11</v>
      </c>
      <c r="C1575">
        <v>283</v>
      </c>
      <c r="D1575">
        <v>6</v>
      </c>
      <c r="E1575">
        <v>878</v>
      </c>
      <c r="F1575">
        <v>10716</v>
      </c>
      <c r="G1575" s="3">
        <f t="shared" si="72"/>
        <v>166</v>
      </c>
      <c r="H1575" s="4">
        <f t="shared" si="73"/>
        <v>1.5490854796565867E-2</v>
      </c>
      <c r="I1575" s="1">
        <f t="shared" si="74"/>
        <v>1</v>
      </c>
    </row>
    <row r="1576" spans="1:9" hidden="1" x14ac:dyDescent="0.2">
      <c r="A1576" s="6">
        <v>44072.708333333336</v>
      </c>
      <c r="B1576" s="1" t="s">
        <v>11</v>
      </c>
      <c r="C1576">
        <v>293</v>
      </c>
      <c r="D1576">
        <v>8</v>
      </c>
      <c r="E1576">
        <v>878</v>
      </c>
      <c r="F1576">
        <v>10887</v>
      </c>
      <c r="G1576" s="3">
        <f t="shared" si="72"/>
        <v>171</v>
      </c>
      <c r="H1576" s="4">
        <f t="shared" si="73"/>
        <v>1.5706806282722474E-2</v>
      </c>
      <c r="I1576" s="1">
        <f t="shared" si="74"/>
        <v>0</v>
      </c>
    </row>
    <row r="1577" spans="1:9" hidden="1" x14ac:dyDescent="0.2">
      <c r="A1577" s="6">
        <v>44073.708333333336</v>
      </c>
      <c r="B1577" s="1" t="s">
        <v>11</v>
      </c>
      <c r="C1577">
        <v>310</v>
      </c>
      <c r="D1577">
        <v>7</v>
      </c>
      <c r="E1577">
        <v>878</v>
      </c>
      <c r="F1577">
        <v>11043</v>
      </c>
      <c r="G1577" s="3">
        <f t="shared" si="72"/>
        <v>156</v>
      </c>
      <c r="H1577" s="4">
        <f t="shared" si="73"/>
        <v>1.4126596033686489E-2</v>
      </c>
      <c r="I1577" s="1">
        <f t="shared" si="74"/>
        <v>0</v>
      </c>
    </row>
    <row r="1578" spans="1:9" hidden="1" x14ac:dyDescent="0.2">
      <c r="A1578" s="6">
        <v>44074.708333333336</v>
      </c>
      <c r="B1578" s="1" t="s">
        <v>11</v>
      </c>
      <c r="C1578">
        <v>328</v>
      </c>
      <c r="D1578">
        <v>7</v>
      </c>
      <c r="E1578">
        <v>878</v>
      </c>
      <c r="F1578">
        <v>11191</v>
      </c>
      <c r="G1578" s="3">
        <f t="shared" si="72"/>
        <v>148</v>
      </c>
      <c r="H1578" s="4">
        <f t="shared" si="73"/>
        <v>1.3224912876418582E-2</v>
      </c>
      <c r="I1578" s="1">
        <f t="shared" si="74"/>
        <v>0</v>
      </c>
    </row>
    <row r="1579" spans="1:9" hidden="1" x14ac:dyDescent="0.2">
      <c r="A1579" s="6">
        <v>44075.708333333336</v>
      </c>
      <c r="B1579" s="1" t="s">
        <v>11</v>
      </c>
      <c r="C1579">
        <v>336</v>
      </c>
      <c r="D1579">
        <v>8</v>
      </c>
      <c r="E1579">
        <v>878</v>
      </c>
      <c r="F1579">
        <v>11316</v>
      </c>
      <c r="G1579" s="3">
        <f t="shared" si="72"/>
        <v>125</v>
      </c>
      <c r="H1579" s="4">
        <f t="shared" si="73"/>
        <v>1.1046306115235049E-2</v>
      </c>
      <c r="I1579" s="1">
        <f t="shared" si="74"/>
        <v>0</v>
      </c>
    </row>
    <row r="1580" spans="1:9" hidden="1" x14ac:dyDescent="0.2">
      <c r="A1580" s="6">
        <v>44076.708333333336</v>
      </c>
      <c r="B1580" s="1" t="s">
        <v>11</v>
      </c>
      <c r="C1580">
        <v>343</v>
      </c>
      <c r="D1580">
        <v>9</v>
      </c>
      <c r="E1580">
        <v>878</v>
      </c>
      <c r="F1580">
        <v>11446</v>
      </c>
      <c r="G1580" s="3">
        <f t="shared" si="72"/>
        <v>130</v>
      </c>
      <c r="H1580" s="4">
        <f t="shared" si="73"/>
        <v>1.135767953870348E-2</v>
      </c>
      <c r="I1580" s="1">
        <f t="shared" si="74"/>
        <v>0</v>
      </c>
    </row>
    <row r="1581" spans="1:9" hidden="1" x14ac:dyDescent="0.2">
      <c r="A1581" s="6">
        <v>44077.708333333336</v>
      </c>
      <c r="B1581" s="1" t="s">
        <v>11</v>
      </c>
      <c r="C1581">
        <v>351</v>
      </c>
      <c r="D1581">
        <v>9</v>
      </c>
      <c r="E1581">
        <v>879</v>
      </c>
      <c r="F1581">
        <v>11600</v>
      </c>
      <c r="G1581" s="3">
        <f t="shared" si="72"/>
        <v>154</v>
      </c>
      <c r="H1581" s="4">
        <f t="shared" si="73"/>
        <v>1.3275862068965472E-2</v>
      </c>
      <c r="I1581" s="1">
        <f t="shared" si="74"/>
        <v>1</v>
      </c>
    </row>
    <row r="1582" spans="1:9" hidden="1" x14ac:dyDescent="0.2">
      <c r="A1582" s="6">
        <v>44078.708333333336</v>
      </c>
      <c r="B1582" s="1" t="s">
        <v>11</v>
      </c>
      <c r="C1582">
        <v>363</v>
      </c>
      <c r="D1582">
        <v>9</v>
      </c>
      <c r="E1582">
        <v>879</v>
      </c>
      <c r="F1582">
        <v>11771</v>
      </c>
      <c r="G1582" s="3">
        <f t="shared" si="72"/>
        <v>171</v>
      </c>
      <c r="H1582" s="4">
        <f t="shared" si="73"/>
        <v>1.4527227933055831E-2</v>
      </c>
      <c r="I1582" s="1">
        <f t="shared" si="74"/>
        <v>0</v>
      </c>
    </row>
    <row r="1583" spans="1:9" hidden="1" x14ac:dyDescent="0.2">
      <c r="A1583" s="6">
        <v>44079.708333333336</v>
      </c>
      <c r="B1583" s="1" t="s">
        <v>11</v>
      </c>
      <c r="C1583">
        <v>344</v>
      </c>
      <c r="D1583">
        <v>11</v>
      </c>
      <c r="E1583">
        <v>880</v>
      </c>
      <c r="F1583">
        <v>11929</v>
      </c>
      <c r="G1583" s="3">
        <f t="shared" si="72"/>
        <v>158</v>
      </c>
      <c r="H1583" s="4">
        <f t="shared" si="73"/>
        <v>1.3245033112582738E-2</v>
      </c>
      <c r="I1583" s="1">
        <f t="shared" si="74"/>
        <v>1</v>
      </c>
    </row>
    <row r="1584" spans="1:9" hidden="1" x14ac:dyDescent="0.2">
      <c r="A1584" s="6">
        <v>44080.708333333336</v>
      </c>
      <c r="B1584" s="1" t="s">
        <v>11</v>
      </c>
      <c r="C1584">
        <v>355</v>
      </c>
      <c r="D1584">
        <v>10</v>
      </c>
      <c r="E1584">
        <v>881</v>
      </c>
      <c r="F1584">
        <v>12051</v>
      </c>
      <c r="G1584" s="3">
        <f t="shared" si="72"/>
        <v>122</v>
      </c>
      <c r="H1584" s="4">
        <f t="shared" si="73"/>
        <v>1.0123641191602362E-2</v>
      </c>
      <c r="I1584" s="1">
        <f t="shared" si="74"/>
        <v>1</v>
      </c>
    </row>
    <row r="1585" spans="1:9" hidden="1" x14ac:dyDescent="0.2">
      <c r="A1585" s="6">
        <v>44081.708333333336</v>
      </c>
      <c r="B1585" s="1" t="s">
        <v>11</v>
      </c>
      <c r="C1585">
        <v>359</v>
      </c>
      <c r="D1585">
        <v>9</v>
      </c>
      <c r="E1585">
        <v>881</v>
      </c>
      <c r="F1585">
        <v>12210</v>
      </c>
      <c r="G1585" s="3">
        <f t="shared" si="72"/>
        <v>159</v>
      </c>
      <c r="H1585" s="4">
        <f t="shared" si="73"/>
        <v>1.302211302211298E-2</v>
      </c>
      <c r="I1585" s="1">
        <f t="shared" si="74"/>
        <v>0</v>
      </c>
    </row>
    <row r="1586" spans="1:9" hidden="1" x14ac:dyDescent="0.2">
      <c r="A1586" s="6">
        <v>44082.708333333336</v>
      </c>
      <c r="B1586" s="1" t="s">
        <v>11</v>
      </c>
      <c r="C1586">
        <v>354</v>
      </c>
      <c r="D1586">
        <v>9</v>
      </c>
      <c r="E1586">
        <v>881</v>
      </c>
      <c r="F1586">
        <v>12339</v>
      </c>
      <c r="G1586" s="3">
        <f t="shared" si="72"/>
        <v>129</v>
      </c>
      <c r="H1586" s="4">
        <f t="shared" si="73"/>
        <v>1.0454655968879178E-2</v>
      </c>
      <c r="I1586" s="1">
        <f t="shared" si="74"/>
        <v>0</v>
      </c>
    </row>
    <row r="1587" spans="1:9" hidden="1" x14ac:dyDescent="0.2">
      <c r="A1587" s="6">
        <v>44083.708333333336</v>
      </c>
      <c r="B1587" s="1" t="s">
        <v>11</v>
      </c>
      <c r="C1587">
        <v>358</v>
      </c>
      <c r="D1587">
        <v>9</v>
      </c>
      <c r="E1587">
        <v>881</v>
      </c>
      <c r="F1587">
        <v>12514</v>
      </c>
      <c r="G1587" s="3">
        <f t="shared" si="72"/>
        <v>175</v>
      </c>
      <c r="H1587" s="4">
        <f t="shared" si="73"/>
        <v>1.3984337541953051E-2</v>
      </c>
      <c r="I1587" s="1">
        <f t="shared" si="74"/>
        <v>0</v>
      </c>
    </row>
    <row r="1588" spans="1:9" hidden="1" x14ac:dyDescent="0.2">
      <c r="A1588" s="6">
        <v>44084.708333333336</v>
      </c>
      <c r="B1588" s="1" t="s">
        <v>11</v>
      </c>
      <c r="C1588">
        <v>372</v>
      </c>
      <c r="D1588">
        <v>9</v>
      </c>
      <c r="E1588">
        <v>882</v>
      </c>
      <c r="F1588">
        <v>12677</v>
      </c>
      <c r="G1588" s="3">
        <f t="shared" si="72"/>
        <v>163</v>
      </c>
      <c r="H1588" s="4">
        <f t="shared" si="73"/>
        <v>1.2857931687307755E-2</v>
      </c>
      <c r="I1588" s="1">
        <f t="shared" si="74"/>
        <v>1</v>
      </c>
    </row>
    <row r="1589" spans="1:9" hidden="1" x14ac:dyDescent="0.2">
      <c r="A1589" s="6">
        <v>44085.708333333336</v>
      </c>
      <c r="B1589" s="1" t="s">
        <v>11</v>
      </c>
      <c r="C1589">
        <v>365</v>
      </c>
      <c r="D1589">
        <v>14</v>
      </c>
      <c r="E1589">
        <v>883</v>
      </c>
      <c r="F1589">
        <v>12825</v>
      </c>
      <c r="G1589" s="3">
        <f t="shared" si="72"/>
        <v>148</v>
      </c>
      <c r="H1589" s="4">
        <f t="shared" si="73"/>
        <v>1.1539961013645184E-2</v>
      </c>
      <c r="I1589" s="1">
        <f t="shared" si="74"/>
        <v>1</v>
      </c>
    </row>
    <row r="1590" spans="1:9" hidden="1" x14ac:dyDescent="0.2">
      <c r="A1590" s="6">
        <v>44086.708333333336</v>
      </c>
      <c r="B1590" s="1" t="s">
        <v>11</v>
      </c>
      <c r="C1590">
        <v>401</v>
      </c>
      <c r="D1590">
        <v>16</v>
      </c>
      <c r="E1590">
        <v>884</v>
      </c>
      <c r="F1590">
        <v>12980</v>
      </c>
      <c r="G1590" s="3">
        <f t="shared" si="72"/>
        <v>155</v>
      </c>
      <c r="H1590" s="4">
        <f t="shared" si="73"/>
        <v>1.1941448382126296E-2</v>
      </c>
      <c r="I1590" s="1">
        <f t="shared" si="74"/>
        <v>1</v>
      </c>
    </row>
    <row r="1591" spans="1:9" hidden="1" x14ac:dyDescent="0.2">
      <c r="A1591" s="6">
        <v>44087.708333333336</v>
      </c>
      <c r="B1591" s="1" t="s">
        <v>11</v>
      </c>
      <c r="C1591">
        <v>424</v>
      </c>
      <c r="D1591">
        <v>17</v>
      </c>
      <c r="E1591">
        <v>885</v>
      </c>
      <c r="F1591">
        <v>13123</v>
      </c>
      <c r="G1591" s="3">
        <f t="shared" si="72"/>
        <v>143</v>
      </c>
      <c r="H1591" s="4">
        <f t="shared" si="73"/>
        <v>1.0896898575020963E-2</v>
      </c>
      <c r="I1591" s="1">
        <f t="shared" si="74"/>
        <v>1</v>
      </c>
    </row>
    <row r="1592" spans="1:9" hidden="1" x14ac:dyDescent="0.2">
      <c r="A1592" s="6">
        <v>44088.708333333336</v>
      </c>
      <c r="B1592" s="1" t="s">
        <v>11</v>
      </c>
      <c r="C1592">
        <v>410</v>
      </c>
      <c r="D1592">
        <v>17</v>
      </c>
      <c r="E1592">
        <v>885</v>
      </c>
      <c r="F1592">
        <v>13304</v>
      </c>
      <c r="G1592" s="3">
        <f t="shared" si="72"/>
        <v>181</v>
      </c>
      <c r="H1592" s="4">
        <f t="shared" si="73"/>
        <v>1.3604930847865293E-2</v>
      </c>
      <c r="I1592" s="1">
        <f t="shared" si="74"/>
        <v>0</v>
      </c>
    </row>
    <row r="1593" spans="1:9" hidden="1" x14ac:dyDescent="0.2">
      <c r="A1593" s="6">
        <v>44089.708333333336</v>
      </c>
      <c r="B1593" s="1" t="s">
        <v>11</v>
      </c>
      <c r="C1593">
        <v>453</v>
      </c>
      <c r="D1593">
        <v>18</v>
      </c>
      <c r="E1593">
        <v>887</v>
      </c>
      <c r="F1593">
        <v>13443</v>
      </c>
      <c r="G1593" s="3">
        <f t="shared" si="72"/>
        <v>139</v>
      </c>
      <c r="H1593" s="4">
        <f t="shared" si="73"/>
        <v>1.033995387934239E-2</v>
      </c>
      <c r="I1593" s="1">
        <f t="shared" si="74"/>
        <v>2</v>
      </c>
    </row>
    <row r="1594" spans="1:9" hidden="1" x14ac:dyDescent="0.2">
      <c r="A1594" s="6">
        <v>44090.708333333336</v>
      </c>
      <c r="B1594" s="1" t="s">
        <v>11</v>
      </c>
      <c r="C1594">
        <v>467</v>
      </c>
      <c r="D1594">
        <v>18</v>
      </c>
      <c r="E1594">
        <v>887</v>
      </c>
      <c r="F1594">
        <v>13608</v>
      </c>
      <c r="G1594" s="3">
        <f t="shared" si="72"/>
        <v>165</v>
      </c>
      <c r="H1594" s="4">
        <f t="shared" si="73"/>
        <v>1.2125220458553798E-2</v>
      </c>
      <c r="I1594" s="1">
        <f t="shared" si="74"/>
        <v>0</v>
      </c>
    </row>
    <row r="1595" spans="1:9" hidden="1" x14ac:dyDescent="0.2">
      <c r="A1595" s="6">
        <v>44091.708333333336</v>
      </c>
      <c r="B1595" s="1" t="s">
        <v>11</v>
      </c>
      <c r="C1595">
        <v>492</v>
      </c>
      <c r="D1595">
        <v>16</v>
      </c>
      <c r="E1595">
        <v>889</v>
      </c>
      <c r="F1595">
        <v>13789</v>
      </c>
      <c r="G1595" s="3">
        <f t="shared" si="72"/>
        <v>181</v>
      </c>
      <c r="H1595" s="4">
        <f t="shared" si="73"/>
        <v>1.3126405105518879E-2</v>
      </c>
      <c r="I1595" s="1">
        <f t="shared" si="74"/>
        <v>2</v>
      </c>
    </row>
    <row r="1596" spans="1:9" hidden="1" x14ac:dyDescent="0.2">
      <c r="A1596" s="6">
        <v>44092.708333333336</v>
      </c>
      <c r="B1596" s="1" t="s">
        <v>11</v>
      </c>
      <c r="C1596">
        <v>459</v>
      </c>
      <c r="D1596">
        <v>17</v>
      </c>
      <c r="E1596">
        <v>889</v>
      </c>
      <c r="F1596">
        <v>13982</v>
      </c>
      <c r="G1596" s="3">
        <f t="shared" si="72"/>
        <v>193</v>
      </c>
      <c r="H1596" s="4">
        <f t="shared" si="73"/>
        <v>1.380346159347734E-2</v>
      </c>
      <c r="I1596" s="1">
        <f t="shared" si="74"/>
        <v>0</v>
      </c>
    </row>
    <row r="1597" spans="1:9" hidden="1" x14ac:dyDescent="0.2">
      <c r="A1597" s="6">
        <v>44093.708333333336</v>
      </c>
      <c r="B1597" s="1" t="s">
        <v>11</v>
      </c>
      <c r="C1597">
        <v>445</v>
      </c>
      <c r="D1597">
        <v>22</v>
      </c>
      <c r="E1597">
        <v>890</v>
      </c>
      <c r="F1597">
        <v>14179</v>
      </c>
      <c r="G1597" s="3">
        <f t="shared" si="72"/>
        <v>197</v>
      </c>
      <c r="H1597" s="4">
        <f t="shared" si="73"/>
        <v>1.3893786585795875E-2</v>
      </c>
      <c r="I1597" s="1">
        <f t="shared" si="74"/>
        <v>1</v>
      </c>
    </row>
    <row r="1598" spans="1:9" hidden="1" x14ac:dyDescent="0.2">
      <c r="A1598" s="6">
        <v>44094.708333333336</v>
      </c>
      <c r="B1598" s="1" t="s">
        <v>11</v>
      </c>
      <c r="C1598">
        <v>422</v>
      </c>
      <c r="D1598">
        <v>23</v>
      </c>
      <c r="E1598">
        <v>890</v>
      </c>
      <c r="F1598">
        <v>14344</v>
      </c>
      <c r="G1598" s="3">
        <f t="shared" si="72"/>
        <v>165</v>
      </c>
      <c r="H1598" s="4">
        <f t="shared" si="73"/>
        <v>1.1503067484662566E-2</v>
      </c>
      <c r="I1598" s="1">
        <f t="shared" si="74"/>
        <v>0</v>
      </c>
    </row>
    <row r="1599" spans="1:9" hidden="1" x14ac:dyDescent="0.2">
      <c r="A1599" s="6">
        <v>44095.708333333336</v>
      </c>
      <c r="B1599" s="1" t="s">
        <v>11</v>
      </c>
      <c r="C1599">
        <v>466</v>
      </c>
      <c r="D1599">
        <v>27</v>
      </c>
      <c r="E1599">
        <v>895</v>
      </c>
      <c r="F1599">
        <v>14542</v>
      </c>
      <c r="G1599" s="3">
        <f t="shared" si="72"/>
        <v>198</v>
      </c>
      <c r="H1599" s="4">
        <f t="shared" si="73"/>
        <v>1.3615733736762503E-2</v>
      </c>
      <c r="I1599" s="1">
        <f t="shared" si="74"/>
        <v>5</v>
      </c>
    </row>
    <row r="1600" spans="1:9" hidden="1" x14ac:dyDescent="0.2">
      <c r="A1600" s="6">
        <v>44096.708333333336</v>
      </c>
      <c r="B1600" s="1" t="s">
        <v>11</v>
      </c>
      <c r="C1600">
        <v>482</v>
      </c>
      <c r="D1600">
        <v>31</v>
      </c>
      <c r="E1600">
        <v>899</v>
      </c>
      <c r="F1600">
        <v>14780</v>
      </c>
      <c r="G1600" s="3">
        <f t="shared" si="72"/>
        <v>238</v>
      </c>
      <c r="H1600" s="4">
        <f t="shared" si="73"/>
        <v>1.610284167794318E-2</v>
      </c>
      <c r="I1600" s="1">
        <f t="shared" si="74"/>
        <v>4</v>
      </c>
    </row>
    <row r="1601" spans="1:9" hidden="1" x14ac:dyDescent="0.2">
      <c r="A1601" s="6">
        <v>44097.708333333336</v>
      </c>
      <c r="B1601" s="1" t="s">
        <v>11</v>
      </c>
      <c r="C1601">
        <v>521</v>
      </c>
      <c r="D1601">
        <v>32</v>
      </c>
      <c r="E1601">
        <v>902</v>
      </c>
      <c r="F1601">
        <v>14975</v>
      </c>
      <c r="G1601" s="3">
        <f t="shared" si="72"/>
        <v>195</v>
      </c>
      <c r="H1601" s="4">
        <f t="shared" si="73"/>
        <v>1.3021702838063476E-2</v>
      </c>
      <c r="I1601" s="1">
        <f t="shared" si="74"/>
        <v>3</v>
      </c>
    </row>
    <row r="1602" spans="1:9" hidden="1" x14ac:dyDescent="0.2">
      <c r="A1602" s="6">
        <v>44098.708333333336</v>
      </c>
      <c r="B1602" s="1" t="s">
        <v>11</v>
      </c>
      <c r="C1602">
        <v>544</v>
      </c>
      <c r="D1602">
        <v>35</v>
      </c>
      <c r="E1602">
        <v>902</v>
      </c>
      <c r="F1602">
        <v>15205</v>
      </c>
      <c r="G1602" s="3">
        <f t="shared" si="72"/>
        <v>230</v>
      </c>
      <c r="H1602" s="4">
        <f t="shared" si="73"/>
        <v>1.5126603091088486E-2</v>
      </c>
      <c r="I1602" s="1">
        <f t="shared" si="74"/>
        <v>0</v>
      </c>
    </row>
    <row r="1603" spans="1:9" hidden="1" x14ac:dyDescent="0.2">
      <c r="A1603" s="6">
        <v>44099.708333333336</v>
      </c>
      <c r="B1603" s="1" t="s">
        <v>11</v>
      </c>
      <c r="C1603">
        <v>563</v>
      </c>
      <c r="D1603">
        <v>36</v>
      </c>
      <c r="E1603">
        <v>904</v>
      </c>
      <c r="F1603">
        <v>15435</v>
      </c>
      <c r="G1603" s="3">
        <f t="shared" ref="G1603:G1666" si="75">IF(AND(F1603&gt;0,AND(B1603=B1602,F1603&gt;0)),F1603-F1602,0)</f>
        <v>230</v>
      </c>
      <c r="H1603" s="4">
        <f t="shared" ref="H1603:H1666" si="76">IF(AND(F1602&gt;0,AND(B1603=B1602,F1602&gt;0)),1-(F1602/F1603),0)</f>
        <v>1.4901198574667984E-2</v>
      </c>
      <c r="I1603" s="1">
        <f t="shared" ref="I1603:I1666" si="77">IF(AND(E1603&gt;0,AND(B1603=B1602,E1603&gt;0)),E1603-E1602,0)</f>
        <v>2</v>
      </c>
    </row>
    <row r="1604" spans="1:9" hidden="1" x14ac:dyDescent="0.2">
      <c r="A1604" s="6">
        <v>44100.708333333336</v>
      </c>
      <c r="B1604" s="1" t="s">
        <v>11</v>
      </c>
      <c r="C1604">
        <v>591</v>
      </c>
      <c r="D1604">
        <v>35</v>
      </c>
      <c r="E1604">
        <v>906</v>
      </c>
      <c r="F1604">
        <v>15654</v>
      </c>
      <c r="G1604" s="3">
        <f t="shared" si="75"/>
        <v>219</v>
      </c>
      <c r="H1604" s="4">
        <f t="shared" si="76"/>
        <v>1.3990034495975467E-2</v>
      </c>
      <c r="I1604" s="1">
        <f t="shared" si="77"/>
        <v>2</v>
      </c>
    </row>
    <row r="1605" spans="1:9" hidden="1" x14ac:dyDescent="0.2">
      <c r="A1605" s="6">
        <v>44101.708333333336</v>
      </c>
      <c r="B1605" s="1" t="s">
        <v>11</v>
      </c>
      <c r="C1605">
        <v>610</v>
      </c>
      <c r="D1605">
        <v>38</v>
      </c>
      <c r="E1605">
        <v>907</v>
      </c>
      <c r="F1605">
        <v>15835</v>
      </c>
      <c r="G1605" s="3">
        <f t="shared" si="75"/>
        <v>181</v>
      </c>
      <c r="H1605" s="4">
        <f t="shared" si="76"/>
        <v>1.1430375749921007E-2</v>
      </c>
      <c r="I1605" s="1">
        <f t="shared" si="77"/>
        <v>1</v>
      </c>
    </row>
    <row r="1606" spans="1:9" hidden="1" x14ac:dyDescent="0.2">
      <c r="A1606" s="6">
        <v>44102.708333333336</v>
      </c>
      <c r="B1606" s="1" t="s">
        <v>11</v>
      </c>
      <c r="C1606">
        <v>640</v>
      </c>
      <c r="D1606">
        <v>41</v>
      </c>
      <c r="E1606">
        <v>910</v>
      </c>
      <c r="F1606">
        <v>16046</v>
      </c>
      <c r="G1606" s="3">
        <f t="shared" si="75"/>
        <v>211</v>
      </c>
      <c r="H1606" s="4">
        <f t="shared" si="76"/>
        <v>1.3149694627944686E-2</v>
      </c>
      <c r="I1606" s="1">
        <f t="shared" si="77"/>
        <v>3</v>
      </c>
    </row>
    <row r="1607" spans="1:9" hidden="1" x14ac:dyDescent="0.2">
      <c r="A1607" s="6">
        <v>44103.708333333336</v>
      </c>
      <c r="B1607" s="1" t="s">
        <v>11</v>
      </c>
      <c r="C1607">
        <v>674</v>
      </c>
      <c r="D1607">
        <v>45</v>
      </c>
      <c r="E1607">
        <v>913</v>
      </c>
      <c r="F1607">
        <v>16265</v>
      </c>
      <c r="G1607" s="3">
        <f t="shared" si="75"/>
        <v>219</v>
      </c>
      <c r="H1607" s="4">
        <f t="shared" si="76"/>
        <v>1.3464494312941944E-2</v>
      </c>
      <c r="I1607" s="1">
        <f t="shared" si="77"/>
        <v>3</v>
      </c>
    </row>
    <row r="1608" spans="1:9" hidden="1" x14ac:dyDescent="0.2">
      <c r="A1608" s="6">
        <v>44104.708333333336</v>
      </c>
      <c r="B1608" s="1" t="s">
        <v>11</v>
      </c>
      <c r="C1608">
        <v>659</v>
      </c>
      <c r="D1608">
        <v>47</v>
      </c>
      <c r="E1608">
        <v>918</v>
      </c>
      <c r="F1608">
        <v>16475</v>
      </c>
      <c r="G1608" s="3">
        <f t="shared" si="75"/>
        <v>210</v>
      </c>
      <c r="H1608" s="4">
        <f t="shared" si="76"/>
        <v>1.2746585735963545E-2</v>
      </c>
      <c r="I1608" s="1">
        <f t="shared" si="77"/>
        <v>5</v>
      </c>
    </row>
    <row r="1609" spans="1:9" hidden="1" x14ac:dyDescent="0.2">
      <c r="A1609" s="6">
        <v>44105.708333333336</v>
      </c>
      <c r="B1609" s="1" t="s">
        <v>11</v>
      </c>
      <c r="C1609">
        <v>666</v>
      </c>
      <c r="D1609">
        <v>49</v>
      </c>
      <c r="E1609">
        <v>923</v>
      </c>
      <c r="F1609">
        <v>16740</v>
      </c>
      <c r="G1609" s="3">
        <f t="shared" si="75"/>
        <v>265</v>
      </c>
      <c r="H1609" s="4">
        <f t="shared" si="76"/>
        <v>1.5830346475507739E-2</v>
      </c>
      <c r="I1609" s="1">
        <f t="shared" si="77"/>
        <v>5</v>
      </c>
    </row>
    <row r="1610" spans="1:9" hidden="1" x14ac:dyDescent="0.2">
      <c r="A1610" s="6">
        <v>44106.708333333336</v>
      </c>
      <c r="B1610" s="1" t="s">
        <v>11</v>
      </c>
      <c r="C1610">
        <v>678</v>
      </c>
      <c r="D1610">
        <v>49</v>
      </c>
      <c r="E1610">
        <v>928</v>
      </c>
      <c r="F1610">
        <v>17004</v>
      </c>
      <c r="G1610" s="3">
        <f t="shared" si="75"/>
        <v>264</v>
      </c>
      <c r="H1610" s="4">
        <f t="shared" si="76"/>
        <v>1.5525758645024701E-2</v>
      </c>
      <c r="I1610" s="1">
        <f t="shared" si="77"/>
        <v>5</v>
      </c>
    </row>
    <row r="1611" spans="1:9" hidden="1" x14ac:dyDescent="0.2">
      <c r="A1611" s="6">
        <v>44107.708333333336</v>
      </c>
      <c r="B1611" s="1" t="s">
        <v>11</v>
      </c>
      <c r="C1611">
        <v>711</v>
      </c>
      <c r="D1611">
        <v>47</v>
      </c>
      <c r="E1611">
        <v>933</v>
      </c>
      <c r="F1611">
        <v>17265</v>
      </c>
      <c r="G1611" s="3">
        <f t="shared" si="75"/>
        <v>261</v>
      </c>
      <c r="H1611" s="4">
        <f t="shared" si="76"/>
        <v>1.5117289313640314E-2</v>
      </c>
      <c r="I1611" s="1">
        <f t="shared" si="77"/>
        <v>5</v>
      </c>
    </row>
    <row r="1612" spans="1:9" hidden="1" x14ac:dyDescent="0.2">
      <c r="A1612" s="6">
        <v>44108.708333333336</v>
      </c>
      <c r="B1612" s="1" t="s">
        <v>11</v>
      </c>
      <c r="C1612">
        <v>737</v>
      </c>
      <c r="D1612">
        <v>48</v>
      </c>
      <c r="E1612">
        <v>939</v>
      </c>
      <c r="F1612">
        <v>17509</v>
      </c>
      <c r="G1612" s="3">
        <f t="shared" si="75"/>
        <v>244</v>
      </c>
      <c r="H1612" s="4">
        <f t="shared" si="76"/>
        <v>1.3935690216460128E-2</v>
      </c>
      <c r="I1612" s="1">
        <f t="shared" si="77"/>
        <v>6</v>
      </c>
    </row>
    <row r="1613" spans="1:9" hidden="1" x14ac:dyDescent="0.2">
      <c r="A1613" s="6">
        <v>44109.708333333336</v>
      </c>
      <c r="B1613" s="1" t="s">
        <v>11</v>
      </c>
      <c r="C1613">
        <v>764</v>
      </c>
      <c r="D1613">
        <v>48</v>
      </c>
      <c r="E1613">
        <v>944</v>
      </c>
      <c r="F1613">
        <v>17757</v>
      </c>
      <c r="G1613" s="3">
        <f t="shared" si="75"/>
        <v>248</v>
      </c>
      <c r="H1613" s="4">
        <f t="shared" si="76"/>
        <v>1.39663231401701E-2</v>
      </c>
      <c r="I1613" s="1">
        <f t="shared" si="77"/>
        <v>5</v>
      </c>
    </row>
    <row r="1614" spans="1:9" hidden="1" x14ac:dyDescent="0.2">
      <c r="A1614" s="6">
        <v>44110.708333333336</v>
      </c>
      <c r="B1614" s="1" t="s">
        <v>11</v>
      </c>
      <c r="C1614">
        <v>774</v>
      </c>
      <c r="D1614">
        <v>44</v>
      </c>
      <c r="E1614">
        <v>948</v>
      </c>
      <c r="F1614">
        <v>18032</v>
      </c>
      <c r="G1614" s="3">
        <f t="shared" si="75"/>
        <v>275</v>
      </c>
      <c r="H1614" s="4">
        <f t="shared" si="76"/>
        <v>1.525066548358478E-2</v>
      </c>
      <c r="I1614" s="1">
        <f t="shared" si="77"/>
        <v>4</v>
      </c>
    </row>
    <row r="1615" spans="1:9" hidden="1" x14ac:dyDescent="0.2">
      <c r="A1615" s="6">
        <v>44111.708333333336</v>
      </c>
      <c r="B1615" s="1" t="s">
        <v>11</v>
      </c>
      <c r="C1615">
        <v>808</v>
      </c>
      <c r="D1615">
        <v>48</v>
      </c>
      <c r="E1615">
        <v>954</v>
      </c>
      <c r="F1615">
        <v>18389</v>
      </c>
      <c r="G1615" s="3">
        <f t="shared" si="75"/>
        <v>357</v>
      </c>
      <c r="H1615" s="4">
        <f t="shared" si="76"/>
        <v>1.9413779977160206E-2</v>
      </c>
      <c r="I1615" s="1">
        <f t="shared" si="77"/>
        <v>6</v>
      </c>
    </row>
    <row r="1616" spans="1:9" hidden="1" x14ac:dyDescent="0.2">
      <c r="A1616" s="6">
        <v>44112.708333333336</v>
      </c>
      <c r="B1616" s="1" t="s">
        <v>11</v>
      </c>
      <c r="C1616">
        <v>821</v>
      </c>
      <c r="D1616">
        <v>55</v>
      </c>
      <c r="E1616">
        <v>960</v>
      </c>
      <c r="F1616">
        <v>18748</v>
      </c>
      <c r="G1616" s="3">
        <f t="shared" si="75"/>
        <v>359</v>
      </c>
      <c r="H1616" s="4">
        <f t="shared" si="76"/>
        <v>1.9148709195647484E-2</v>
      </c>
      <c r="I1616" s="1">
        <f t="shared" si="77"/>
        <v>6</v>
      </c>
    </row>
    <row r="1617" spans="1:9" hidden="1" x14ac:dyDescent="0.2">
      <c r="A1617" s="6">
        <v>44113.708333333336</v>
      </c>
      <c r="B1617" s="1" t="s">
        <v>11</v>
      </c>
      <c r="C1617">
        <v>853</v>
      </c>
      <c r="D1617">
        <v>57</v>
      </c>
      <c r="E1617">
        <v>966</v>
      </c>
      <c r="F1617">
        <v>19135</v>
      </c>
      <c r="G1617" s="3">
        <f t="shared" si="75"/>
        <v>387</v>
      </c>
      <c r="H1617" s="4">
        <f t="shared" si="76"/>
        <v>2.0224719101123556E-2</v>
      </c>
      <c r="I1617" s="1">
        <f t="shared" si="77"/>
        <v>6</v>
      </c>
    </row>
    <row r="1618" spans="1:9" hidden="1" x14ac:dyDescent="0.2">
      <c r="A1618" s="6">
        <v>44114.708333333336</v>
      </c>
      <c r="B1618" s="1" t="s">
        <v>11</v>
      </c>
      <c r="C1618">
        <v>884</v>
      </c>
      <c r="D1618">
        <v>57</v>
      </c>
      <c r="E1618">
        <v>972</v>
      </c>
      <c r="F1618">
        <v>19519</v>
      </c>
      <c r="G1618" s="3">
        <f t="shared" si="75"/>
        <v>384</v>
      </c>
      <c r="H1618" s="4">
        <f t="shared" si="76"/>
        <v>1.9673138992776229E-2</v>
      </c>
      <c r="I1618" s="1">
        <f t="shared" si="77"/>
        <v>6</v>
      </c>
    </row>
    <row r="1619" spans="1:9" hidden="1" x14ac:dyDescent="0.2">
      <c r="A1619" s="6">
        <v>44115.708333333336</v>
      </c>
      <c r="B1619" s="1" t="s">
        <v>11</v>
      </c>
      <c r="C1619">
        <v>911</v>
      </c>
      <c r="D1619">
        <v>69</v>
      </c>
      <c r="E1619">
        <v>976</v>
      </c>
      <c r="F1619">
        <v>19890</v>
      </c>
      <c r="G1619" s="3">
        <f t="shared" si="75"/>
        <v>371</v>
      </c>
      <c r="H1619" s="4">
        <f t="shared" si="76"/>
        <v>1.865258924082458E-2</v>
      </c>
      <c r="I1619" s="1">
        <f t="shared" si="77"/>
        <v>4</v>
      </c>
    </row>
    <row r="1620" spans="1:9" hidden="1" x14ac:dyDescent="0.2">
      <c r="A1620" s="6">
        <v>43885.75</v>
      </c>
      <c r="B1620" s="1" t="s">
        <v>12</v>
      </c>
      <c r="C1620">
        <v>0</v>
      </c>
      <c r="D1620">
        <v>0</v>
      </c>
      <c r="E1620">
        <v>0</v>
      </c>
      <c r="F1620">
        <v>0</v>
      </c>
      <c r="G1620" s="3">
        <f t="shared" si="75"/>
        <v>0</v>
      </c>
      <c r="H1620" s="4">
        <f t="shared" si="76"/>
        <v>0</v>
      </c>
      <c r="I1620" s="1">
        <f t="shared" si="77"/>
        <v>0</v>
      </c>
    </row>
    <row r="1621" spans="1:9" hidden="1" x14ac:dyDescent="0.2">
      <c r="A1621" s="6">
        <v>43886.75</v>
      </c>
      <c r="B1621" s="1" t="s">
        <v>12</v>
      </c>
      <c r="C1621">
        <v>1</v>
      </c>
      <c r="D1621">
        <v>0</v>
      </c>
      <c r="E1621">
        <v>0</v>
      </c>
      <c r="F1621">
        <v>1</v>
      </c>
      <c r="G1621" s="3">
        <f t="shared" si="75"/>
        <v>1</v>
      </c>
      <c r="H1621" s="4">
        <f t="shared" si="76"/>
        <v>0</v>
      </c>
      <c r="I1621" s="1">
        <f t="shared" si="77"/>
        <v>0</v>
      </c>
    </row>
    <row r="1622" spans="1:9" hidden="1" x14ac:dyDescent="0.2">
      <c r="A1622" s="6">
        <v>43887.75</v>
      </c>
      <c r="B1622" s="1" t="s">
        <v>12</v>
      </c>
      <c r="C1622">
        <v>6</v>
      </c>
      <c r="D1622">
        <v>0</v>
      </c>
      <c r="E1622">
        <v>0</v>
      </c>
      <c r="F1622">
        <v>11</v>
      </c>
      <c r="G1622" s="3">
        <f t="shared" si="75"/>
        <v>10</v>
      </c>
      <c r="H1622" s="4">
        <f t="shared" si="76"/>
        <v>0.90909090909090906</v>
      </c>
      <c r="I1622" s="1">
        <f t="shared" si="77"/>
        <v>0</v>
      </c>
    </row>
    <row r="1623" spans="1:9" hidden="1" x14ac:dyDescent="0.2">
      <c r="A1623" s="6">
        <v>43888.75</v>
      </c>
      <c r="B1623" s="1" t="s">
        <v>12</v>
      </c>
      <c r="C1623">
        <v>9</v>
      </c>
      <c r="D1623">
        <v>0</v>
      </c>
      <c r="E1623">
        <v>0</v>
      </c>
      <c r="F1623">
        <v>19</v>
      </c>
      <c r="G1623" s="3">
        <f t="shared" si="75"/>
        <v>8</v>
      </c>
      <c r="H1623" s="4">
        <f t="shared" si="76"/>
        <v>0.42105263157894735</v>
      </c>
      <c r="I1623" s="1">
        <f t="shared" si="77"/>
        <v>0</v>
      </c>
    </row>
    <row r="1624" spans="1:9" hidden="1" x14ac:dyDescent="0.2">
      <c r="A1624" s="6">
        <v>43889.75</v>
      </c>
      <c r="B1624" s="1" t="s">
        <v>12</v>
      </c>
      <c r="C1624">
        <v>9</v>
      </c>
      <c r="D1624">
        <v>0</v>
      </c>
      <c r="E1624">
        <v>0</v>
      </c>
      <c r="F1624">
        <v>19</v>
      </c>
      <c r="G1624" s="3">
        <f t="shared" si="75"/>
        <v>0</v>
      </c>
      <c r="H1624" s="4">
        <f t="shared" si="76"/>
        <v>0</v>
      </c>
      <c r="I1624" s="1">
        <f t="shared" si="77"/>
        <v>0</v>
      </c>
    </row>
    <row r="1625" spans="1:9" hidden="1" x14ac:dyDescent="0.2">
      <c r="A1625" s="6">
        <v>43890.708333333336</v>
      </c>
      <c r="B1625" s="1" t="s">
        <v>12</v>
      </c>
      <c r="C1625">
        <v>4</v>
      </c>
      <c r="D1625">
        <v>1</v>
      </c>
      <c r="E1625">
        <v>0</v>
      </c>
      <c r="F1625">
        <v>42</v>
      </c>
      <c r="G1625" s="3">
        <f t="shared" si="75"/>
        <v>23</v>
      </c>
      <c r="H1625" s="4">
        <f t="shared" si="76"/>
        <v>0.54761904761904767</v>
      </c>
      <c r="I1625" s="1">
        <f t="shared" si="77"/>
        <v>0</v>
      </c>
    </row>
    <row r="1626" spans="1:9" hidden="1" x14ac:dyDescent="0.2">
      <c r="A1626" s="6">
        <v>43891.708333333336</v>
      </c>
      <c r="B1626" s="1" t="s">
        <v>12</v>
      </c>
      <c r="C1626">
        <v>12</v>
      </c>
      <c r="D1626">
        <v>1</v>
      </c>
      <c r="E1626">
        <v>0</v>
      </c>
      <c r="F1626">
        <v>25</v>
      </c>
      <c r="G1626" s="3">
        <f t="shared" si="75"/>
        <v>-17</v>
      </c>
      <c r="H1626" s="4">
        <f t="shared" si="76"/>
        <v>-0.67999999999999994</v>
      </c>
      <c r="I1626" s="1">
        <f t="shared" si="77"/>
        <v>0</v>
      </c>
    </row>
    <row r="1627" spans="1:9" hidden="1" x14ac:dyDescent="0.2">
      <c r="A1627" s="6">
        <v>43892.75</v>
      </c>
      <c r="B1627" s="1" t="s">
        <v>12</v>
      </c>
      <c r="C1627">
        <v>12</v>
      </c>
      <c r="D1627">
        <v>1</v>
      </c>
      <c r="E1627">
        <v>0</v>
      </c>
      <c r="F1627">
        <v>22</v>
      </c>
      <c r="G1627" s="3">
        <f t="shared" si="75"/>
        <v>-3</v>
      </c>
      <c r="H1627" s="4">
        <f t="shared" si="76"/>
        <v>-0.13636363636363646</v>
      </c>
      <c r="I1627" s="1">
        <f t="shared" si="77"/>
        <v>0</v>
      </c>
    </row>
    <row r="1628" spans="1:9" hidden="1" x14ac:dyDescent="0.2">
      <c r="A1628" s="6">
        <v>43893.75</v>
      </c>
      <c r="B1628" s="1" t="s">
        <v>12</v>
      </c>
      <c r="C1628">
        <v>12</v>
      </c>
      <c r="D1628">
        <v>2</v>
      </c>
      <c r="E1628">
        <v>1</v>
      </c>
      <c r="F1628">
        <v>24</v>
      </c>
      <c r="G1628" s="3">
        <f t="shared" si="75"/>
        <v>2</v>
      </c>
      <c r="H1628" s="4">
        <f t="shared" si="76"/>
        <v>8.333333333333337E-2</v>
      </c>
      <c r="I1628" s="1">
        <f t="shared" si="77"/>
        <v>1</v>
      </c>
    </row>
    <row r="1629" spans="1:9" hidden="1" x14ac:dyDescent="0.2">
      <c r="A1629" s="6">
        <v>43894.708333333336</v>
      </c>
      <c r="B1629" s="1" t="s">
        <v>12</v>
      </c>
      <c r="C1629">
        <v>10</v>
      </c>
      <c r="D1629">
        <v>3</v>
      </c>
      <c r="E1629">
        <v>1</v>
      </c>
      <c r="F1629">
        <v>26</v>
      </c>
      <c r="G1629" s="3">
        <f t="shared" si="75"/>
        <v>2</v>
      </c>
      <c r="H1629" s="4">
        <f t="shared" si="76"/>
        <v>7.6923076923076872E-2</v>
      </c>
      <c r="I1629" s="1">
        <f t="shared" si="77"/>
        <v>0</v>
      </c>
    </row>
    <row r="1630" spans="1:9" hidden="1" x14ac:dyDescent="0.2">
      <c r="A1630" s="6">
        <v>43895.708333333336</v>
      </c>
      <c r="B1630" s="1" t="s">
        <v>12</v>
      </c>
      <c r="C1630">
        <v>11</v>
      </c>
      <c r="D1630">
        <v>3</v>
      </c>
      <c r="E1630">
        <v>3</v>
      </c>
      <c r="F1630">
        <v>28</v>
      </c>
      <c r="G1630" s="3">
        <f t="shared" si="75"/>
        <v>2</v>
      </c>
      <c r="H1630" s="4">
        <f t="shared" si="76"/>
        <v>7.1428571428571397E-2</v>
      </c>
      <c r="I1630" s="1">
        <f t="shared" si="77"/>
        <v>2</v>
      </c>
    </row>
    <row r="1631" spans="1:9" hidden="1" x14ac:dyDescent="0.2">
      <c r="A1631" s="6">
        <v>43896.708333333336</v>
      </c>
      <c r="B1631" s="1" t="s">
        <v>12</v>
      </c>
      <c r="C1631">
        <v>12</v>
      </c>
      <c r="D1631">
        <v>5</v>
      </c>
      <c r="E1631">
        <v>3</v>
      </c>
      <c r="F1631">
        <v>32</v>
      </c>
      <c r="G1631" s="3">
        <f t="shared" si="75"/>
        <v>4</v>
      </c>
      <c r="H1631" s="4">
        <f t="shared" si="76"/>
        <v>0.125</v>
      </c>
      <c r="I1631" s="1">
        <f t="shared" si="77"/>
        <v>0</v>
      </c>
    </row>
    <row r="1632" spans="1:9" hidden="1" x14ac:dyDescent="0.2">
      <c r="A1632" s="6">
        <v>43897.75</v>
      </c>
      <c r="B1632" s="1" t="s">
        <v>12</v>
      </c>
      <c r="C1632">
        <v>26</v>
      </c>
      <c r="D1632">
        <v>6</v>
      </c>
      <c r="E1632">
        <v>4</v>
      </c>
      <c r="F1632">
        <v>51</v>
      </c>
      <c r="G1632" s="3">
        <f t="shared" si="75"/>
        <v>19</v>
      </c>
      <c r="H1632" s="4">
        <f t="shared" si="76"/>
        <v>0.37254901960784315</v>
      </c>
      <c r="I1632" s="1">
        <f t="shared" si="77"/>
        <v>1</v>
      </c>
    </row>
    <row r="1633" spans="1:9" hidden="1" x14ac:dyDescent="0.2">
      <c r="A1633" s="6">
        <v>43898.75</v>
      </c>
      <c r="B1633" s="1" t="s">
        <v>12</v>
      </c>
      <c r="C1633">
        <v>39</v>
      </c>
      <c r="D1633">
        <v>11</v>
      </c>
      <c r="E1633">
        <v>6</v>
      </c>
      <c r="F1633">
        <v>78</v>
      </c>
      <c r="G1633" s="3">
        <f t="shared" si="75"/>
        <v>27</v>
      </c>
      <c r="H1633" s="4">
        <f t="shared" si="76"/>
        <v>0.34615384615384615</v>
      </c>
      <c r="I1633" s="1">
        <f t="shared" si="77"/>
        <v>2</v>
      </c>
    </row>
    <row r="1634" spans="1:9" hidden="1" x14ac:dyDescent="0.2">
      <c r="A1634" s="6">
        <v>43899.75</v>
      </c>
      <c r="B1634" s="1" t="s">
        <v>12</v>
      </c>
      <c r="C1634">
        <v>60</v>
      </c>
      <c r="D1634">
        <v>17</v>
      </c>
      <c r="E1634">
        <v>7</v>
      </c>
      <c r="F1634">
        <v>109</v>
      </c>
      <c r="G1634" s="3">
        <f t="shared" si="75"/>
        <v>31</v>
      </c>
      <c r="H1634" s="4">
        <f t="shared" si="76"/>
        <v>0.2844036697247706</v>
      </c>
      <c r="I1634" s="1">
        <f t="shared" si="77"/>
        <v>1</v>
      </c>
    </row>
    <row r="1635" spans="1:9" hidden="1" x14ac:dyDescent="0.2">
      <c r="A1635" s="6">
        <v>43900.75</v>
      </c>
      <c r="B1635" s="1" t="s">
        <v>12</v>
      </c>
      <c r="C1635">
        <v>57</v>
      </c>
      <c r="D1635">
        <v>29</v>
      </c>
      <c r="E1635">
        <v>8</v>
      </c>
      <c r="F1635">
        <v>141</v>
      </c>
      <c r="G1635" s="3">
        <f t="shared" si="75"/>
        <v>32</v>
      </c>
      <c r="H1635" s="4">
        <f t="shared" si="76"/>
        <v>0.22695035460992907</v>
      </c>
      <c r="I1635" s="1">
        <f t="shared" si="77"/>
        <v>1</v>
      </c>
    </row>
    <row r="1636" spans="1:9" hidden="1" x14ac:dyDescent="0.2">
      <c r="A1636" s="6">
        <v>43901.708333333336</v>
      </c>
      <c r="B1636" s="1" t="s">
        <v>12</v>
      </c>
      <c r="C1636">
        <v>74</v>
      </c>
      <c r="D1636">
        <v>34</v>
      </c>
      <c r="E1636">
        <v>8</v>
      </c>
      <c r="F1636">
        <v>194</v>
      </c>
      <c r="G1636" s="3">
        <f t="shared" si="75"/>
        <v>53</v>
      </c>
      <c r="H1636" s="4">
        <f t="shared" si="76"/>
        <v>0.27319587628865982</v>
      </c>
      <c r="I1636" s="1">
        <f t="shared" si="77"/>
        <v>0</v>
      </c>
    </row>
    <row r="1637" spans="1:9" hidden="1" x14ac:dyDescent="0.2">
      <c r="A1637" s="6">
        <v>43902.708333333336</v>
      </c>
      <c r="B1637" s="1" t="s">
        <v>12</v>
      </c>
      <c r="C1637">
        <v>100</v>
      </c>
      <c r="D1637">
        <v>36</v>
      </c>
      <c r="E1637">
        <v>11</v>
      </c>
      <c r="F1637">
        <v>274</v>
      </c>
      <c r="G1637" s="3">
        <f t="shared" si="75"/>
        <v>80</v>
      </c>
      <c r="H1637" s="4">
        <f t="shared" si="76"/>
        <v>0.29197080291970801</v>
      </c>
      <c r="I1637" s="1">
        <f t="shared" si="77"/>
        <v>3</v>
      </c>
    </row>
    <row r="1638" spans="1:9" hidden="1" x14ac:dyDescent="0.2">
      <c r="A1638" s="6">
        <v>43903.708333333336</v>
      </c>
      <c r="B1638" s="1" t="s">
        <v>12</v>
      </c>
      <c r="C1638">
        <v>128</v>
      </c>
      <c r="D1638">
        <v>44</v>
      </c>
      <c r="E1638">
        <v>17</v>
      </c>
      <c r="F1638">
        <v>345</v>
      </c>
      <c r="G1638" s="3">
        <f t="shared" si="75"/>
        <v>71</v>
      </c>
      <c r="H1638" s="4">
        <f t="shared" si="76"/>
        <v>0.20579710144927532</v>
      </c>
      <c r="I1638" s="1">
        <f t="shared" si="77"/>
        <v>6</v>
      </c>
    </row>
    <row r="1639" spans="1:9" hidden="1" x14ac:dyDescent="0.2">
      <c r="A1639" s="6">
        <v>43904.708333333336</v>
      </c>
      <c r="B1639" s="1" t="s">
        <v>12</v>
      </c>
      <c r="C1639">
        <v>213</v>
      </c>
      <c r="D1639">
        <v>62</v>
      </c>
      <c r="E1639">
        <v>27</v>
      </c>
      <c r="F1639">
        <v>463</v>
      </c>
      <c r="G1639" s="3">
        <f t="shared" si="75"/>
        <v>118</v>
      </c>
      <c r="H1639" s="4">
        <f t="shared" si="76"/>
        <v>0.25485961123110146</v>
      </c>
      <c r="I1639" s="1">
        <f t="shared" si="77"/>
        <v>10</v>
      </c>
    </row>
    <row r="1640" spans="1:9" hidden="1" x14ac:dyDescent="0.2">
      <c r="A1640" s="6">
        <v>43905.708333333336</v>
      </c>
      <c r="B1640" s="1" t="s">
        <v>12</v>
      </c>
      <c r="C1640">
        <v>253</v>
      </c>
      <c r="D1640">
        <v>66</v>
      </c>
      <c r="E1640">
        <v>33</v>
      </c>
      <c r="F1640">
        <v>559</v>
      </c>
      <c r="G1640" s="3">
        <f t="shared" si="75"/>
        <v>96</v>
      </c>
      <c r="H1640" s="4">
        <f t="shared" si="76"/>
        <v>0.17173524150268338</v>
      </c>
      <c r="I1640" s="1">
        <f t="shared" si="77"/>
        <v>6</v>
      </c>
    </row>
    <row r="1641" spans="1:9" hidden="1" x14ac:dyDescent="0.2">
      <c r="A1641" s="6">
        <v>43906.708333333336</v>
      </c>
      <c r="B1641" s="1" t="s">
        <v>12</v>
      </c>
      <c r="C1641">
        <v>255</v>
      </c>
      <c r="D1641">
        <v>73</v>
      </c>
      <c r="E1641">
        <v>50</v>
      </c>
      <c r="F1641">
        <v>667</v>
      </c>
      <c r="G1641" s="3">
        <f t="shared" si="75"/>
        <v>108</v>
      </c>
      <c r="H1641" s="4">
        <f t="shared" si="76"/>
        <v>0.16191904047976013</v>
      </c>
      <c r="I1641" s="1">
        <f t="shared" si="77"/>
        <v>17</v>
      </c>
    </row>
    <row r="1642" spans="1:9" hidden="1" x14ac:dyDescent="0.2">
      <c r="A1642" s="6">
        <v>43907.708333333336</v>
      </c>
      <c r="B1642" s="1" t="s">
        <v>12</v>
      </c>
      <c r="C1642">
        <v>299</v>
      </c>
      <c r="D1642">
        <v>85</v>
      </c>
      <c r="E1642">
        <v>60</v>
      </c>
      <c r="F1642">
        <v>778</v>
      </c>
      <c r="G1642" s="3">
        <f t="shared" si="75"/>
        <v>111</v>
      </c>
      <c r="H1642" s="4">
        <f t="shared" si="76"/>
        <v>0.14267352185089976</v>
      </c>
      <c r="I1642" s="1">
        <f t="shared" si="77"/>
        <v>10</v>
      </c>
    </row>
    <row r="1643" spans="1:9" hidden="1" x14ac:dyDescent="0.2">
      <c r="A1643" s="6">
        <v>43908.708333333336</v>
      </c>
      <c r="B1643" s="1" t="s">
        <v>12</v>
      </c>
      <c r="C1643">
        <v>401</v>
      </c>
      <c r="D1643">
        <v>100</v>
      </c>
      <c r="E1643">
        <v>73</v>
      </c>
      <c r="F1643">
        <v>887</v>
      </c>
      <c r="G1643" s="3">
        <f t="shared" si="75"/>
        <v>109</v>
      </c>
      <c r="H1643" s="4">
        <f t="shared" si="76"/>
        <v>0.12288613303269447</v>
      </c>
      <c r="I1643" s="1">
        <f t="shared" si="77"/>
        <v>13</v>
      </c>
    </row>
    <row r="1644" spans="1:9" hidden="1" x14ac:dyDescent="0.2">
      <c r="A1644" s="6">
        <v>43909.708333333336</v>
      </c>
      <c r="B1644" s="1" t="s">
        <v>12</v>
      </c>
      <c r="C1644">
        <v>491</v>
      </c>
      <c r="D1644">
        <v>112</v>
      </c>
      <c r="E1644">
        <v>91</v>
      </c>
      <c r="F1644">
        <v>1059</v>
      </c>
      <c r="G1644" s="3">
        <f t="shared" si="75"/>
        <v>172</v>
      </c>
      <c r="H1644" s="4">
        <f t="shared" si="76"/>
        <v>0.16241737488196417</v>
      </c>
      <c r="I1644" s="1">
        <f t="shared" si="77"/>
        <v>18</v>
      </c>
    </row>
    <row r="1645" spans="1:9" hidden="1" x14ac:dyDescent="0.2">
      <c r="A1645" s="6">
        <v>43910.708333333336</v>
      </c>
      <c r="B1645" s="1" t="s">
        <v>12</v>
      </c>
      <c r="C1645">
        <v>573</v>
      </c>
      <c r="D1645">
        <v>121</v>
      </c>
      <c r="E1645">
        <v>119</v>
      </c>
      <c r="F1645">
        <v>1221</v>
      </c>
      <c r="G1645" s="3">
        <f t="shared" si="75"/>
        <v>162</v>
      </c>
      <c r="H1645" s="4">
        <f t="shared" si="76"/>
        <v>0.13267813267813267</v>
      </c>
      <c r="I1645" s="1">
        <f t="shared" si="77"/>
        <v>28</v>
      </c>
    </row>
    <row r="1646" spans="1:9" hidden="1" x14ac:dyDescent="0.2">
      <c r="A1646" s="6">
        <v>43911.708333333336</v>
      </c>
      <c r="B1646" s="1" t="s">
        <v>12</v>
      </c>
      <c r="C1646">
        <v>598</v>
      </c>
      <c r="D1646">
        <v>129</v>
      </c>
      <c r="E1646">
        <v>152</v>
      </c>
      <c r="F1646">
        <v>1436</v>
      </c>
      <c r="G1646" s="3">
        <f t="shared" si="75"/>
        <v>215</v>
      </c>
      <c r="H1646" s="4">
        <f t="shared" si="76"/>
        <v>0.14972144846796653</v>
      </c>
      <c r="I1646" s="1">
        <f t="shared" si="77"/>
        <v>33</v>
      </c>
    </row>
    <row r="1647" spans="1:9" hidden="1" x14ac:dyDescent="0.2">
      <c r="A1647" s="6">
        <v>43912.708333333336</v>
      </c>
      <c r="B1647" s="1" t="s">
        <v>12</v>
      </c>
      <c r="C1647">
        <v>736</v>
      </c>
      <c r="D1647">
        <v>132</v>
      </c>
      <c r="E1647">
        <v>171</v>
      </c>
      <c r="F1647">
        <v>1665</v>
      </c>
      <c r="G1647" s="3">
        <f t="shared" si="75"/>
        <v>229</v>
      </c>
      <c r="H1647" s="4">
        <f t="shared" si="76"/>
        <v>0.1375375375375375</v>
      </c>
      <c r="I1647" s="1">
        <f t="shared" si="77"/>
        <v>19</v>
      </c>
    </row>
    <row r="1648" spans="1:9" hidden="1" x14ac:dyDescent="0.2">
      <c r="A1648" s="6">
        <v>43913.708333333336</v>
      </c>
      <c r="B1648" s="1" t="s">
        <v>12</v>
      </c>
      <c r="C1648">
        <v>761</v>
      </c>
      <c r="D1648">
        <v>133</v>
      </c>
      <c r="E1648">
        <v>212</v>
      </c>
      <c r="F1648">
        <v>1924</v>
      </c>
      <c r="G1648" s="3">
        <f t="shared" si="75"/>
        <v>259</v>
      </c>
      <c r="H1648" s="4">
        <f t="shared" si="76"/>
        <v>0.13461538461538458</v>
      </c>
      <c r="I1648" s="1">
        <f t="shared" si="77"/>
        <v>41</v>
      </c>
    </row>
    <row r="1649" spans="1:9" hidden="1" x14ac:dyDescent="0.2">
      <c r="A1649" s="6">
        <v>43914.708333333336</v>
      </c>
      <c r="B1649" s="1" t="s">
        <v>12</v>
      </c>
      <c r="C1649">
        <v>803</v>
      </c>
      <c r="D1649">
        <v>147</v>
      </c>
      <c r="E1649">
        <v>231</v>
      </c>
      <c r="F1649">
        <v>2116</v>
      </c>
      <c r="G1649" s="3">
        <f t="shared" si="75"/>
        <v>192</v>
      </c>
      <c r="H1649" s="4">
        <f t="shared" si="76"/>
        <v>9.0737240075614345E-2</v>
      </c>
      <c r="I1649" s="1">
        <f t="shared" si="77"/>
        <v>19</v>
      </c>
    </row>
    <row r="1650" spans="1:9" hidden="1" x14ac:dyDescent="0.2">
      <c r="A1650" s="6">
        <v>43915.708333333336</v>
      </c>
      <c r="B1650" s="1" t="s">
        <v>12</v>
      </c>
      <c r="C1650">
        <v>927</v>
      </c>
      <c r="D1650">
        <v>147</v>
      </c>
      <c r="E1650">
        <v>254</v>
      </c>
      <c r="F1650">
        <v>2305</v>
      </c>
      <c r="G1650" s="3">
        <f t="shared" si="75"/>
        <v>189</v>
      </c>
      <c r="H1650" s="4">
        <f t="shared" si="76"/>
        <v>8.1995661605206105E-2</v>
      </c>
      <c r="I1650" s="1">
        <f t="shared" si="77"/>
        <v>23</v>
      </c>
    </row>
    <row r="1651" spans="1:9" hidden="1" x14ac:dyDescent="0.2">
      <c r="A1651" s="6">
        <v>43916.708333333336</v>
      </c>
      <c r="B1651" s="1" t="s">
        <v>12</v>
      </c>
      <c r="C1651">
        <v>998</v>
      </c>
      <c r="D1651">
        <v>154</v>
      </c>
      <c r="E1651">
        <v>280</v>
      </c>
      <c r="F1651">
        <v>2567</v>
      </c>
      <c r="G1651" s="3">
        <f t="shared" si="75"/>
        <v>262</v>
      </c>
      <c r="H1651" s="4">
        <f t="shared" si="76"/>
        <v>0.10206466692637317</v>
      </c>
      <c r="I1651" s="1">
        <f t="shared" si="77"/>
        <v>26</v>
      </c>
    </row>
    <row r="1652" spans="1:9" hidden="1" x14ac:dyDescent="0.2">
      <c r="A1652" s="6">
        <v>43917.708333333336</v>
      </c>
      <c r="B1652" s="1" t="s">
        <v>12</v>
      </c>
      <c r="C1652">
        <v>1023</v>
      </c>
      <c r="D1652">
        <v>157</v>
      </c>
      <c r="E1652">
        <v>331</v>
      </c>
      <c r="F1652">
        <v>2696</v>
      </c>
      <c r="G1652" s="3">
        <f t="shared" si="75"/>
        <v>129</v>
      </c>
      <c r="H1652" s="4">
        <f t="shared" si="76"/>
        <v>4.78486646884273E-2</v>
      </c>
      <c r="I1652" s="1">
        <f t="shared" si="77"/>
        <v>51</v>
      </c>
    </row>
    <row r="1653" spans="1:9" hidden="1" x14ac:dyDescent="0.2">
      <c r="A1653" s="6">
        <v>43918.708333333336</v>
      </c>
      <c r="B1653" s="1" t="s">
        <v>12</v>
      </c>
      <c r="C1653">
        <v>1031</v>
      </c>
      <c r="D1653">
        <v>167</v>
      </c>
      <c r="E1653">
        <v>358</v>
      </c>
      <c r="F1653">
        <v>2822</v>
      </c>
      <c r="G1653" s="3">
        <f t="shared" si="75"/>
        <v>126</v>
      </c>
      <c r="H1653" s="4">
        <f t="shared" si="76"/>
        <v>4.4649184975194878E-2</v>
      </c>
      <c r="I1653" s="1">
        <f t="shared" si="77"/>
        <v>27</v>
      </c>
    </row>
    <row r="1654" spans="1:9" hidden="1" x14ac:dyDescent="0.2">
      <c r="A1654" s="6">
        <v>43919.708333333336</v>
      </c>
      <c r="B1654" s="1" t="s">
        <v>12</v>
      </c>
      <c r="C1654">
        <v>1077</v>
      </c>
      <c r="D1654">
        <v>166</v>
      </c>
      <c r="E1654">
        <v>377</v>
      </c>
      <c r="F1654">
        <v>3076</v>
      </c>
      <c r="G1654" s="3">
        <f t="shared" si="75"/>
        <v>254</v>
      </c>
      <c r="H1654" s="4">
        <f t="shared" si="76"/>
        <v>8.2574772431729504E-2</v>
      </c>
      <c r="I1654" s="1">
        <f t="shared" si="77"/>
        <v>19</v>
      </c>
    </row>
    <row r="1655" spans="1:9" hidden="1" x14ac:dyDescent="0.2">
      <c r="A1655" s="6">
        <v>43920.708333333336</v>
      </c>
      <c r="B1655" s="1" t="s">
        <v>12</v>
      </c>
      <c r="C1655">
        <v>1142</v>
      </c>
      <c r="D1655">
        <v>175</v>
      </c>
      <c r="E1655">
        <v>397</v>
      </c>
      <c r="F1655">
        <v>3217</v>
      </c>
      <c r="G1655" s="3">
        <f t="shared" si="75"/>
        <v>141</v>
      </c>
      <c r="H1655" s="4">
        <f t="shared" si="76"/>
        <v>4.382965495803548E-2</v>
      </c>
      <c r="I1655" s="1">
        <f t="shared" si="77"/>
        <v>20</v>
      </c>
    </row>
    <row r="1656" spans="1:9" hidden="1" x14ac:dyDescent="0.2">
      <c r="A1656" s="6">
        <v>43921.708333333336</v>
      </c>
      <c r="B1656" s="1" t="s">
        <v>12</v>
      </c>
      <c r="C1656">
        <v>1153</v>
      </c>
      <c r="D1656">
        <v>179</v>
      </c>
      <c r="E1656">
        <v>428</v>
      </c>
      <c r="F1656">
        <v>3416</v>
      </c>
      <c r="G1656" s="3">
        <f t="shared" si="75"/>
        <v>199</v>
      </c>
      <c r="H1656" s="4">
        <f t="shared" si="76"/>
        <v>5.8255269320843128E-2</v>
      </c>
      <c r="I1656" s="1">
        <f t="shared" si="77"/>
        <v>31</v>
      </c>
    </row>
    <row r="1657" spans="1:9" hidden="1" x14ac:dyDescent="0.2">
      <c r="A1657" s="6">
        <v>43922.708333333336</v>
      </c>
      <c r="B1657" s="1" t="s">
        <v>12</v>
      </c>
      <c r="C1657">
        <v>1114</v>
      </c>
      <c r="D1657">
        <v>179</v>
      </c>
      <c r="E1657">
        <v>460</v>
      </c>
      <c r="F1657">
        <v>3660</v>
      </c>
      <c r="G1657" s="3">
        <f t="shared" si="75"/>
        <v>244</v>
      </c>
      <c r="H1657" s="4">
        <f t="shared" si="76"/>
        <v>6.6666666666666652E-2</v>
      </c>
      <c r="I1657" s="1">
        <f t="shared" si="77"/>
        <v>32</v>
      </c>
    </row>
    <row r="1658" spans="1:9" hidden="1" x14ac:dyDescent="0.2">
      <c r="A1658" s="6">
        <v>43923.708333333336</v>
      </c>
      <c r="B1658" s="1" t="s">
        <v>12</v>
      </c>
      <c r="C1658">
        <v>1120</v>
      </c>
      <c r="D1658">
        <v>172</v>
      </c>
      <c r="E1658">
        <v>488</v>
      </c>
      <c r="F1658">
        <v>3782</v>
      </c>
      <c r="G1658" s="3">
        <f t="shared" si="75"/>
        <v>122</v>
      </c>
      <c r="H1658" s="4">
        <f t="shared" si="76"/>
        <v>3.2258064516129004E-2</v>
      </c>
      <c r="I1658" s="1">
        <f t="shared" si="77"/>
        <v>28</v>
      </c>
    </row>
    <row r="1659" spans="1:9" hidden="1" x14ac:dyDescent="0.2">
      <c r="A1659" s="6">
        <v>43924.708333333336</v>
      </c>
      <c r="B1659" s="1" t="s">
        <v>12</v>
      </c>
      <c r="C1659">
        <v>1147</v>
      </c>
      <c r="D1659">
        <v>173</v>
      </c>
      <c r="E1659">
        <v>519</v>
      </c>
      <c r="F1659">
        <v>3965</v>
      </c>
      <c r="G1659" s="3">
        <f t="shared" si="75"/>
        <v>183</v>
      </c>
      <c r="H1659" s="4">
        <f t="shared" si="76"/>
        <v>4.6153846153846101E-2</v>
      </c>
      <c r="I1659" s="1">
        <f t="shared" si="77"/>
        <v>31</v>
      </c>
    </row>
    <row r="1660" spans="1:9" hidden="1" x14ac:dyDescent="0.2">
      <c r="A1660" s="6">
        <v>43925.708333333336</v>
      </c>
      <c r="B1660" s="1" t="s">
        <v>12</v>
      </c>
      <c r="C1660">
        <v>1121</v>
      </c>
      <c r="D1660">
        <v>169</v>
      </c>
      <c r="E1660">
        <v>542</v>
      </c>
      <c r="F1660">
        <v>4203</v>
      </c>
      <c r="G1660" s="3">
        <f t="shared" si="75"/>
        <v>238</v>
      </c>
      <c r="H1660" s="4">
        <f t="shared" si="76"/>
        <v>5.6626219367118757E-2</v>
      </c>
      <c r="I1660" s="1">
        <f t="shared" si="77"/>
        <v>23</v>
      </c>
    </row>
    <row r="1661" spans="1:9" hidden="1" x14ac:dyDescent="0.2">
      <c r="A1661" s="6">
        <v>43926.708333333336</v>
      </c>
      <c r="B1661" s="1" t="s">
        <v>12</v>
      </c>
      <c r="C1661">
        <v>1126</v>
      </c>
      <c r="D1661">
        <v>165</v>
      </c>
      <c r="E1661">
        <v>556</v>
      </c>
      <c r="F1661">
        <v>4449</v>
      </c>
      <c r="G1661" s="3">
        <f t="shared" si="75"/>
        <v>246</v>
      </c>
      <c r="H1661" s="4">
        <f t="shared" si="76"/>
        <v>5.5293324342548855E-2</v>
      </c>
      <c r="I1661" s="1">
        <f t="shared" si="77"/>
        <v>14</v>
      </c>
    </row>
    <row r="1662" spans="1:9" hidden="1" x14ac:dyDescent="0.2">
      <c r="A1662" s="6">
        <v>43927.708333333336</v>
      </c>
      <c r="B1662" s="1" t="s">
        <v>12</v>
      </c>
      <c r="C1662">
        <v>1141</v>
      </c>
      <c r="D1662">
        <v>162</v>
      </c>
      <c r="E1662">
        <v>595</v>
      </c>
      <c r="F1662">
        <v>4549</v>
      </c>
      <c r="G1662" s="3">
        <f t="shared" si="75"/>
        <v>100</v>
      </c>
      <c r="H1662" s="4">
        <f t="shared" si="76"/>
        <v>2.1982853374368005E-2</v>
      </c>
      <c r="I1662" s="1">
        <f t="shared" si="77"/>
        <v>39</v>
      </c>
    </row>
    <row r="1663" spans="1:9" hidden="1" x14ac:dyDescent="0.2">
      <c r="A1663" s="6">
        <v>43928.708333333336</v>
      </c>
      <c r="B1663" s="1" t="s">
        <v>12</v>
      </c>
      <c r="C1663">
        <v>1090</v>
      </c>
      <c r="D1663">
        <v>156</v>
      </c>
      <c r="E1663">
        <v>620</v>
      </c>
      <c r="F1663">
        <v>4757</v>
      </c>
      <c r="G1663" s="3">
        <f t="shared" si="75"/>
        <v>208</v>
      </c>
      <c r="H1663" s="4">
        <f t="shared" si="76"/>
        <v>4.3725036787891525E-2</v>
      </c>
      <c r="I1663" s="1">
        <f t="shared" si="77"/>
        <v>25</v>
      </c>
    </row>
    <row r="1664" spans="1:9" hidden="1" x14ac:dyDescent="0.2">
      <c r="A1664" s="6">
        <v>43929.708333333336</v>
      </c>
      <c r="B1664" s="1" t="s">
        <v>12</v>
      </c>
      <c r="C1664">
        <v>1109</v>
      </c>
      <c r="D1664">
        <v>153</v>
      </c>
      <c r="E1664">
        <v>654</v>
      </c>
      <c r="F1664">
        <v>4906</v>
      </c>
      <c r="G1664" s="3">
        <f t="shared" si="75"/>
        <v>149</v>
      </c>
      <c r="H1664" s="4">
        <f t="shared" si="76"/>
        <v>3.0370974317162625E-2</v>
      </c>
      <c r="I1664" s="1">
        <f t="shared" si="77"/>
        <v>34</v>
      </c>
    </row>
    <row r="1665" spans="1:9" hidden="1" x14ac:dyDescent="0.2">
      <c r="A1665" s="6">
        <v>43930.708333333336</v>
      </c>
      <c r="B1665" s="1" t="s">
        <v>12</v>
      </c>
      <c r="C1665">
        <v>1103</v>
      </c>
      <c r="D1665">
        <v>154</v>
      </c>
      <c r="E1665">
        <v>682</v>
      </c>
      <c r="F1665">
        <v>5020</v>
      </c>
      <c r="G1665" s="3">
        <f t="shared" si="75"/>
        <v>114</v>
      </c>
      <c r="H1665" s="4">
        <f t="shared" si="76"/>
        <v>2.2709163346613548E-2</v>
      </c>
      <c r="I1665" s="1">
        <f t="shared" si="77"/>
        <v>28</v>
      </c>
    </row>
    <row r="1666" spans="1:9" hidden="1" x14ac:dyDescent="0.2">
      <c r="A1666" s="6">
        <v>43931.708333333336</v>
      </c>
      <c r="B1666" s="1" t="s">
        <v>12</v>
      </c>
      <c r="C1666">
        <v>1076</v>
      </c>
      <c r="D1666">
        <v>151</v>
      </c>
      <c r="E1666">
        <v>709</v>
      </c>
      <c r="F1666">
        <v>5191</v>
      </c>
      <c r="G1666" s="3">
        <f t="shared" si="75"/>
        <v>171</v>
      </c>
      <c r="H1666" s="4">
        <f t="shared" si="76"/>
        <v>3.2941629743787337E-2</v>
      </c>
      <c r="I1666" s="1">
        <f t="shared" si="77"/>
        <v>27</v>
      </c>
    </row>
    <row r="1667" spans="1:9" hidden="1" x14ac:dyDescent="0.2">
      <c r="A1667" s="6">
        <v>43932.708333333336</v>
      </c>
      <c r="B1667" s="1" t="s">
        <v>12</v>
      </c>
      <c r="C1667">
        <v>1003</v>
      </c>
      <c r="D1667">
        <v>146</v>
      </c>
      <c r="E1667">
        <v>734</v>
      </c>
      <c r="F1667">
        <v>5376</v>
      </c>
      <c r="G1667" s="3">
        <f t="shared" ref="G1667:G1730" si="78">IF(AND(F1667&gt;0,AND(B1667=B1666,F1667&gt;0)),F1667-F1666,0)</f>
        <v>185</v>
      </c>
      <c r="H1667" s="4">
        <f t="shared" ref="H1667:H1730" si="79">IF(AND(F1666&gt;0,AND(B1667=B1666,F1666&gt;0)),1-(F1666/F1667),0)</f>
        <v>3.4412202380952328E-2</v>
      </c>
      <c r="I1667" s="1">
        <f t="shared" ref="I1667:I1730" si="80">IF(AND(E1667&gt;0,AND(B1667=B1666,E1667&gt;0)),E1667-E1666,0)</f>
        <v>25</v>
      </c>
    </row>
    <row r="1668" spans="1:9" hidden="1" x14ac:dyDescent="0.2">
      <c r="A1668" s="6">
        <v>43933.708333333336</v>
      </c>
      <c r="B1668" s="1" t="s">
        <v>12</v>
      </c>
      <c r="C1668">
        <v>1032</v>
      </c>
      <c r="D1668">
        <v>144</v>
      </c>
      <c r="E1668">
        <v>749</v>
      </c>
      <c r="F1668">
        <v>5494</v>
      </c>
      <c r="G1668" s="3">
        <f t="shared" si="78"/>
        <v>118</v>
      </c>
      <c r="H1668" s="4">
        <f t="shared" si="79"/>
        <v>2.1477975973789643E-2</v>
      </c>
      <c r="I1668" s="1">
        <f t="shared" si="80"/>
        <v>15</v>
      </c>
    </row>
    <row r="1669" spans="1:9" hidden="1" x14ac:dyDescent="0.2">
      <c r="A1669" s="6">
        <v>43934.708333333336</v>
      </c>
      <c r="B1669" s="1" t="s">
        <v>12</v>
      </c>
      <c r="C1669">
        <v>1088</v>
      </c>
      <c r="D1669">
        <v>138</v>
      </c>
      <c r="E1669">
        <v>760</v>
      </c>
      <c r="F1669">
        <v>5596</v>
      </c>
      <c r="G1669" s="3">
        <f t="shared" si="78"/>
        <v>102</v>
      </c>
      <c r="H1669" s="4">
        <f t="shared" si="79"/>
        <v>1.8227305218012857E-2</v>
      </c>
      <c r="I1669" s="1">
        <f t="shared" si="80"/>
        <v>11</v>
      </c>
    </row>
    <row r="1670" spans="1:9" hidden="1" x14ac:dyDescent="0.2">
      <c r="A1670" s="6">
        <v>43935.708333333336</v>
      </c>
      <c r="B1670" s="1" t="s">
        <v>12</v>
      </c>
      <c r="C1670">
        <v>967</v>
      </c>
      <c r="D1670">
        <v>133</v>
      </c>
      <c r="E1670">
        <v>793</v>
      </c>
      <c r="F1670">
        <v>5808</v>
      </c>
      <c r="G1670" s="3">
        <f t="shared" si="78"/>
        <v>212</v>
      </c>
      <c r="H1670" s="4">
        <f t="shared" si="79"/>
        <v>3.6501377410468328E-2</v>
      </c>
      <c r="I1670" s="1">
        <f t="shared" si="80"/>
        <v>33</v>
      </c>
    </row>
    <row r="1671" spans="1:9" hidden="1" x14ac:dyDescent="0.2">
      <c r="A1671" s="6">
        <v>43936.708333333336</v>
      </c>
      <c r="B1671" s="1" t="s">
        <v>12</v>
      </c>
      <c r="C1671">
        <v>959</v>
      </c>
      <c r="D1671">
        <v>120</v>
      </c>
      <c r="E1671">
        <v>807</v>
      </c>
      <c r="F1671">
        <v>5936</v>
      </c>
      <c r="G1671" s="3">
        <f t="shared" si="78"/>
        <v>128</v>
      </c>
      <c r="H1671" s="4">
        <f t="shared" si="79"/>
        <v>2.1563342318059342E-2</v>
      </c>
      <c r="I1671" s="1">
        <f t="shared" si="80"/>
        <v>14</v>
      </c>
    </row>
    <row r="1672" spans="1:9" hidden="1" x14ac:dyDescent="0.2">
      <c r="A1672" s="6">
        <v>43937.708333333336</v>
      </c>
      <c r="B1672" s="1" t="s">
        <v>12</v>
      </c>
      <c r="C1672">
        <v>957</v>
      </c>
      <c r="D1672">
        <v>103</v>
      </c>
      <c r="E1672">
        <v>828</v>
      </c>
      <c r="F1672">
        <v>6039</v>
      </c>
      <c r="G1672" s="3">
        <f t="shared" si="78"/>
        <v>103</v>
      </c>
      <c r="H1672" s="4">
        <f t="shared" si="79"/>
        <v>1.7055803941049885E-2</v>
      </c>
      <c r="I1672" s="1">
        <f t="shared" si="80"/>
        <v>21</v>
      </c>
    </row>
    <row r="1673" spans="1:9" hidden="1" x14ac:dyDescent="0.2">
      <c r="A1673" s="6">
        <v>43938.708333333336</v>
      </c>
      <c r="B1673" s="1" t="s">
        <v>12</v>
      </c>
      <c r="C1673">
        <v>897</v>
      </c>
      <c r="D1673">
        <v>105</v>
      </c>
      <c r="E1673">
        <v>866</v>
      </c>
      <c r="F1673">
        <v>6188</v>
      </c>
      <c r="G1673" s="3">
        <f t="shared" si="78"/>
        <v>149</v>
      </c>
      <c r="H1673" s="4">
        <f t="shared" si="79"/>
        <v>2.4078862314156457E-2</v>
      </c>
      <c r="I1673" s="1">
        <f t="shared" si="80"/>
        <v>38</v>
      </c>
    </row>
    <row r="1674" spans="1:9" hidden="1" x14ac:dyDescent="0.2">
      <c r="A1674" s="6">
        <v>43939.708333333336</v>
      </c>
      <c r="B1674" s="1" t="s">
        <v>12</v>
      </c>
      <c r="C1674">
        <v>901</v>
      </c>
      <c r="D1674">
        <v>105</v>
      </c>
      <c r="E1674">
        <v>897</v>
      </c>
      <c r="F1674">
        <v>6301</v>
      </c>
      <c r="G1674" s="3">
        <f t="shared" si="78"/>
        <v>113</v>
      </c>
      <c r="H1674" s="4">
        <f t="shared" si="79"/>
        <v>1.7933661323599415E-2</v>
      </c>
      <c r="I1674" s="1">
        <f t="shared" si="80"/>
        <v>31</v>
      </c>
    </row>
    <row r="1675" spans="1:9" hidden="1" x14ac:dyDescent="0.2">
      <c r="A1675" s="6">
        <v>43940.708333333336</v>
      </c>
      <c r="B1675" s="1" t="s">
        <v>12</v>
      </c>
      <c r="C1675">
        <v>885</v>
      </c>
      <c r="D1675">
        <v>101</v>
      </c>
      <c r="E1675">
        <v>928</v>
      </c>
      <c r="F1675">
        <v>6528</v>
      </c>
      <c r="G1675" s="3">
        <f t="shared" si="78"/>
        <v>227</v>
      </c>
      <c r="H1675" s="4">
        <f t="shared" si="79"/>
        <v>3.4773284313725505E-2</v>
      </c>
      <c r="I1675" s="1">
        <f t="shared" si="80"/>
        <v>31</v>
      </c>
    </row>
    <row r="1676" spans="1:9" hidden="1" x14ac:dyDescent="0.2">
      <c r="A1676" s="6">
        <v>43941.708333333336</v>
      </c>
      <c r="B1676" s="1" t="s">
        <v>12</v>
      </c>
      <c r="C1676">
        <v>878</v>
      </c>
      <c r="D1676">
        <v>102</v>
      </c>
      <c r="E1676">
        <v>957</v>
      </c>
      <c r="F1676">
        <v>6669</v>
      </c>
      <c r="G1676" s="3">
        <f t="shared" si="78"/>
        <v>141</v>
      </c>
      <c r="H1676" s="4">
        <f t="shared" si="79"/>
        <v>2.1142600089968488E-2</v>
      </c>
      <c r="I1676" s="1">
        <f t="shared" si="80"/>
        <v>29</v>
      </c>
    </row>
    <row r="1677" spans="1:9" hidden="1" x14ac:dyDescent="0.2">
      <c r="A1677" s="6">
        <v>43942.708333333336</v>
      </c>
      <c r="B1677" s="1" t="s">
        <v>12</v>
      </c>
      <c r="C1677">
        <v>914</v>
      </c>
      <c r="D1677">
        <v>94</v>
      </c>
      <c r="E1677">
        <v>990</v>
      </c>
      <c r="F1677">
        <v>6764</v>
      </c>
      <c r="G1677" s="3">
        <f t="shared" si="78"/>
        <v>95</v>
      </c>
      <c r="H1677" s="4">
        <f t="shared" si="79"/>
        <v>1.4044943820224698E-2</v>
      </c>
      <c r="I1677" s="1">
        <f t="shared" si="80"/>
        <v>33</v>
      </c>
    </row>
    <row r="1678" spans="1:9" hidden="1" x14ac:dyDescent="0.2">
      <c r="A1678" s="6">
        <v>43943.708333333336</v>
      </c>
      <c r="B1678" s="1" t="s">
        <v>12</v>
      </c>
      <c r="C1678">
        <v>860</v>
      </c>
      <c r="D1678">
        <v>92</v>
      </c>
      <c r="E1678">
        <v>1022</v>
      </c>
      <c r="F1678">
        <v>6918</v>
      </c>
      <c r="G1678" s="3">
        <f t="shared" si="78"/>
        <v>154</v>
      </c>
      <c r="H1678" s="4">
        <f t="shared" si="79"/>
        <v>2.2260769008383918E-2</v>
      </c>
      <c r="I1678" s="1">
        <f t="shared" si="80"/>
        <v>32</v>
      </c>
    </row>
    <row r="1679" spans="1:9" hidden="1" x14ac:dyDescent="0.2">
      <c r="A1679" s="6">
        <v>43944.708333333336</v>
      </c>
      <c r="B1679" s="1" t="s">
        <v>12</v>
      </c>
      <c r="C1679">
        <v>783</v>
      </c>
      <c r="D1679">
        <v>91</v>
      </c>
      <c r="E1679">
        <v>1047</v>
      </c>
      <c r="F1679">
        <v>7049</v>
      </c>
      <c r="G1679" s="3">
        <f t="shared" si="78"/>
        <v>131</v>
      </c>
      <c r="H1679" s="4">
        <f t="shared" si="79"/>
        <v>1.8584196339906378E-2</v>
      </c>
      <c r="I1679" s="1">
        <f t="shared" si="80"/>
        <v>25</v>
      </c>
    </row>
    <row r="1680" spans="1:9" hidden="1" x14ac:dyDescent="0.2">
      <c r="A1680" s="6">
        <v>43945.708333333336</v>
      </c>
      <c r="B1680" s="1" t="s">
        <v>12</v>
      </c>
      <c r="C1680">
        <v>760</v>
      </c>
      <c r="D1680">
        <v>87</v>
      </c>
      <c r="E1680">
        <v>1076</v>
      </c>
      <c r="F1680">
        <v>7173</v>
      </c>
      <c r="G1680" s="3">
        <f t="shared" si="78"/>
        <v>124</v>
      </c>
      <c r="H1680" s="4">
        <f t="shared" si="79"/>
        <v>1.7287048654677228E-2</v>
      </c>
      <c r="I1680" s="1">
        <f t="shared" si="80"/>
        <v>29</v>
      </c>
    </row>
    <row r="1681" spans="1:9" hidden="1" x14ac:dyDescent="0.2">
      <c r="A1681" s="6">
        <v>43946.708333333336</v>
      </c>
      <c r="B1681" s="1" t="s">
        <v>12</v>
      </c>
      <c r="C1681">
        <v>759</v>
      </c>
      <c r="D1681">
        <v>83</v>
      </c>
      <c r="E1681">
        <v>1093</v>
      </c>
      <c r="F1681">
        <v>7301</v>
      </c>
      <c r="G1681" s="3">
        <f t="shared" si="78"/>
        <v>128</v>
      </c>
      <c r="H1681" s="4">
        <f t="shared" si="79"/>
        <v>1.7531844952746178E-2</v>
      </c>
      <c r="I1681" s="1">
        <f t="shared" si="80"/>
        <v>17</v>
      </c>
    </row>
    <row r="1682" spans="1:9" hidden="1" x14ac:dyDescent="0.2">
      <c r="A1682" s="6">
        <v>43947.708333333336</v>
      </c>
      <c r="B1682" s="1" t="s">
        <v>12</v>
      </c>
      <c r="C1682">
        <v>748</v>
      </c>
      <c r="D1682">
        <v>82</v>
      </c>
      <c r="E1682">
        <v>1114</v>
      </c>
      <c r="F1682">
        <v>7488</v>
      </c>
      <c r="G1682" s="3">
        <f t="shared" si="78"/>
        <v>187</v>
      </c>
      <c r="H1682" s="4">
        <f t="shared" si="79"/>
        <v>2.4973290598290565E-2</v>
      </c>
      <c r="I1682" s="1">
        <f t="shared" si="80"/>
        <v>21</v>
      </c>
    </row>
    <row r="1683" spans="1:9" hidden="1" x14ac:dyDescent="0.2">
      <c r="A1683" s="6">
        <v>43948.708333333336</v>
      </c>
      <c r="B1683" s="1" t="s">
        <v>12</v>
      </c>
      <c r="C1683">
        <v>754</v>
      </c>
      <c r="D1683">
        <v>83</v>
      </c>
      <c r="E1683">
        <v>1128</v>
      </c>
      <c r="F1683">
        <v>7642</v>
      </c>
      <c r="G1683" s="3">
        <f t="shared" si="78"/>
        <v>154</v>
      </c>
      <c r="H1683" s="4">
        <f t="shared" si="79"/>
        <v>2.0151792724417694E-2</v>
      </c>
      <c r="I1683" s="1">
        <f t="shared" si="80"/>
        <v>14</v>
      </c>
    </row>
    <row r="1684" spans="1:9" hidden="1" x14ac:dyDescent="0.2">
      <c r="A1684" s="6">
        <v>43949.708333333336</v>
      </c>
      <c r="B1684" s="1" t="s">
        <v>12</v>
      </c>
      <c r="C1684">
        <v>718</v>
      </c>
      <c r="D1684">
        <v>81</v>
      </c>
      <c r="E1684">
        <v>1141</v>
      </c>
      <c r="F1684">
        <v>7772</v>
      </c>
      <c r="G1684" s="3">
        <f t="shared" si="78"/>
        <v>130</v>
      </c>
      <c r="H1684" s="4">
        <f t="shared" si="79"/>
        <v>1.6726711271230044E-2</v>
      </c>
      <c r="I1684" s="1">
        <f t="shared" si="80"/>
        <v>13</v>
      </c>
    </row>
    <row r="1685" spans="1:9" hidden="1" x14ac:dyDescent="0.2">
      <c r="A1685" s="6">
        <v>43950.708333333336</v>
      </c>
      <c r="B1685" s="1" t="s">
        <v>12</v>
      </c>
      <c r="C1685">
        <v>697</v>
      </c>
      <c r="D1685">
        <v>70</v>
      </c>
      <c r="E1685">
        <v>1152</v>
      </c>
      <c r="F1685">
        <v>7889</v>
      </c>
      <c r="G1685" s="3">
        <f t="shared" si="78"/>
        <v>117</v>
      </c>
      <c r="H1685" s="4">
        <f t="shared" si="79"/>
        <v>1.4830777031309417E-2</v>
      </c>
      <c r="I1685" s="1">
        <f t="shared" si="80"/>
        <v>11</v>
      </c>
    </row>
    <row r="1686" spans="1:9" hidden="1" x14ac:dyDescent="0.2">
      <c r="A1686" s="6">
        <v>43951.708333333336</v>
      </c>
      <c r="B1686" s="1" t="s">
        <v>12</v>
      </c>
      <c r="C1686">
        <v>676</v>
      </c>
      <c r="D1686">
        <v>69</v>
      </c>
      <c r="E1686">
        <v>1167</v>
      </c>
      <c r="F1686">
        <v>7993</v>
      </c>
      <c r="G1686" s="3">
        <f t="shared" si="78"/>
        <v>104</v>
      </c>
      <c r="H1686" s="4">
        <f t="shared" si="79"/>
        <v>1.3011384961841621E-2</v>
      </c>
      <c r="I1686" s="1">
        <f t="shared" si="80"/>
        <v>15</v>
      </c>
    </row>
    <row r="1687" spans="1:9" hidden="1" x14ac:dyDescent="0.2">
      <c r="A1687" s="6">
        <v>43952.708333333336</v>
      </c>
      <c r="B1687" s="1" t="s">
        <v>12</v>
      </c>
      <c r="C1687">
        <v>666</v>
      </c>
      <c r="D1687">
        <v>68</v>
      </c>
      <c r="E1687">
        <v>1184</v>
      </c>
      <c r="F1687">
        <v>8126</v>
      </c>
      <c r="G1687" s="3">
        <f t="shared" si="78"/>
        <v>133</v>
      </c>
      <c r="H1687" s="4">
        <f t="shared" si="79"/>
        <v>1.6367216342603963E-2</v>
      </c>
      <c r="I1687" s="1">
        <f t="shared" si="80"/>
        <v>17</v>
      </c>
    </row>
    <row r="1688" spans="1:9" hidden="1" x14ac:dyDescent="0.2">
      <c r="A1688" s="6">
        <v>43953.708333333336</v>
      </c>
      <c r="B1688" s="1" t="s">
        <v>12</v>
      </c>
      <c r="C1688">
        <v>647</v>
      </c>
      <c r="D1688">
        <v>68</v>
      </c>
      <c r="E1688">
        <v>1195</v>
      </c>
      <c r="F1688">
        <v>8312</v>
      </c>
      <c r="G1688" s="3">
        <f t="shared" si="78"/>
        <v>186</v>
      </c>
      <c r="H1688" s="4">
        <f t="shared" si="79"/>
        <v>2.237728585178056E-2</v>
      </c>
      <c r="I1688" s="1">
        <f t="shared" si="80"/>
        <v>11</v>
      </c>
    </row>
    <row r="1689" spans="1:9" hidden="1" x14ac:dyDescent="0.2">
      <c r="A1689" s="6">
        <v>43954.708333333336</v>
      </c>
      <c r="B1689" s="1" t="s">
        <v>12</v>
      </c>
      <c r="C1689">
        <v>627</v>
      </c>
      <c r="D1689">
        <v>68</v>
      </c>
      <c r="E1689">
        <v>1209</v>
      </c>
      <c r="F1689">
        <v>8359</v>
      </c>
      <c r="G1689" s="3">
        <f t="shared" si="78"/>
        <v>47</v>
      </c>
      <c r="H1689" s="4">
        <f t="shared" si="79"/>
        <v>5.6226821390118475E-3</v>
      </c>
      <c r="I1689" s="1">
        <f t="shared" si="80"/>
        <v>14</v>
      </c>
    </row>
    <row r="1690" spans="1:9" hidden="1" x14ac:dyDescent="0.2">
      <c r="A1690" s="6">
        <v>43955.708333333336</v>
      </c>
      <c r="B1690" s="1" t="s">
        <v>12</v>
      </c>
      <c r="C1690">
        <v>606</v>
      </c>
      <c r="D1690">
        <v>72</v>
      </c>
      <c r="E1690">
        <v>1221</v>
      </c>
      <c r="F1690">
        <v>8412</v>
      </c>
      <c r="G1690" s="3">
        <f t="shared" si="78"/>
        <v>53</v>
      </c>
      <c r="H1690" s="4">
        <f t="shared" si="79"/>
        <v>6.3005230622920072E-3</v>
      </c>
      <c r="I1690" s="1">
        <f t="shared" si="80"/>
        <v>12</v>
      </c>
    </row>
    <row r="1691" spans="1:9" hidden="1" x14ac:dyDescent="0.2">
      <c r="A1691" s="6">
        <v>43956.708333333336</v>
      </c>
      <c r="B1691" s="1" t="s">
        <v>12</v>
      </c>
      <c r="C1691">
        <v>583</v>
      </c>
      <c r="D1691">
        <v>68</v>
      </c>
      <c r="E1691">
        <v>1232</v>
      </c>
      <c r="F1691">
        <v>8475</v>
      </c>
      <c r="G1691" s="3">
        <f t="shared" si="78"/>
        <v>63</v>
      </c>
      <c r="H1691" s="4">
        <f t="shared" si="79"/>
        <v>7.4336283185840735E-3</v>
      </c>
      <c r="I1691" s="1">
        <f t="shared" si="80"/>
        <v>11</v>
      </c>
    </row>
    <row r="1692" spans="1:9" hidden="1" x14ac:dyDescent="0.2">
      <c r="A1692" s="6">
        <v>43957.708333333336</v>
      </c>
      <c r="B1692" s="1" t="s">
        <v>12</v>
      </c>
      <c r="C1692">
        <v>548</v>
      </c>
      <c r="D1692">
        <v>59</v>
      </c>
      <c r="E1692">
        <v>1243</v>
      </c>
      <c r="F1692">
        <v>8551</v>
      </c>
      <c r="G1692" s="3">
        <f t="shared" si="78"/>
        <v>76</v>
      </c>
      <c r="H1692" s="4">
        <f t="shared" si="79"/>
        <v>8.8878493743421716E-3</v>
      </c>
      <c r="I1692" s="1">
        <f t="shared" si="80"/>
        <v>11</v>
      </c>
    </row>
    <row r="1693" spans="1:9" hidden="1" x14ac:dyDescent="0.2">
      <c r="A1693" s="6">
        <v>43958.708333333336</v>
      </c>
      <c r="B1693" s="1" t="s">
        <v>12</v>
      </c>
      <c r="C1693">
        <v>525</v>
      </c>
      <c r="D1693">
        <v>57</v>
      </c>
      <c r="E1693">
        <v>1254</v>
      </c>
      <c r="F1693">
        <v>8645</v>
      </c>
      <c r="G1693" s="3">
        <f t="shared" si="78"/>
        <v>94</v>
      </c>
      <c r="H1693" s="4">
        <f t="shared" si="79"/>
        <v>1.0873337189126642E-2</v>
      </c>
      <c r="I1693" s="1">
        <f t="shared" si="80"/>
        <v>11</v>
      </c>
    </row>
    <row r="1694" spans="1:9" hidden="1" x14ac:dyDescent="0.2">
      <c r="A1694" s="6">
        <v>43959.708333333336</v>
      </c>
      <c r="B1694" s="1" t="s">
        <v>12</v>
      </c>
      <c r="C1694">
        <v>517</v>
      </c>
      <c r="D1694">
        <v>46</v>
      </c>
      <c r="E1694">
        <v>1265</v>
      </c>
      <c r="F1694">
        <v>8723</v>
      </c>
      <c r="G1694" s="3">
        <f t="shared" si="78"/>
        <v>78</v>
      </c>
      <c r="H1694" s="4">
        <f t="shared" si="79"/>
        <v>8.941877794336861E-3</v>
      </c>
      <c r="I1694" s="1">
        <f t="shared" si="80"/>
        <v>11</v>
      </c>
    </row>
    <row r="1695" spans="1:9" hidden="1" x14ac:dyDescent="0.2">
      <c r="A1695" s="6">
        <v>43960.708333333336</v>
      </c>
      <c r="B1695" s="1" t="s">
        <v>12</v>
      </c>
      <c r="C1695">
        <v>501</v>
      </c>
      <c r="D1695">
        <v>42</v>
      </c>
      <c r="E1695">
        <v>1276</v>
      </c>
      <c r="F1695">
        <v>8738</v>
      </c>
      <c r="G1695" s="3">
        <f t="shared" si="78"/>
        <v>15</v>
      </c>
      <c r="H1695" s="4">
        <f t="shared" si="79"/>
        <v>1.7166399633783413E-3</v>
      </c>
      <c r="I1695" s="1">
        <f t="shared" si="80"/>
        <v>11</v>
      </c>
    </row>
    <row r="1696" spans="1:9" hidden="1" x14ac:dyDescent="0.2">
      <c r="A1696" s="6">
        <v>43961.708333333336</v>
      </c>
      <c r="B1696" s="1" t="s">
        <v>12</v>
      </c>
      <c r="C1696">
        <v>481</v>
      </c>
      <c r="D1696">
        <v>41</v>
      </c>
      <c r="E1696">
        <v>1281</v>
      </c>
      <c r="F1696">
        <v>8788</v>
      </c>
      <c r="G1696" s="3">
        <f t="shared" si="78"/>
        <v>50</v>
      </c>
      <c r="H1696" s="4">
        <f t="shared" si="79"/>
        <v>5.6895766954938587E-3</v>
      </c>
      <c r="I1696" s="1">
        <f t="shared" si="80"/>
        <v>5</v>
      </c>
    </row>
    <row r="1697" spans="1:9" hidden="1" x14ac:dyDescent="0.2">
      <c r="A1697" s="6">
        <v>43962.708333333336</v>
      </c>
      <c r="B1697" s="1" t="s">
        <v>12</v>
      </c>
      <c r="C1697">
        <v>484</v>
      </c>
      <c r="D1697">
        <v>38</v>
      </c>
      <c r="E1697">
        <v>1293</v>
      </c>
      <c r="F1697">
        <v>8832</v>
      </c>
      <c r="G1697" s="3">
        <f t="shared" si="78"/>
        <v>44</v>
      </c>
      <c r="H1697" s="4">
        <f t="shared" si="79"/>
        <v>4.9818840579710644E-3</v>
      </c>
      <c r="I1697" s="1">
        <f t="shared" si="80"/>
        <v>12</v>
      </c>
    </row>
    <row r="1698" spans="1:9" hidden="1" x14ac:dyDescent="0.2">
      <c r="A1698" s="6">
        <v>43963.708333333336</v>
      </c>
      <c r="B1698" s="1" t="s">
        <v>12</v>
      </c>
      <c r="C1698">
        <v>447</v>
      </c>
      <c r="D1698">
        <v>35</v>
      </c>
      <c r="E1698">
        <v>1301</v>
      </c>
      <c r="F1698">
        <v>8863</v>
      </c>
      <c r="G1698" s="3">
        <f t="shared" si="78"/>
        <v>31</v>
      </c>
      <c r="H1698" s="4">
        <f t="shared" si="79"/>
        <v>3.4976870134265647E-3</v>
      </c>
      <c r="I1698" s="1">
        <f t="shared" si="80"/>
        <v>8</v>
      </c>
    </row>
    <row r="1699" spans="1:9" hidden="1" x14ac:dyDescent="0.2">
      <c r="A1699" s="6">
        <v>43964.708333333336</v>
      </c>
      <c r="B1699" s="1" t="s">
        <v>12</v>
      </c>
      <c r="C1699">
        <v>430</v>
      </c>
      <c r="D1699">
        <v>35</v>
      </c>
      <c r="E1699">
        <v>1314</v>
      </c>
      <c r="F1699">
        <v>8930</v>
      </c>
      <c r="G1699" s="3">
        <f t="shared" si="78"/>
        <v>67</v>
      </c>
      <c r="H1699" s="4">
        <f t="shared" si="79"/>
        <v>7.5027995520716706E-3</v>
      </c>
      <c r="I1699" s="1">
        <f t="shared" si="80"/>
        <v>13</v>
      </c>
    </row>
    <row r="1700" spans="1:9" hidden="1" x14ac:dyDescent="0.2">
      <c r="A1700" s="6">
        <v>43965.708333333336</v>
      </c>
      <c r="B1700" s="1" t="s">
        <v>12</v>
      </c>
      <c r="C1700">
        <v>408</v>
      </c>
      <c r="D1700">
        <v>35</v>
      </c>
      <c r="E1700">
        <v>1329</v>
      </c>
      <c r="F1700">
        <v>8995</v>
      </c>
      <c r="G1700" s="3">
        <f t="shared" si="78"/>
        <v>65</v>
      </c>
      <c r="H1700" s="4">
        <f t="shared" si="79"/>
        <v>7.2262367982212083E-3</v>
      </c>
      <c r="I1700" s="1">
        <f t="shared" si="80"/>
        <v>15</v>
      </c>
    </row>
    <row r="1701" spans="1:9" hidden="1" x14ac:dyDescent="0.2">
      <c r="A1701" s="6">
        <v>43966.708333333336</v>
      </c>
      <c r="B1701" s="1" t="s">
        <v>12</v>
      </c>
      <c r="C1701">
        <v>385</v>
      </c>
      <c r="D1701">
        <v>31</v>
      </c>
      <c r="E1701">
        <v>1336</v>
      </c>
      <c r="F1701">
        <v>9060</v>
      </c>
      <c r="G1701" s="3">
        <f t="shared" si="78"/>
        <v>65</v>
      </c>
      <c r="H1701" s="4">
        <f t="shared" si="79"/>
        <v>7.1743929359823211E-3</v>
      </c>
      <c r="I1701" s="1">
        <f t="shared" si="80"/>
        <v>7</v>
      </c>
    </row>
    <row r="1702" spans="1:9" hidden="1" x14ac:dyDescent="0.2">
      <c r="A1702" s="6">
        <v>43967.708333333336</v>
      </c>
      <c r="B1702" s="1" t="s">
        <v>12</v>
      </c>
      <c r="C1702">
        <v>369</v>
      </c>
      <c r="D1702">
        <v>26</v>
      </c>
      <c r="E1702">
        <v>1346</v>
      </c>
      <c r="F1702">
        <v>9111</v>
      </c>
      <c r="G1702" s="3">
        <f t="shared" si="78"/>
        <v>51</v>
      </c>
      <c r="H1702" s="4">
        <f t="shared" si="79"/>
        <v>5.5976292393810079E-3</v>
      </c>
      <c r="I1702" s="1">
        <f t="shared" si="80"/>
        <v>10</v>
      </c>
    </row>
    <row r="1703" spans="1:9" hidden="1" x14ac:dyDescent="0.2">
      <c r="A1703" s="6">
        <v>43968.708333333336</v>
      </c>
      <c r="B1703" s="1" t="s">
        <v>12</v>
      </c>
      <c r="C1703">
        <v>360</v>
      </c>
      <c r="D1703">
        <v>24</v>
      </c>
      <c r="E1703">
        <v>1355</v>
      </c>
      <c r="F1703">
        <v>9159</v>
      </c>
      <c r="G1703" s="3">
        <f t="shared" si="78"/>
        <v>48</v>
      </c>
      <c r="H1703" s="4">
        <f t="shared" si="79"/>
        <v>5.2407468064199492E-3</v>
      </c>
      <c r="I1703" s="1">
        <f t="shared" si="80"/>
        <v>9</v>
      </c>
    </row>
    <row r="1704" spans="1:9" hidden="1" x14ac:dyDescent="0.2">
      <c r="A1704" s="6">
        <v>43969.708333333336</v>
      </c>
      <c r="B1704" s="1" t="s">
        <v>12</v>
      </c>
      <c r="C1704">
        <v>360</v>
      </c>
      <c r="D1704">
        <v>23</v>
      </c>
      <c r="E1704">
        <v>1367</v>
      </c>
      <c r="F1704">
        <v>9191</v>
      </c>
      <c r="G1704" s="3">
        <f t="shared" si="78"/>
        <v>32</v>
      </c>
      <c r="H1704" s="4">
        <f t="shared" si="79"/>
        <v>3.4816668480034396E-3</v>
      </c>
      <c r="I1704" s="1">
        <f t="shared" si="80"/>
        <v>12</v>
      </c>
    </row>
    <row r="1705" spans="1:9" hidden="1" x14ac:dyDescent="0.2">
      <c r="A1705" s="6">
        <v>43970.708333333336</v>
      </c>
      <c r="B1705" s="1" t="s">
        <v>12</v>
      </c>
      <c r="C1705">
        <v>338</v>
      </c>
      <c r="D1705">
        <v>22</v>
      </c>
      <c r="E1705">
        <v>1376</v>
      </c>
      <c r="F1705">
        <v>9257</v>
      </c>
      <c r="G1705" s="3">
        <f t="shared" si="78"/>
        <v>66</v>
      </c>
      <c r="H1705" s="4">
        <f t="shared" si="79"/>
        <v>7.1297396564762305E-3</v>
      </c>
      <c r="I1705" s="1">
        <f t="shared" si="80"/>
        <v>9</v>
      </c>
    </row>
    <row r="1706" spans="1:9" hidden="1" x14ac:dyDescent="0.2">
      <c r="A1706" s="6">
        <v>43971.708333333336</v>
      </c>
      <c r="B1706" s="1" t="s">
        <v>12</v>
      </c>
      <c r="C1706">
        <v>310</v>
      </c>
      <c r="D1706">
        <v>22</v>
      </c>
      <c r="E1706">
        <v>1386</v>
      </c>
      <c r="F1706">
        <v>9289</v>
      </c>
      <c r="G1706" s="3">
        <f t="shared" si="78"/>
        <v>32</v>
      </c>
      <c r="H1706" s="4">
        <f t="shared" si="79"/>
        <v>3.4449348692001669E-3</v>
      </c>
      <c r="I1706" s="1">
        <f t="shared" si="80"/>
        <v>10</v>
      </c>
    </row>
    <row r="1707" spans="1:9" hidden="1" x14ac:dyDescent="0.2">
      <c r="A1707" s="6">
        <v>43972.708333333336</v>
      </c>
      <c r="B1707" s="1" t="s">
        <v>12</v>
      </c>
      <c r="C1707">
        <v>283</v>
      </c>
      <c r="D1707">
        <v>22</v>
      </c>
      <c r="E1707">
        <v>1397</v>
      </c>
      <c r="F1707">
        <v>9344</v>
      </c>
      <c r="G1707" s="3">
        <f t="shared" si="78"/>
        <v>55</v>
      </c>
      <c r="H1707" s="4">
        <f t="shared" si="79"/>
        <v>5.8861301369863561E-3</v>
      </c>
      <c r="I1707" s="1">
        <f t="shared" si="80"/>
        <v>11</v>
      </c>
    </row>
    <row r="1708" spans="1:9" hidden="1" x14ac:dyDescent="0.2">
      <c r="A1708" s="6">
        <v>43973.708333333336</v>
      </c>
      <c r="B1708" s="1" t="s">
        <v>12</v>
      </c>
      <c r="C1708">
        <v>269</v>
      </c>
      <c r="D1708">
        <v>19</v>
      </c>
      <c r="E1708">
        <v>1407</v>
      </c>
      <c r="F1708">
        <v>9389</v>
      </c>
      <c r="G1708" s="3">
        <f t="shared" si="78"/>
        <v>45</v>
      </c>
      <c r="H1708" s="4">
        <f t="shared" si="79"/>
        <v>4.7928426882521968E-3</v>
      </c>
      <c r="I1708" s="1">
        <f t="shared" si="80"/>
        <v>10</v>
      </c>
    </row>
    <row r="1709" spans="1:9" hidden="1" x14ac:dyDescent="0.2">
      <c r="A1709" s="6">
        <v>43974.708333333336</v>
      </c>
      <c r="B1709" s="1" t="s">
        <v>12</v>
      </c>
      <c r="C1709">
        <v>247</v>
      </c>
      <c r="D1709">
        <v>20</v>
      </c>
      <c r="E1709">
        <v>1414</v>
      </c>
      <c r="F1709">
        <v>9427</v>
      </c>
      <c r="G1709" s="3">
        <f t="shared" si="78"/>
        <v>38</v>
      </c>
      <c r="H1709" s="4">
        <f t="shared" si="79"/>
        <v>4.0309748594462569E-3</v>
      </c>
      <c r="I1709" s="1">
        <f t="shared" si="80"/>
        <v>7</v>
      </c>
    </row>
    <row r="1710" spans="1:9" hidden="1" x14ac:dyDescent="0.2">
      <c r="A1710" s="6">
        <v>43975.708333333336</v>
      </c>
      <c r="B1710" s="1" t="s">
        <v>12</v>
      </c>
      <c r="C1710">
        <v>247</v>
      </c>
      <c r="D1710">
        <v>18</v>
      </c>
      <c r="E1710">
        <v>1419</v>
      </c>
      <c r="F1710">
        <v>9480</v>
      </c>
      <c r="G1710" s="3">
        <f t="shared" si="78"/>
        <v>53</v>
      </c>
      <c r="H1710" s="4">
        <f t="shared" si="79"/>
        <v>5.5907172995780519E-3</v>
      </c>
      <c r="I1710" s="1">
        <f t="shared" si="80"/>
        <v>5</v>
      </c>
    </row>
    <row r="1711" spans="1:9" hidden="1" x14ac:dyDescent="0.2">
      <c r="A1711" s="6">
        <v>43976.708333333336</v>
      </c>
      <c r="B1711" s="1" t="s">
        <v>12</v>
      </c>
      <c r="C1711">
        <v>236</v>
      </c>
      <c r="D1711">
        <v>18</v>
      </c>
      <c r="E1711">
        <v>1425</v>
      </c>
      <c r="F1711">
        <v>9497</v>
      </c>
      <c r="G1711" s="3">
        <f t="shared" si="78"/>
        <v>17</v>
      </c>
      <c r="H1711" s="4">
        <f t="shared" si="79"/>
        <v>1.7900389596714472E-3</v>
      </c>
      <c r="I1711" s="1">
        <f t="shared" si="80"/>
        <v>6</v>
      </c>
    </row>
    <row r="1712" spans="1:9" hidden="1" x14ac:dyDescent="0.2">
      <c r="A1712" s="6">
        <v>43977.708333333336</v>
      </c>
      <c r="B1712" s="1" t="s">
        <v>12</v>
      </c>
      <c r="C1712">
        <v>223</v>
      </c>
      <c r="D1712">
        <v>19</v>
      </c>
      <c r="E1712">
        <v>1431</v>
      </c>
      <c r="F1712">
        <v>9550</v>
      </c>
      <c r="G1712" s="3">
        <f t="shared" si="78"/>
        <v>53</v>
      </c>
      <c r="H1712" s="4">
        <f t="shared" si="79"/>
        <v>5.5497382198952394E-3</v>
      </c>
      <c r="I1712" s="1">
        <f t="shared" si="80"/>
        <v>6</v>
      </c>
    </row>
    <row r="1713" spans="1:9" hidden="1" x14ac:dyDescent="0.2">
      <c r="A1713" s="6">
        <v>43978.708333333336</v>
      </c>
      <c r="B1713" s="1" t="s">
        <v>12</v>
      </c>
      <c r="C1713">
        <v>205</v>
      </c>
      <c r="D1713">
        <v>14</v>
      </c>
      <c r="E1713">
        <v>1438</v>
      </c>
      <c r="F1713">
        <v>9589</v>
      </c>
      <c r="G1713" s="3">
        <f t="shared" si="78"/>
        <v>39</v>
      </c>
      <c r="H1713" s="4">
        <f t="shared" si="79"/>
        <v>4.0671602878298296E-3</v>
      </c>
      <c r="I1713" s="1">
        <f t="shared" si="80"/>
        <v>7</v>
      </c>
    </row>
    <row r="1714" spans="1:9" hidden="1" x14ac:dyDescent="0.2">
      <c r="A1714" s="6">
        <v>43979.708333333336</v>
      </c>
      <c r="B1714" s="1" t="s">
        <v>12</v>
      </c>
      <c r="C1714">
        <v>198</v>
      </c>
      <c r="D1714">
        <v>13</v>
      </c>
      <c r="E1714">
        <v>1445</v>
      </c>
      <c r="F1714">
        <v>9605</v>
      </c>
      <c r="G1714" s="3">
        <f t="shared" si="78"/>
        <v>16</v>
      </c>
      <c r="H1714" s="4">
        <f t="shared" si="79"/>
        <v>1.665799062988027E-3</v>
      </c>
      <c r="I1714" s="1">
        <f t="shared" si="80"/>
        <v>7</v>
      </c>
    </row>
    <row r="1715" spans="1:9" hidden="1" x14ac:dyDescent="0.2">
      <c r="A1715" s="6">
        <v>43980.708333333336</v>
      </c>
      <c r="B1715" s="1" t="s">
        <v>12</v>
      </c>
      <c r="C1715">
        <v>192</v>
      </c>
      <c r="D1715">
        <v>13</v>
      </c>
      <c r="E1715">
        <v>1452</v>
      </c>
      <c r="F1715">
        <v>9619</v>
      </c>
      <c r="G1715" s="3">
        <f t="shared" si="78"/>
        <v>14</v>
      </c>
      <c r="H1715" s="4">
        <f t="shared" si="79"/>
        <v>1.4554527497661063E-3</v>
      </c>
      <c r="I1715" s="1">
        <f t="shared" si="80"/>
        <v>7</v>
      </c>
    </row>
    <row r="1716" spans="1:9" hidden="1" x14ac:dyDescent="0.2">
      <c r="A1716" s="6">
        <v>43981.708333333336</v>
      </c>
      <c r="B1716" s="1" t="s">
        <v>12</v>
      </c>
      <c r="C1716">
        <v>186</v>
      </c>
      <c r="D1716">
        <v>9</v>
      </c>
      <c r="E1716">
        <v>1459</v>
      </c>
      <c r="F1716">
        <v>9651</v>
      </c>
      <c r="G1716" s="3">
        <f t="shared" si="78"/>
        <v>32</v>
      </c>
      <c r="H1716" s="4">
        <f t="shared" si="79"/>
        <v>3.3157185783856402E-3</v>
      </c>
      <c r="I1716" s="1">
        <f t="shared" si="80"/>
        <v>7</v>
      </c>
    </row>
    <row r="1717" spans="1:9" hidden="1" x14ac:dyDescent="0.2">
      <c r="A1717" s="6">
        <v>43982.708333333336</v>
      </c>
      <c r="B1717" s="1" t="s">
        <v>12</v>
      </c>
      <c r="C1717">
        <v>195</v>
      </c>
      <c r="D1717">
        <v>8</v>
      </c>
      <c r="E1717">
        <v>1465</v>
      </c>
      <c r="F1717">
        <v>9663</v>
      </c>
      <c r="G1717" s="3">
        <f t="shared" si="78"/>
        <v>12</v>
      </c>
      <c r="H1717" s="4">
        <f t="shared" si="79"/>
        <v>1.2418503570319483E-3</v>
      </c>
      <c r="I1717" s="1">
        <f t="shared" si="80"/>
        <v>6</v>
      </c>
    </row>
    <row r="1718" spans="1:9" hidden="1" x14ac:dyDescent="0.2">
      <c r="A1718" s="6">
        <v>43983.708333333336</v>
      </c>
      <c r="B1718" s="1" t="s">
        <v>12</v>
      </c>
      <c r="C1718">
        <v>191</v>
      </c>
      <c r="D1718">
        <v>7</v>
      </c>
      <c r="E1718">
        <v>1467</v>
      </c>
      <c r="F1718">
        <v>9719</v>
      </c>
      <c r="G1718" s="3">
        <f t="shared" si="78"/>
        <v>56</v>
      </c>
      <c r="H1718" s="4">
        <f t="shared" si="79"/>
        <v>5.7619096614878185E-3</v>
      </c>
      <c r="I1718" s="1">
        <f t="shared" si="80"/>
        <v>2</v>
      </c>
    </row>
    <row r="1719" spans="1:9" hidden="1" x14ac:dyDescent="0.2">
      <c r="A1719" s="6">
        <v>43984.708333333336</v>
      </c>
      <c r="B1719" s="1" t="s">
        <v>12</v>
      </c>
      <c r="C1719">
        <v>175</v>
      </c>
      <c r="D1719">
        <v>7</v>
      </c>
      <c r="E1719">
        <v>1468</v>
      </c>
      <c r="F1719">
        <v>9734</v>
      </c>
      <c r="G1719" s="3">
        <f t="shared" si="78"/>
        <v>15</v>
      </c>
      <c r="H1719" s="4">
        <f t="shared" si="79"/>
        <v>1.5409903431271577E-3</v>
      </c>
      <c r="I1719" s="1">
        <f t="shared" si="80"/>
        <v>1</v>
      </c>
    </row>
    <row r="1720" spans="1:9" hidden="1" x14ac:dyDescent="0.2">
      <c r="A1720" s="6">
        <v>43985.708333333336</v>
      </c>
      <c r="B1720" s="1" t="s">
        <v>12</v>
      </c>
      <c r="C1720">
        <v>169</v>
      </c>
      <c r="D1720">
        <v>6</v>
      </c>
      <c r="E1720">
        <v>1473</v>
      </c>
      <c r="F1720">
        <v>9751</v>
      </c>
      <c r="G1720" s="3">
        <f t="shared" si="78"/>
        <v>17</v>
      </c>
      <c r="H1720" s="4">
        <f t="shared" si="79"/>
        <v>1.7434109322120861E-3</v>
      </c>
      <c r="I1720" s="1">
        <f t="shared" si="80"/>
        <v>5</v>
      </c>
    </row>
    <row r="1721" spans="1:9" hidden="1" x14ac:dyDescent="0.2">
      <c r="A1721" s="6">
        <v>43986.708333333336</v>
      </c>
      <c r="B1721" s="1" t="s">
        <v>12</v>
      </c>
      <c r="C1721">
        <v>149</v>
      </c>
      <c r="D1721">
        <v>6</v>
      </c>
      <c r="E1721">
        <v>1479</v>
      </c>
      <c r="F1721">
        <v>9772</v>
      </c>
      <c r="G1721" s="3">
        <f t="shared" si="78"/>
        <v>21</v>
      </c>
      <c r="H1721" s="4">
        <f t="shared" si="79"/>
        <v>2.1489971346705383E-3</v>
      </c>
      <c r="I1721" s="1">
        <f t="shared" si="80"/>
        <v>6</v>
      </c>
    </row>
    <row r="1722" spans="1:9" hidden="1" x14ac:dyDescent="0.2">
      <c r="A1722" s="6">
        <v>43987.708333333336</v>
      </c>
      <c r="B1722" s="1" t="s">
        <v>12</v>
      </c>
      <c r="C1722">
        <v>142</v>
      </c>
      <c r="D1722">
        <v>6</v>
      </c>
      <c r="E1722">
        <v>1486</v>
      </c>
      <c r="F1722">
        <v>9786</v>
      </c>
      <c r="G1722" s="3">
        <f t="shared" si="78"/>
        <v>14</v>
      </c>
      <c r="H1722" s="4">
        <f t="shared" si="79"/>
        <v>1.4306151645206988E-3</v>
      </c>
      <c r="I1722" s="1">
        <f t="shared" si="80"/>
        <v>7</v>
      </c>
    </row>
    <row r="1723" spans="1:9" hidden="1" x14ac:dyDescent="0.2">
      <c r="A1723" s="6">
        <v>43988.708333333336</v>
      </c>
      <c r="B1723" s="1" t="s">
        <v>12</v>
      </c>
      <c r="C1723">
        <v>136</v>
      </c>
      <c r="D1723">
        <v>4</v>
      </c>
      <c r="E1723">
        <v>1492</v>
      </c>
      <c r="F1723">
        <v>9799</v>
      </c>
      <c r="G1723" s="3">
        <f t="shared" si="78"/>
        <v>13</v>
      </c>
      <c r="H1723" s="4">
        <f t="shared" si="79"/>
        <v>1.3266659863251373E-3</v>
      </c>
      <c r="I1723" s="1">
        <f t="shared" si="80"/>
        <v>6</v>
      </c>
    </row>
    <row r="1724" spans="1:9" hidden="1" x14ac:dyDescent="0.2">
      <c r="A1724" s="6">
        <v>43989.708333333336</v>
      </c>
      <c r="B1724" s="1" t="s">
        <v>12</v>
      </c>
      <c r="C1724">
        <v>127</v>
      </c>
      <c r="D1724">
        <v>5</v>
      </c>
      <c r="E1724">
        <v>1499</v>
      </c>
      <c r="F1724">
        <v>9812</v>
      </c>
      <c r="G1724" s="3">
        <f t="shared" si="78"/>
        <v>13</v>
      </c>
      <c r="H1724" s="4">
        <f t="shared" si="79"/>
        <v>1.3249082755809605E-3</v>
      </c>
      <c r="I1724" s="1">
        <f t="shared" si="80"/>
        <v>7</v>
      </c>
    </row>
    <row r="1725" spans="1:9" hidden="1" x14ac:dyDescent="0.2">
      <c r="A1725" s="6">
        <v>43990.708333333336</v>
      </c>
      <c r="B1725" s="1" t="s">
        <v>12</v>
      </c>
      <c r="C1725">
        <v>125</v>
      </c>
      <c r="D1725">
        <v>5</v>
      </c>
      <c r="E1725">
        <v>1505</v>
      </c>
      <c r="F1725">
        <v>9826</v>
      </c>
      <c r="G1725" s="3">
        <f t="shared" si="78"/>
        <v>14</v>
      </c>
      <c r="H1725" s="4">
        <f t="shared" si="79"/>
        <v>1.4247913698350878E-3</v>
      </c>
      <c r="I1725" s="1">
        <f t="shared" si="80"/>
        <v>6</v>
      </c>
    </row>
    <row r="1726" spans="1:9" hidden="1" x14ac:dyDescent="0.2">
      <c r="A1726" s="6">
        <v>43991.708333333336</v>
      </c>
      <c r="B1726" s="1" t="s">
        <v>12</v>
      </c>
      <c r="C1726">
        <v>119</v>
      </c>
      <c r="D1726">
        <v>5</v>
      </c>
      <c r="E1726">
        <v>1509</v>
      </c>
      <c r="F1726">
        <v>9834</v>
      </c>
      <c r="G1726" s="3">
        <f t="shared" si="78"/>
        <v>8</v>
      </c>
      <c r="H1726" s="4">
        <f t="shared" si="79"/>
        <v>8.1350416920888957E-4</v>
      </c>
      <c r="I1726" s="1">
        <f t="shared" si="80"/>
        <v>4</v>
      </c>
    </row>
    <row r="1727" spans="1:9" hidden="1" x14ac:dyDescent="0.2">
      <c r="A1727" s="6">
        <v>43992.708333333336</v>
      </c>
      <c r="B1727" s="1" t="s">
        <v>12</v>
      </c>
      <c r="C1727">
        <v>110</v>
      </c>
      <c r="D1727">
        <v>3</v>
      </c>
      <c r="E1727">
        <v>1513</v>
      </c>
      <c r="F1727">
        <v>9854</v>
      </c>
      <c r="G1727" s="3">
        <f t="shared" si="78"/>
        <v>20</v>
      </c>
      <c r="H1727" s="4">
        <f t="shared" si="79"/>
        <v>2.0296326364928063E-3</v>
      </c>
      <c r="I1727" s="1">
        <f t="shared" si="80"/>
        <v>4</v>
      </c>
    </row>
    <row r="1728" spans="1:9" hidden="1" x14ac:dyDescent="0.2">
      <c r="A1728" s="6">
        <v>43993.708333333336</v>
      </c>
      <c r="B1728" s="1" t="s">
        <v>12</v>
      </c>
      <c r="C1728">
        <v>107</v>
      </c>
      <c r="D1728">
        <v>3</v>
      </c>
      <c r="E1728">
        <v>1514</v>
      </c>
      <c r="F1728">
        <v>9864</v>
      </c>
      <c r="G1728" s="3">
        <f t="shared" si="78"/>
        <v>10</v>
      </c>
      <c r="H1728" s="4">
        <f t="shared" si="79"/>
        <v>1.0137875101379201E-3</v>
      </c>
      <c r="I1728" s="1">
        <f t="shared" si="80"/>
        <v>1</v>
      </c>
    </row>
    <row r="1729" spans="1:9" hidden="1" x14ac:dyDescent="0.2">
      <c r="A1729" s="6">
        <v>43994.708333333336</v>
      </c>
      <c r="B1729" s="1" t="s">
        <v>12</v>
      </c>
      <c r="C1729">
        <v>103</v>
      </c>
      <c r="D1729">
        <v>3</v>
      </c>
      <c r="E1729">
        <v>1516</v>
      </c>
      <c r="F1729">
        <v>9871</v>
      </c>
      <c r="G1729" s="3">
        <f t="shared" si="78"/>
        <v>7</v>
      </c>
      <c r="H1729" s="4">
        <f t="shared" si="79"/>
        <v>7.0914800932020405E-4</v>
      </c>
      <c r="I1729" s="1">
        <f t="shared" si="80"/>
        <v>2</v>
      </c>
    </row>
    <row r="1730" spans="1:9" hidden="1" x14ac:dyDescent="0.2">
      <c r="A1730" s="6">
        <v>43995.708333333336</v>
      </c>
      <c r="B1730" s="1" t="s">
        <v>12</v>
      </c>
      <c r="C1730">
        <v>91</v>
      </c>
      <c r="D1730">
        <v>3</v>
      </c>
      <c r="E1730">
        <v>1518</v>
      </c>
      <c r="F1730">
        <v>9875</v>
      </c>
      <c r="G1730" s="3">
        <f t="shared" si="78"/>
        <v>4</v>
      </c>
      <c r="H1730" s="4">
        <f t="shared" si="79"/>
        <v>4.0506329113920714E-4</v>
      </c>
      <c r="I1730" s="1">
        <f t="shared" si="80"/>
        <v>2</v>
      </c>
    </row>
    <row r="1731" spans="1:9" hidden="1" x14ac:dyDescent="0.2">
      <c r="A1731" s="6">
        <v>43996.708333333336</v>
      </c>
      <c r="B1731" s="1" t="s">
        <v>12</v>
      </c>
      <c r="C1731">
        <v>85</v>
      </c>
      <c r="D1731">
        <v>3</v>
      </c>
      <c r="E1731">
        <v>1521</v>
      </c>
      <c r="F1731">
        <v>9879</v>
      </c>
      <c r="G1731" s="3">
        <f t="shared" ref="G1731:G1794" si="81">IF(AND(F1731&gt;0,AND(B1731=B1730,F1731&gt;0)),F1731-F1730,0)</f>
        <v>4</v>
      </c>
      <c r="H1731" s="4">
        <f t="shared" ref="H1731:H1794" si="82">IF(AND(F1730&gt;0,AND(B1731=B1730,F1730&gt;0)),1-(F1730/F1731),0)</f>
        <v>4.0489928130382769E-4</v>
      </c>
      <c r="I1731" s="1">
        <f t="shared" ref="I1731:I1794" si="83">IF(AND(E1731&gt;0,AND(B1731=B1730,E1731&gt;0)),E1731-E1730,0)</f>
        <v>3</v>
      </c>
    </row>
    <row r="1732" spans="1:9" hidden="1" x14ac:dyDescent="0.2">
      <c r="A1732" s="6">
        <v>43997.708333333336</v>
      </c>
      <c r="B1732" s="1" t="s">
        <v>12</v>
      </c>
      <c r="C1732">
        <v>87</v>
      </c>
      <c r="D1732">
        <v>2</v>
      </c>
      <c r="E1732">
        <v>1525</v>
      </c>
      <c r="F1732">
        <v>9887</v>
      </c>
      <c r="G1732" s="3">
        <f t="shared" si="81"/>
        <v>8</v>
      </c>
      <c r="H1732" s="4">
        <f t="shared" si="82"/>
        <v>8.0914331951043028E-4</v>
      </c>
      <c r="I1732" s="1">
        <f t="shared" si="83"/>
        <v>4</v>
      </c>
    </row>
    <row r="1733" spans="1:9" hidden="1" x14ac:dyDescent="0.2">
      <c r="A1733" s="6">
        <v>43998.708333333336</v>
      </c>
      <c r="B1733" s="1" t="s">
        <v>12</v>
      </c>
      <c r="C1733">
        <v>76</v>
      </c>
      <c r="D1733">
        <v>2</v>
      </c>
      <c r="E1733">
        <v>1529</v>
      </c>
      <c r="F1733">
        <v>9891</v>
      </c>
      <c r="G1733" s="3">
        <f t="shared" si="81"/>
        <v>4</v>
      </c>
      <c r="H1733" s="4">
        <f t="shared" si="82"/>
        <v>4.0440804772012839E-4</v>
      </c>
      <c r="I1733" s="1">
        <f t="shared" si="83"/>
        <v>4</v>
      </c>
    </row>
    <row r="1734" spans="1:9" hidden="1" x14ac:dyDescent="0.2">
      <c r="A1734" s="6">
        <v>43999.708333333336</v>
      </c>
      <c r="B1734" s="1" t="s">
        <v>12</v>
      </c>
      <c r="C1734">
        <v>73</v>
      </c>
      <c r="D1734">
        <v>2</v>
      </c>
      <c r="E1734">
        <v>1532</v>
      </c>
      <c r="F1734">
        <v>9896</v>
      </c>
      <c r="G1734" s="3">
        <f t="shared" si="81"/>
        <v>5</v>
      </c>
      <c r="H1734" s="4">
        <f t="shared" si="82"/>
        <v>5.0525464834272338E-4</v>
      </c>
      <c r="I1734" s="1">
        <f t="shared" si="83"/>
        <v>3</v>
      </c>
    </row>
    <row r="1735" spans="1:9" hidden="1" x14ac:dyDescent="0.2">
      <c r="A1735" s="6">
        <v>44000.708333333336</v>
      </c>
      <c r="B1735" s="1" t="s">
        <v>12</v>
      </c>
      <c r="C1735">
        <v>70</v>
      </c>
      <c r="D1735">
        <v>2</v>
      </c>
      <c r="E1735">
        <v>1536</v>
      </c>
      <c r="F1735">
        <v>9903</v>
      </c>
      <c r="G1735" s="3">
        <f t="shared" si="81"/>
        <v>7</v>
      </c>
      <c r="H1735" s="4">
        <f t="shared" si="82"/>
        <v>7.0685650812885026E-4</v>
      </c>
      <c r="I1735" s="1">
        <f t="shared" si="83"/>
        <v>4</v>
      </c>
    </row>
    <row r="1736" spans="1:9" hidden="1" x14ac:dyDescent="0.2">
      <c r="A1736" s="6">
        <v>44001.708333333336</v>
      </c>
      <c r="B1736" s="1" t="s">
        <v>12</v>
      </c>
      <c r="C1736">
        <v>66</v>
      </c>
      <c r="D1736">
        <v>3</v>
      </c>
      <c r="E1736">
        <v>1540</v>
      </c>
      <c r="F1736">
        <v>9910</v>
      </c>
      <c r="G1736" s="3">
        <f t="shared" si="81"/>
        <v>7</v>
      </c>
      <c r="H1736" s="4">
        <f t="shared" si="82"/>
        <v>7.0635721493439441E-4</v>
      </c>
      <c r="I1736" s="1">
        <f t="shared" si="83"/>
        <v>4</v>
      </c>
    </row>
    <row r="1737" spans="1:9" hidden="1" x14ac:dyDescent="0.2">
      <c r="A1737" s="6">
        <v>44002.708333333336</v>
      </c>
      <c r="B1737" s="1" t="s">
        <v>12</v>
      </c>
      <c r="C1737">
        <v>61</v>
      </c>
      <c r="D1737">
        <v>3</v>
      </c>
      <c r="E1737">
        <v>1545</v>
      </c>
      <c r="F1737">
        <v>9920</v>
      </c>
      <c r="G1737" s="3">
        <f t="shared" si="81"/>
        <v>10</v>
      </c>
      <c r="H1737" s="4">
        <f t="shared" si="82"/>
        <v>1.0080645161290036E-3</v>
      </c>
      <c r="I1737" s="1">
        <f t="shared" si="83"/>
        <v>5</v>
      </c>
    </row>
    <row r="1738" spans="1:9" hidden="1" x14ac:dyDescent="0.2">
      <c r="A1738" s="6">
        <v>44003.708333333336</v>
      </c>
      <c r="B1738" s="1" t="s">
        <v>12</v>
      </c>
      <c r="C1738">
        <v>59</v>
      </c>
      <c r="D1738">
        <v>2</v>
      </c>
      <c r="E1738">
        <v>1549</v>
      </c>
      <c r="F1738">
        <v>9927</v>
      </c>
      <c r="G1738" s="3">
        <f t="shared" si="81"/>
        <v>7</v>
      </c>
      <c r="H1738" s="4">
        <f t="shared" si="82"/>
        <v>7.0514757731443556E-4</v>
      </c>
      <c r="I1738" s="1">
        <f t="shared" si="83"/>
        <v>4</v>
      </c>
    </row>
    <row r="1739" spans="1:9" hidden="1" x14ac:dyDescent="0.2">
      <c r="A1739" s="6">
        <v>44004.708333333336</v>
      </c>
      <c r="B1739" s="1" t="s">
        <v>12</v>
      </c>
      <c r="C1739">
        <v>58</v>
      </c>
      <c r="D1739">
        <v>1</v>
      </c>
      <c r="E1739">
        <v>1552</v>
      </c>
      <c r="F1739">
        <v>9935</v>
      </c>
      <c r="G1739" s="3">
        <f t="shared" si="81"/>
        <v>8</v>
      </c>
      <c r="H1739" s="4">
        <f t="shared" si="82"/>
        <v>8.0523402113741316E-4</v>
      </c>
      <c r="I1739" s="1">
        <f t="shared" si="83"/>
        <v>3</v>
      </c>
    </row>
    <row r="1740" spans="1:9" hidden="1" x14ac:dyDescent="0.2">
      <c r="A1740" s="6">
        <v>44005.708333333336</v>
      </c>
      <c r="B1740" s="1" t="s">
        <v>12</v>
      </c>
      <c r="C1740">
        <v>61</v>
      </c>
      <c r="D1740">
        <v>1</v>
      </c>
      <c r="E1740">
        <v>1553</v>
      </c>
      <c r="F1740">
        <v>9939</v>
      </c>
      <c r="G1740" s="3">
        <f t="shared" si="81"/>
        <v>4</v>
      </c>
      <c r="H1740" s="4">
        <f t="shared" si="82"/>
        <v>4.0245497534963093E-4</v>
      </c>
      <c r="I1740" s="1">
        <f t="shared" si="83"/>
        <v>1</v>
      </c>
    </row>
    <row r="1741" spans="1:9" hidden="1" x14ac:dyDescent="0.2">
      <c r="A1741" s="6">
        <v>44006.708333333336</v>
      </c>
      <c r="B1741" s="1" t="s">
        <v>12</v>
      </c>
      <c r="C1741">
        <v>59</v>
      </c>
      <c r="D1741">
        <v>1</v>
      </c>
      <c r="E1741">
        <v>1555</v>
      </c>
      <c r="F1741">
        <v>9940</v>
      </c>
      <c r="G1741" s="3">
        <f t="shared" si="81"/>
        <v>1</v>
      </c>
      <c r="H1741" s="4">
        <f t="shared" si="82"/>
        <v>1.006036217303663E-4</v>
      </c>
      <c r="I1741" s="1">
        <f t="shared" si="83"/>
        <v>2</v>
      </c>
    </row>
    <row r="1742" spans="1:9" hidden="1" x14ac:dyDescent="0.2">
      <c r="A1742" s="6">
        <v>44007.708333333336</v>
      </c>
      <c r="B1742" s="1" t="s">
        <v>12</v>
      </c>
      <c r="C1742">
        <v>56</v>
      </c>
      <c r="D1742">
        <v>1</v>
      </c>
      <c r="E1742">
        <v>1556</v>
      </c>
      <c r="F1742">
        <v>9954</v>
      </c>
      <c r="G1742" s="3">
        <f t="shared" si="81"/>
        <v>14</v>
      </c>
      <c r="H1742" s="4">
        <f t="shared" si="82"/>
        <v>1.4064697609000865E-3</v>
      </c>
      <c r="I1742" s="1">
        <f t="shared" si="83"/>
        <v>1</v>
      </c>
    </row>
    <row r="1743" spans="1:9" hidden="1" x14ac:dyDescent="0.2">
      <c r="A1743" s="6">
        <v>44008.708333333336</v>
      </c>
      <c r="B1743" s="1" t="s">
        <v>12</v>
      </c>
      <c r="C1743">
        <v>54</v>
      </c>
      <c r="D1743">
        <v>3</v>
      </c>
      <c r="E1743">
        <v>1556</v>
      </c>
      <c r="F1743">
        <v>9958</v>
      </c>
      <c r="G1743" s="3">
        <f t="shared" si="81"/>
        <v>4</v>
      </c>
      <c r="H1743" s="4">
        <f t="shared" si="82"/>
        <v>4.0168708576016066E-4</v>
      </c>
      <c r="I1743" s="1">
        <f t="shared" si="83"/>
        <v>0</v>
      </c>
    </row>
    <row r="1744" spans="1:9" hidden="1" x14ac:dyDescent="0.2">
      <c r="A1744" s="6">
        <v>44009.708333333336</v>
      </c>
      <c r="B1744" s="1" t="s">
        <v>12</v>
      </c>
      <c r="C1744">
        <v>49</v>
      </c>
      <c r="D1744">
        <v>3</v>
      </c>
      <c r="E1744">
        <v>1557</v>
      </c>
      <c r="F1744">
        <v>9963</v>
      </c>
      <c r="G1744" s="3">
        <f t="shared" si="81"/>
        <v>5</v>
      </c>
      <c r="H1744" s="4">
        <f t="shared" si="82"/>
        <v>5.0185687042059168E-4</v>
      </c>
      <c r="I1744" s="1">
        <f t="shared" si="83"/>
        <v>1</v>
      </c>
    </row>
    <row r="1745" spans="1:9" hidden="1" x14ac:dyDescent="0.2">
      <c r="A1745" s="6">
        <v>44010.708333333336</v>
      </c>
      <c r="B1745" s="1" t="s">
        <v>12</v>
      </c>
      <c r="C1745">
        <v>48</v>
      </c>
      <c r="D1745">
        <v>3</v>
      </c>
      <c r="E1745">
        <v>1558</v>
      </c>
      <c r="F1745">
        <v>9967</v>
      </c>
      <c r="G1745" s="3">
        <f t="shared" si="81"/>
        <v>4</v>
      </c>
      <c r="H1745" s="4">
        <f t="shared" si="82"/>
        <v>4.0132437042239566E-4</v>
      </c>
      <c r="I1745" s="1">
        <f t="shared" si="83"/>
        <v>1</v>
      </c>
    </row>
    <row r="1746" spans="1:9" hidden="1" x14ac:dyDescent="0.2">
      <c r="A1746" s="6">
        <v>44011.708333333336</v>
      </c>
      <c r="B1746" s="1" t="s">
        <v>12</v>
      </c>
      <c r="C1746">
        <v>47</v>
      </c>
      <c r="D1746">
        <v>3</v>
      </c>
      <c r="E1746">
        <v>1558</v>
      </c>
      <c r="F1746">
        <v>9974</v>
      </c>
      <c r="G1746" s="3">
        <f t="shared" si="81"/>
        <v>7</v>
      </c>
      <c r="H1746" s="4">
        <f t="shared" si="82"/>
        <v>7.0182474433522213E-4</v>
      </c>
      <c r="I1746" s="1">
        <f t="shared" si="83"/>
        <v>0</v>
      </c>
    </row>
    <row r="1747" spans="1:9" hidden="1" x14ac:dyDescent="0.2">
      <c r="A1747" s="6">
        <v>44012.708333333336</v>
      </c>
      <c r="B1747" s="1" t="s">
        <v>12</v>
      </c>
      <c r="C1747">
        <v>46</v>
      </c>
      <c r="D1747">
        <v>3</v>
      </c>
      <c r="E1747">
        <v>1558</v>
      </c>
      <c r="F1747">
        <v>9977</v>
      </c>
      <c r="G1747" s="3">
        <f t="shared" si="81"/>
        <v>3</v>
      </c>
      <c r="H1747" s="4">
        <f t="shared" si="82"/>
        <v>3.0069159065848616E-4</v>
      </c>
      <c r="I1747" s="1">
        <f t="shared" si="83"/>
        <v>0</v>
      </c>
    </row>
    <row r="1748" spans="1:9" hidden="1" x14ac:dyDescent="0.2">
      <c r="A1748" s="6">
        <v>44013.708333333336</v>
      </c>
      <c r="B1748" s="1" t="s">
        <v>12</v>
      </c>
      <c r="C1748">
        <v>42</v>
      </c>
      <c r="D1748">
        <v>3</v>
      </c>
      <c r="E1748">
        <v>1558</v>
      </c>
      <c r="F1748">
        <v>9982</v>
      </c>
      <c r="G1748" s="3">
        <f t="shared" si="81"/>
        <v>5</v>
      </c>
      <c r="H1748" s="4">
        <f t="shared" si="82"/>
        <v>5.0090162292126816E-4</v>
      </c>
      <c r="I1748" s="1">
        <f t="shared" si="83"/>
        <v>0</v>
      </c>
    </row>
    <row r="1749" spans="1:9" hidden="1" x14ac:dyDescent="0.2">
      <c r="A1749" s="6">
        <v>44014.708333333336</v>
      </c>
      <c r="B1749" s="1" t="s">
        <v>12</v>
      </c>
      <c r="C1749">
        <v>41</v>
      </c>
      <c r="D1749">
        <v>3</v>
      </c>
      <c r="E1749">
        <v>1558</v>
      </c>
      <c r="F1749">
        <v>9984</v>
      </c>
      <c r="G1749" s="3">
        <f t="shared" si="81"/>
        <v>2</v>
      </c>
      <c r="H1749" s="4">
        <f t="shared" si="82"/>
        <v>2.0032051282048435E-4</v>
      </c>
      <c r="I1749" s="1">
        <f t="shared" si="83"/>
        <v>0</v>
      </c>
    </row>
    <row r="1750" spans="1:9" hidden="1" x14ac:dyDescent="0.2">
      <c r="A1750" s="6">
        <v>44015.708333333336</v>
      </c>
      <c r="B1750" s="1" t="s">
        <v>12</v>
      </c>
      <c r="C1750">
        <v>40</v>
      </c>
      <c r="D1750">
        <v>3</v>
      </c>
      <c r="E1750">
        <v>1558</v>
      </c>
      <c r="F1750">
        <v>9987</v>
      </c>
      <c r="G1750" s="3">
        <f t="shared" si="81"/>
        <v>3</v>
      </c>
      <c r="H1750" s="4">
        <f t="shared" si="82"/>
        <v>3.0039050765995334E-4</v>
      </c>
      <c r="I1750" s="1">
        <f t="shared" si="83"/>
        <v>0</v>
      </c>
    </row>
    <row r="1751" spans="1:9" hidden="1" x14ac:dyDescent="0.2">
      <c r="A1751" s="6">
        <v>44016.708333333336</v>
      </c>
      <c r="B1751" s="1" t="s">
        <v>12</v>
      </c>
      <c r="C1751">
        <v>39</v>
      </c>
      <c r="D1751">
        <v>2</v>
      </c>
      <c r="E1751">
        <v>1558</v>
      </c>
      <c r="F1751">
        <v>9991</v>
      </c>
      <c r="G1751" s="3">
        <f t="shared" si="81"/>
        <v>4</v>
      </c>
      <c r="H1751" s="4">
        <f t="shared" si="82"/>
        <v>4.0036032429191515E-4</v>
      </c>
      <c r="I1751" s="1">
        <f t="shared" si="83"/>
        <v>0</v>
      </c>
    </row>
    <row r="1752" spans="1:9" hidden="1" x14ac:dyDescent="0.2">
      <c r="A1752" s="6">
        <v>44017.708333333336</v>
      </c>
      <c r="B1752" s="1" t="s">
        <v>12</v>
      </c>
      <c r="C1752">
        <v>43</v>
      </c>
      <c r="D1752">
        <v>3</v>
      </c>
      <c r="E1752">
        <v>1558</v>
      </c>
      <c r="F1752">
        <v>9999</v>
      </c>
      <c r="G1752" s="3">
        <f t="shared" si="81"/>
        <v>8</v>
      </c>
      <c r="H1752" s="4">
        <f t="shared" si="82"/>
        <v>8.0008000800080303E-4</v>
      </c>
      <c r="I1752" s="1">
        <f t="shared" si="83"/>
        <v>0</v>
      </c>
    </row>
    <row r="1753" spans="1:9" hidden="1" x14ac:dyDescent="0.2">
      <c r="A1753" s="6">
        <v>44018.708333333336</v>
      </c>
      <c r="B1753" s="1" t="s">
        <v>12</v>
      </c>
      <c r="C1753">
        <v>46</v>
      </c>
      <c r="D1753">
        <v>0</v>
      </c>
      <c r="E1753">
        <v>1558</v>
      </c>
      <c r="F1753">
        <v>10001</v>
      </c>
      <c r="G1753" s="3">
        <f t="shared" si="81"/>
        <v>2</v>
      </c>
      <c r="H1753" s="4">
        <f t="shared" si="82"/>
        <v>1.9998000199983323E-4</v>
      </c>
      <c r="I1753" s="1">
        <f t="shared" si="83"/>
        <v>0</v>
      </c>
    </row>
    <row r="1754" spans="1:9" hidden="1" x14ac:dyDescent="0.2">
      <c r="A1754" s="6">
        <v>44019.708333333336</v>
      </c>
      <c r="B1754" s="1" t="s">
        <v>12</v>
      </c>
      <c r="C1754">
        <v>38</v>
      </c>
      <c r="D1754">
        <v>0</v>
      </c>
      <c r="E1754">
        <v>1558</v>
      </c>
      <c r="F1754">
        <v>10003</v>
      </c>
      <c r="G1754" s="3">
        <f t="shared" si="81"/>
        <v>2</v>
      </c>
      <c r="H1754" s="4">
        <f t="shared" si="82"/>
        <v>1.9994001799461536E-4</v>
      </c>
      <c r="I1754" s="1">
        <f t="shared" si="83"/>
        <v>0</v>
      </c>
    </row>
    <row r="1755" spans="1:9" hidden="1" x14ac:dyDescent="0.2">
      <c r="A1755" s="6">
        <v>44020.708333333336</v>
      </c>
      <c r="B1755" s="1" t="s">
        <v>12</v>
      </c>
      <c r="C1755">
        <v>36</v>
      </c>
      <c r="D1755">
        <v>1</v>
      </c>
      <c r="E1755">
        <v>1558</v>
      </c>
      <c r="F1755">
        <v>10006</v>
      </c>
      <c r="G1755" s="3">
        <f t="shared" si="81"/>
        <v>3</v>
      </c>
      <c r="H1755" s="4">
        <f t="shared" si="82"/>
        <v>2.9982010793527802E-4</v>
      </c>
      <c r="I1755" s="1">
        <f t="shared" si="83"/>
        <v>0</v>
      </c>
    </row>
    <row r="1756" spans="1:9" hidden="1" x14ac:dyDescent="0.2">
      <c r="A1756" s="6">
        <v>44021.708333333336</v>
      </c>
      <c r="B1756" s="1" t="s">
        <v>12</v>
      </c>
      <c r="C1756">
        <v>34</v>
      </c>
      <c r="D1756">
        <v>1</v>
      </c>
      <c r="E1756">
        <v>1558</v>
      </c>
      <c r="F1756">
        <v>10010</v>
      </c>
      <c r="G1756" s="3">
        <f t="shared" si="81"/>
        <v>4</v>
      </c>
      <c r="H1756" s="4">
        <f t="shared" si="82"/>
        <v>3.9960039960040827E-4</v>
      </c>
      <c r="I1756" s="1">
        <f t="shared" si="83"/>
        <v>0</v>
      </c>
    </row>
    <row r="1757" spans="1:9" hidden="1" x14ac:dyDescent="0.2">
      <c r="A1757" s="6">
        <v>44022.708333333336</v>
      </c>
      <c r="B1757" s="1" t="s">
        <v>12</v>
      </c>
      <c r="C1757">
        <v>25</v>
      </c>
      <c r="D1757">
        <v>1</v>
      </c>
      <c r="E1757">
        <v>1558</v>
      </c>
      <c r="F1757">
        <v>10025</v>
      </c>
      <c r="G1757" s="3">
        <f t="shared" si="81"/>
        <v>15</v>
      </c>
      <c r="H1757" s="4">
        <f t="shared" si="82"/>
        <v>1.4962593516208988E-3</v>
      </c>
      <c r="I1757" s="1">
        <f t="shared" si="83"/>
        <v>0</v>
      </c>
    </row>
    <row r="1758" spans="1:9" hidden="1" x14ac:dyDescent="0.2">
      <c r="A1758" s="6">
        <v>44023.708333333336</v>
      </c>
      <c r="B1758" s="1" t="s">
        <v>12</v>
      </c>
      <c r="C1758">
        <v>26</v>
      </c>
      <c r="D1758">
        <v>0</v>
      </c>
      <c r="E1758">
        <v>1559</v>
      </c>
      <c r="F1758">
        <v>10031</v>
      </c>
      <c r="G1758" s="3">
        <f t="shared" si="81"/>
        <v>6</v>
      </c>
      <c r="H1758" s="4">
        <f t="shared" si="82"/>
        <v>5.9814574818062294E-4</v>
      </c>
      <c r="I1758" s="1">
        <f t="shared" si="83"/>
        <v>1</v>
      </c>
    </row>
    <row r="1759" spans="1:9" hidden="1" x14ac:dyDescent="0.2">
      <c r="A1759" s="6">
        <v>44024.708333333336</v>
      </c>
      <c r="B1759" s="1" t="s">
        <v>12</v>
      </c>
      <c r="C1759">
        <v>25</v>
      </c>
      <c r="D1759">
        <v>0</v>
      </c>
      <c r="E1759">
        <v>1559</v>
      </c>
      <c r="F1759">
        <v>10031</v>
      </c>
      <c r="G1759" s="3">
        <f t="shared" si="81"/>
        <v>0</v>
      </c>
      <c r="H1759" s="4">
        <f t="shared" si="82"/>
        <v>0</v>
      </c>
      <c r="I1759" s="1">
        <f t="shared" si="83"/>
        <v>0</v>
      </c>
    </row>
    <row r="1760" spans="1:9" hidden="1" x14ac:dyDescent="0.2">
      <c r="A1760" s="6">
        <v>44025.708333333336</v>
      </c>
      <c r="B1760" s="1" t="s">
        <v>12</v>
      </c>
      <c r="C1760">
        <v>24</v>
      </c>
      <c r="D1760">
        <v>0</v>
      </c>
      <c r="E1760">
        <v>1559</v>
      </c>
      <c r="F1760">
        <v>10032</v>
      </c>
      <c r="G1760" s="3">
        <f t="shared" si="81"/>
        <v>1</v>
      </c>
      <c r="H1760" s="4">
        <f t="shared" si="82"/>
        <v>9.9681020733655146E-5</v>
      </c>
      <c r="I1760" s="1">
        <f t="shared" si="83"/>
        <v>0</v>
      </c>
    </row>
    <row r="1761" spans="1:9" hidden="1" x14ac:dyDescent="0.2">
      <c r="A1761" s="6">
        <v>44026.708333333336</v>
      </c>
      <c r="B1761" s="1" t="s">
        <v>12</v>
      </c>
      <c r="C1761">
        <v>23</v>
      </c>
      <c r="D1761">
        <v>0</v>
      </c>
      <c r="E1761">
        <v>1561</v>
      </c>
      <c r="F1761">
        <v>10038</v>
      </c>
      <c r="G1761" s="3">
        <f t="shared" si="81"/>
        <v>6</v>
      </c>
      <c r="H1761" s="4">
        <f t="shared" si="82"/>
        <v>5.9772863120144404E-4</v>
      </c>
      <c r="I1761" s="1">
        <f t="shared" si="83"/>
        <v>2</v>
      </c>
    </row>
    <row r="1762" spans="1:9" hidden="1" x14ac:dyDescent="0.2">
      <c r="A1762" s="6">
        <v>44027.708333333336</v>
      </c>
      <c r="B1762" s="1" t="s">
        <v>12</v>
      </c>
      <c r="C1762">
        <v>24</v>
      </c>
      <c r="D1762">
        <v>0</v>
      </c>
      <c r="E1762">
        <v>1561</v>
      </c>
      <c r="F1762">
        <v>10042</v>
      </c>
      <c r="G1762" s="3">
        <f t="shared" si="81"/>
        <v>4</v>
      </c>
      <c r="H1762" s="4">
        <f t="shared" si="82"/>
        <v>3.9832702648878726E-4</v>
      </c>
      <c r="I1762" s="1">
        <f t="shared" si="83"/>
        <v>0</v>
      </c>
    </row>
    <row r="1763" spans="1:9" hidden="1" x14ac:dyDescent="0.2">
      <c r="A1763" s="6">
        <v>44028.708333333336</v>
      </c>
      <c r="B1763" s="1" t="s">
        <v>12</v>
      </c>
      <c r="C1763">
        <v>28</v>
      </c>
      <c r="D1763">
        <v>0</v>
      </c>
      <c r="E1763">
        <v>1564</v>
      </c>
      <c r="F1763">
        <v>10050</v>
      </c>
      <c r="G1763" s="3">
        <f t="shared" si="81"/>
        <v>8</v>
      </c>
      <c r="H1763" s="4">
        <f t="shared" si="82"/>
        <v>7.9601990049749105E-4</v>
      </c>
      <c r="I1763" s="1">
        <f t="shared" si="83"/>
        <v>3</v>
      </c>
    </row>
    <row r="1764" spans="1:9" hidden="1" x14ac:dyDescent="0.2">
      <c r="A1764" s="6">
        <v>44029.708333333336</v>
      </c>
      <c r="B1764" s="1" t="s">
        <v>12</v>
      </c>
      <c r="C1764">
        <v>29</v>
      </c>
      <c r="D1764">
        <v>0</v>
      </c>
      <c r="E1764">
        <v>1565</v>
      </c>
      <c r="F1764">
        <v>10052</v>
      </c>
      <c r="G1764" s="3">
        <f t="shared" si="81"/>
        <v>2</v>
      </c>
      <c r="H1764" s="4">
        <f t="shared" si="82"/>
        <v>1.9896538002384112E-4</v>
      </c>
      <c r="I1764" s="1">
        <f t="shared" si="83"/>
        <v>1</v>
      </c>
    </row>
    <row r="1765" spans="1:9" hidden="1" x14ac:dyDescent="0.2">
      <c r="A1765" s="6">
        <v>44030.708333333336</v>
      </c>
      <c r="B1765" s="1" t="s">
        <v>12</v>
      </c>
      <c r="C1765">
        <v>28</v>
      </c>
      <c r="D1765">
        <v>0</v>
      </c>
      <c r="E1765">
        <v>1565</v>
      </c>
      <c r="F1765">
        <v>10070</v>
      </c>
      <c r="G1765" s="3">
        <f t="shared" si="81"/>
        <v>18</v>
      </c>
      <c r="H1765" s="4">
        <f t="shared" si="82"/>
        <v>1.7874875868917339E-3</v>
      </c>
      <c r="I1765" s="1">
        <f t="shared" si="83"/>
        <v>0</v>
      </c>
    </row>
    <row r="1766" spans="1:9" hidden="1" x14ac:dyDescent="0.2">
      <c r="A1766" s="6">
        <v>44031.708333333336</v>
      </c>
      <c r="B1766" s="1" t="s">
        <v>12</v>
      </c>
      <c r="C1766">
        <v>27</v>
      </c>
      <c r="D1766">
        <v>0</v>
      </c>
      <c r="E1766">
        <v>1565</v>
      </c>
      <c r="F1766">
        <v>10093</v>
      </c>
      <c r="G1766" s="3">
        <f t="shared" si="81"/>
        <v>23</v>
      </c>
      <c r="H1766" s="4">
        <f t="shared" si="82"/>
        <v>2.2788070940256144E-3</v>
      </c>
      <c r="I1766" s="1">
        <f t="shared" si="83"/>
        <v>0</v>
      </c>
    </row>
    <row r="1767" spans="1:9" hidden="1" x14ac:dyDescent="0.2">
      <c r="A1767" s="6">
        <v>44032.708333333336</v>
      </c>
      <c r="B1767" s="1" t="s">
        <v>12</v>
      </c>
      <c r="C1767">
        <v>28</v>
      </c>
      <c r="D1767">
        <v>0</v>
      </c>
      <c r="E1767">
        <v>1565</v>
      </c>
      <c r="F1767">
        <v>10105</v>
      </c>
      <c r="G1767" s="3">
        <f t="shared" si="81"/>
        <v>12</v>
      </c>
      <c r="H1767" s="4">
        <f t="shared" si="82"/>
        <v>1.1875309252845634E-3</v>
      </c>
      <c r="I1767" s="1">
        <f t="shared" si="83"/>
        <v>0</v>
      </c>
    </row>
    <row r="1768" spans="1:9" hidden="1" x14ac:dyDescent="0.2">
      <c r="A1768" s="6">
        <v>44033.708333333336</v>
      </c>
      <c r="B1768" s="1" t="s">
        <v>12</v>
      </c>
      <c r="C1768">
        <v>29</v>
      </c>
      <c r="D1768">
        <v>0</v>
      </c>
      <c r="E1768">
        <v>1565</v>
      </c>
      <c r="F1768">
        <v>10117</v>
      </c>
      <c r="G1768" s="3">
        <f t="shared" si="81"/>
        <v>12</v>
      </c>
      <c r="H1768" s="4">
        <f t="shared" si="82"/>
        <v>1.186122368290965E-3</v>
      </c>
      <c r="I1768" s="1">
        <f t="shared" si="83"/>
        <v>0</v>
      </c>
    </row>
    <row r="1769" spans="1:9" hidden="1" x14ac:dyDescent="0.2">
      <c r="A1769" s="6">
        <v>44034.708333333336</v>
      </c>
      <c r="B1769" s="1" t="s">
        <v>12</v>
      </c>
      <c r="C1769">
        <v>31</v>
      </c>
      <c r="D1769">
        <v>0</v>
      </c>
      <c r="E1769">
        <v>1565</v>
      </c>
      <c r="F1769">
        <v>10124</v>
      </c>
      <c r="G1769" s="3">
        <f t="shared" si="81"/>
        <v>7</v>
      </c>
      <c r="H1769" s="4">
        <f t="shared" si="82"/>
        <v>6.9142631370999741E-4</v>
      </c>
      <c r="I1769" s="1">
        <f t="shared" si="83"/>
        <v>0</v>
      </c>
    </row>
    <row r="1770" spans="1:9" hidden="1" x14ac:dyDescent="0.2">
      <c r="A1770" s="6">
        <v>44035.708333333336</v>
      </c>
      <c r="B1770" s="1" t="s">
        <v>12</v>
      </c>
      <c r="C1770">
        <v>29</v>
      </c>
      <c r="D1770">
        <v>0</v>
      </c>
      <c r="E1770">
        <v>1566</v>
      </c>
      <c r="F1770">
        <v>10139</v>
      </c>
      <c r="G1770" s="3">
        <f t="shared" si="81"/>
        <v>15</v>
      </c>
      <c r="H1770" s="4">
        <f t="shared" si="82"/>
        <v>1.4794358417989928E-3</v>
      </c>
      <c r="I1770" s="1">
        <f t="shared" si="83"/>
        <v>1</v>
      </c>
    </row>
    <row r="1771" spans="1:9" hidden="1" x14ac:dyDescent="0.2">
      <c r="A1771" s="6">
        <v>44036.708333333336</v>
      </c>
      <c r="B1771" s="1" t="s">
        <v>12</v>
      </c>
      <c r="C1771">
        <v>26</v>
      </c>
      <c r="D1771">
        <v>0</v>
      </c>
      <c r="E1771">
        <v>1566</v>
      </c>
      <c r="F1771">
        <v>10144</v>
      </c>
      <c r="G1771" s="3">
        <f t="shared" si="81"/>
        <v>5</v>
      </c>
      <c r="H1771" s="4">
        <f t="shared" si="82"/>
        <v>4.9290220820186192E-4</v>
      </c>
      <c r="I1771" s="1">
        <f t="shared" si="83"/>
        <v>0</v>
      </c>
    </row>
    <row r="1772" spans="1:9" hidden="1" x14ac:dyDescent="0.2">
      <c r="A1772" s="6">
        <v>44037.708333333336</v>
      </c>
      <c r="B1772" s="1" t="s">
        <v>12</v>
      </c>
      <c r="C1772">
        <v>27</v>
      </c>
      <c r="D1772">
        <v>0</v>
      </c>
      <c r="E1772">
        <v>1566</v>
      </c>
      <c r="F1772">
        <v>10147</v>
      </c>
      <c r="G1772" s="3">
        <f t="shared" si="81"/>
        <v>3</v>
      </c>
      <c r="H1772" s="4">
        <f t="shared" si="82"/>
        <v>2.9565388784857927E-4</v>
      </c>
      <c r="I1772" s="1">
        <f t="shared" si="83"/>
        <v>0</v>
      </c>
    </row>
    <row r="1773" spans="1:9" hidden="1" x14ac:dyDescent="0.2">
      <c r="A1773" s="6">
        <v>44038.708333333336</v>
      </c>
      <c r="B1773" s="1" t="s">
        <v>12</v>
      </c>
      <c r="C1773">
        <v>29</v>
      </c>
      <c r="D1773">
        <v>1</v>
      </c>
      <c r="E1773">
        <v>1566</v>
      </c>
      <c r="F1773">
        <v>10150</v>
      </c>
      <c r="G1773" s="3">
        <f t="shared" si="81"/>
        <v>3</v>
      </c>
      <c r="H1773" s="4">
        <f t="shared" si="82"/>
        <v>2.9556650246309601E-4</v>
      </c>
      <c r="I1773" s="1">
        <f t="shared" si="83"/>
        <v>0</v>
      </c>
    </row>
    <row r="1774" spans="1:9" hidden="1" x14ac:dyDescent="0.2">
      <c r="A1774" s="6">
        <v>44039.708333333336</v>
      </c>
      <c r="B1774" s="1" t="s">
        <v>12</v>
      </c>
      <c r="C1774">
        <v>29</v>
      </c>
      <c r="D1774">
        <v>1</v>
      </c>
      <c r="E1774">
        <v>1566</v>
      </c>
      <c r="F1774">
        <v>10174</v>
      </c>
      <c r="G1774" s="3">
        <f t="shared" si="81"/>
        <v>24</v>
      </c>
      <c r="H1774" s="4">
        <f t="shared" si="82"/>
        <v>2.3589541969726291E-3</v>
      </c>
      <c r="I1774" s="1">
        <f t="shared" si="83"/>
        <v>0</v>
      </c>
    </row>
    <row r="1775" spans="1:9" hidden="1" x14ac:dyDescent="0.2">
      <c r="A1775" s="6">
        <v>44040.708333333336</v>
      </c>
      <c r="B1775" s="1" t="s">
        <v>12</v>
      </c>
      <c r="C1775">
        <v>27</v>
      </c>
      <c r="D1775">
        <v>0</v>
      </c>
      <c r="E1775">
        <v>1566</v>
      </c>
      <c r="F1775">
        <v>10177</v>
      </c>
      <c r="G1775" s="3">
        <f t="shared" si="81"/>
        <v>3</v>
      </c>
      <c r="H1775" s="4">
        <f t="shared" si="82"/>
        <v>2.9478235236313211E-4</v>
      </c>
      <c r="I1775" s="1">
        <f t="shared" si="83"/>
        <v>0</v>
      </c>
    </row>
    <row r="1776" spans="1:9" hidden="1" x14ac:dyDescent="0.2">
      <c r="A1776" s="6">
        <v>44041.708333333336</v>
      </c>
      <c r="B1776" s="1" t="s">
        <v>12</v>
      </c>
      <c r="C1776">
        <v>21</v>
      </c>
      <c r="D1776">
        <v>0</v>
      </c>
      <c r="E1776">
        <v>1566</v>
      </c>
      <c r="F1776">
        <v>10197</v>
      </c>
      <c r="G1776" s="3">
        <f t="shared" si="81"/>
        <v>20</v>
      </c>
      <c r="H1776" s="4">
        <f t="shared" si="82"/>
        <v>1.9613611846621692E-3</v>
      </c>
      <c r="I1776" s="1">
        <f t="shared" si="83"/>
        <v>0</v>
      </c>
    </row>
    <row r="1777" spans="1:9" hidden="1" x14ac:dyDescent="0.2">
      <c r="A1777" s="6">
        <v>44042.708333333336</v>
      </c>
      <c r="B1777" s="1" t="s">
        <v>12</v>
      </c>
      <c r="C1777">
        <v>21</v>
      </c>
      <c r="D1777">
        <v>0</v>
      </c>
      <c r="E1777">
        <v>1566</v>
      </c>
      <c r="F1777">
        <v>10210</v>
      </c>
      <c r="G1777" s="3">
        <f t="shared" si="81"/>
        <v>13</v>
      </c>
      <c r="H1777" s="4">
        <f t="shared" si="82"/>
        <v>1.2732615083251853E-3</v>
      </c>
      <c r="I1777" s="1">
        <f t="shared" si="83"/>
        <v>0</v>
      </c>
    </row>
    <row r="1778" spans="1:9" hidden="1" x14ac:dyDescent="0.2">
      <c r="A1778" s="6">
        <v>44043.708333333336</v>
      </c>
      <c r="B1778" s="1" t="s">
        <v>12</v>
      </c>
      <c r="C1778">
        <v>19</v>
      </c>
      <c r="D1778">
        <v>0</v>
      </c>
      <c r="E1778">
        <v>1567</v>
      </c>
      <c r="F1778">
        <v>10214</v>
      </c>
      <c r="G1778" s="3">
        <f t="shared" si="81"/>
        <v>4</v>
      </c>
      <c r="H1778" s="4">
        <f t="shared" si="82"/>
        <v>3.9161934599574177E-4</v>
      </c>
      <c r="I1778" s="1">
        <f t="shared" si="83"/>
        <v>1</v>
      </c>
    </row>
    <row r="1779" spans="1:9" hidden="1" x14ac:dyDescent="0.2">
      <c r="A1779" s="6">
        <v>44044.708333333336</v>
      </c>
      <c r="B1779" s="1" t="s">
        <v>12</v>
      </c>
      <c r="C1779">
        <v>19</v>
      </c>
      <c r="D1779">
        <v>0</v>
      </c>
      <c r="E1779">
        <v>1567</v>
      </c>
      <c r="F1779">
        <v>10230</v>
      </c>
      <c r="G1779" s="3">
        <f t="shared" si="81"/>
        <v>16</v>
      </c>
      <c r="H1779" s="4">
        <f t="shared" si="82"/>
        <v>1.5640273704790042E-3</v>
      </c>
      <c r="I1779" s="1">
        <f t="shared" si="83"/>
        <v>0</v>
      </c>
    </row>
    <row r="1780" spans="1:9" hidden="1" x14ac:dyDescent="0.2">
      <c r="A1780" s="6">
        <v>44045.708333333336</v>
      </c>
      <c r="B1780" s="1" t="s">
        <v>12</v>
      </c>
      <c r="C1780">
        <v>20</v>
      </c>
      <c r="D1780">
        <v>0</v>
      </c>
      <c r="E1780">
        <v>1567</v>
      </c>
      <c r="F1780">
        <v>10236</v>
      </c>
      <c r="G1780" s="3">
        <f t="shared" si="81"/>
        <v>6</v>
      </c>
      <c r="H1780" s="4">
        <f t="shared" si="82"/>
        <v>5.8616647127784915E-4</v>
      </c>
      <c r="I1780" s="1">
        <f t="shared" si="83"/>
        <v>0</v>
      </c>
    </row>
    <row r="1781" spans="1:9" hidden="1" x14ac:dyDescent="0.2">
      <c r="A1781" s="6">
        <v>44046.708333333336</v>
      </c>
      <c r="B1781" s="1" t="s">
        <v>12</v>
      </c>
      <c r="C1781">
        <v>21</v>
      </c>
      <c r="D1781">
        <v>0</v>
      </c>
      <c r="E1781">
        <v>1568</v>
      </c>
      <c r="F1781">
        <v>10238</v>
      </c>
      <c r="G1781" s="3">
        <f t="shared" si="81"/>
        <v>2</v>
      </c>
      <c r="H1781" s="4">
        <f t="shared" si="82"/>
        <v>1.9535065442466415E-4</v>
      </c>
      <c r="I1781" s="1">
        <f t="shared" si="83"/>
        <v>1</v>
      </c>
    </row>
    <row r="1782" spans="1:9" hidden="1" x14ac:dyDescent="0.2">
      <c r="A1782" s="6">
        <v>44047.708333333336</v>
      </c>
      <c r="B1782" s="1" t="s">
        <v>12</v>
      </c>
      <c r="C1782">
        <v>22</v>
      </c>
      <c r="D1782">
        <v>0</v>
      </c>
      <c r="E1782">
        <v>1568</v>
      </c>
      <c r="F1782">
        <v>10243</v>
      </c>
      <c r="G1782" s="3">
        <f t="shared" si="81"/>
        <v>5</v>
      </c>
      <c r="H1782" s="4">
        <f t="shared" si="82"/>
        <v>4.8813824074978029E-4</v>
      </c>
      <c r="I1782" s="1">
        <f t="shared" si="83"/>
        <v>0</v>
      </c>
    </row>
    <row r="1783" spans="1:9" hidden="1" x14ac:dyDescent="0.2">
      <c r="A1783" s="6">
        <v>44048.708333333336</v>
      </c>
      <c r="B1783" s="1" t="s">
        <v>12</v>
      </c>
      <c r="C1783">
        <v>18</v>
      </c>
      <c r="D1783">
        <v>0</v>
      </c>
      <c r="E1783">
        <v>1568</v>
      </c>
      <c r="F1783">
        <v>10250</v>
      </c>
      <c r="G1783" s="3">
        <f t="shared" si="81"/>
        <v>7</v>
      </c>
      <c r="H1783" s="4">
        <f t="shared" si="82"/>
        <v>6.8292682926829329E-4</v>
      </c>
      <c r="I1783" s="1">
        <f t="shared" si="83"/>
        <v>0</v>
      </c>
    </row>
    <row r="1784" spans="1:9" hidden="1" x14ac:dyDescent="0.2">
      <c r="A1784" s="6">
        <v>44049.708333333336</v>
      </c>
      <c r="B1784" s="1" t="s">
        <v>12</v>
      </c>
      <c r="C1784">
        <v>20</v>
      </c>
      <c r="D1784">
        <v>0</v>
      </c>
      <c r="E1784">
        <v>1568</v>
      </c>
      <c r="F1784">
        <v>10263</v>
      </c>
      <c r="G1784" s="3">
        <f t="shared" si="81"/>
        <v>13</v>
      </c>
      <c r="H1784" s="4">
        <f t="shared" si="82"/>
        <v>1.2666861541459351E-3</v>
      </c>
      <c r="I1784" s="1">
        <f t="shared" si="83"/>
        <v>0</v>
      </c>
    </row>
    <row r="1785" spans="1:9" hidden="1" x14ac:dyDescent="0.2">
      <c r="A1785" s="6">
        <v>44050.708333333336</v>
      </c>
      <c r="B1785" s="1" t="s">
        <v>12</v>
      </c>
      <c r="C1785">
        <v>22</v>
      </c>
      <c r="D1785">
        <v>1</v>
      </c>
      <c r="E1785">
        <v>1568</v>
      </c>
      <c r="F1785">
        <v>10272</v>
      </c>
      <c r="G1785" s="3">
        <f t="shared" si="81"/>
        <v>9</v>
      </c>
      <c r="H1785" s="4">
        <f t="shared" si="82"/>
        <v>8.7616822429903429E-4</v>
      </c>
      <c r="I1785" s="1">
        <f t="shared" si="83"/>
        <v>0</v>
      </c>
    </row>
    <row r="1786" spans="1:9" hidden="1" x14ac:dyDescent="0.2">
      <c r="A1786" s="6">
        <v>44051.708333333336</v>
      </c>
      <c r="B1786" s="1" t="s">
        <v>12</v>
      </c>
      <c r="C1786">
        <v>20</v>
      </c>
      <c r="D1786">
        <v>1</v>
      </c>
      <c r="E1786">
        <v>1569</v>
      </c>
      <c r="F1786">
        <v>10276</v>
      </c>
      <c r="G1786" s="3">
        <f t="shared" si="81"/>
        <v>4</v>
      </c>
      <c r="H1786" s="4">
        <f t="shared" si="82"/>
        <v>3.8925652004673239E-4</v>
      </c>
      <c r="I1786" s="1">
        <f t="shared" si="83"/>
        <v>1</v>
      </c>
    </row>
    <row r="1787" spans="1:9" hidden="1" x14ac:dyDescent="0.2">
      <c r="A1787" s="6">
        <v>44052.708333333336</v>
      </c>
      <c r="B1787" s="1" t="s">
        <v>12</v>
      </c>
      <c r="C1787">
        <v>20</v>
      </c>
      <c r="D1787">
        <v>2</v>
      </c>
      <c r="E1787">
        <v>1569</v>
      </c>
      <c r="F1787">
        <v>10283</v>
      </c>
      <c r="G1787" s="3">
        <f t="shared" si="81"/>
        <v>7</v>
      </c>
      <c r="H1787" s="4">
        <f t="shared" si="82"/>
        <v>6.8073519400957405E-4</v>
      </c>
      <c r="I1787" s="1">
        <f t="shared" si="83"/>
        <v>0</v>
      </c>
    </row>
    <row r="1788" spans="1:9" hidden="1" x14ac:dyDescent="0.2">
      <c r="A1788" s="6">
        <v>44053.708333333336</v>
      </c>
      <c r="B1788" s="1" t="s">
        <v>12</v>
      </c>
      <c r="C1788">
        <v>20</v>
      </c>
      <c r="D1788">
        <v>2</v>
      </c>
      <c r="E1788">
        <v>1569</v>
      </c>
      <c r="F1788">
        <v>10293</v>
      </c>
      <c r="G1788" s="3">
        <f t="shared" si="81"/>
        <v>10</v>
      </c>
      <c r="H1788" s="4">
        <f t="shared" si="82"/>
        <v>9.7153405226857448E-4</v>
      </c>
      <c r="I1788" s="1">
        <f t="shared" si="83"/>
        <v>0</v>
      </c>
    </row>
    <row r="1789" spans="1:9" hidden="1" x14ac:dyDescent="0.2">
      <c r="A1789" s="6">
        <v>44054.708333333336</v>
      </c>
      <c r="B1789" s="1" t="s">
        <v>12</v>
      </c>
      <c r="C1789">
        <v>18</v>
      </c>
      <c r="D1789">
        <v>2</v>
      </c>
      <c r="E1789">
        <v>1569</v>
      </c>
      <c r="F1789">
        <v>10304</v>
      </c>
      <c r="G1789" s="3">
        <f t="shared" si="81"/>
        <v>11</v>
      </c>
      <c r="H1789" s="4">
        <f t="shared" si="82"/>
        <v>1.0675465838508869E-3</v>
      </c>
      <c r="I1789" s="1">
        <f t="shared" si="83"/>
        <v>0</v>
      </c>
    </row>
    <row r="1790" spans="1:9" hidden="1" x14ac:dyDescent="0.2">
      <c r="A1790" s="6">
        <v>44055.708333333336</v>
      </c>
      <c r="B1790" s="1" t="s">
        <v>12</v>
      </c>
      <c r="C1790">
        <v>17</v>
      </c>
      <c r="D1790">
        <v>2</v>
      </c>
      <c r="E1790">
        <v>1569</v>
      </c>
      <c r="F1790">
        <v>10330</v>
      </c>
      <c r="G1790" s="3">
        <f t="shared" si="81"/>
        <v>26</v>
      </c>
      <c r="H1790" s="4">
        <f t="shared" si="82"/>
        <v>2.5169409486931471E-3</v>
      </c>
      <c r="I1790" s="1">
        <f t="shared" si="83"/>
        <v>0</v>
      </c>
    </row>
    <row r="1791" spans="1:9" hidden="1" x14ac:dyDescent="0.2">
      <c r="A1791" s="6">
        <v>44056.708333333336</v>
      </c>
      <c r="B1791" s="1" t="s">
        <v>12</v>
      </c>
      <c r="C1791">
        <v>20</v>
      </c>
      <c r="D1791">
        <v>2</v>
      </c>
      <c r="E1791">
        <v>1569</v>
      </c>
      <c r="F1791">
        <v>10393</v>
      </c>
      <c r="G1791" s="3">
        <f t="shared" si="81"/>
        <v>63</v>
      </c>
      <c r="H1791" s="4">
        <f t="shared" si="82"/>
        <v>6.0617723467718543E-3</v>
      </c>
      <c r="I1791" s="1">
        <f t="shared" si="83"/>
        <v>0</v>
      </c>
    </row>
    <row r="1792" spans="1:9" hidden="1" x14ac:dyDescent="0.2">
      <c r="A1792" s="6">
        <v>44057.708333333336</v>
      </c>
      <c r="B1792" s="1" t="s">
        <v>12</v>
      </c>
      <c r="C1792">
        <v>17</v>
      </c>
      <c r="D1792">
        <v>3</v>
      </c>
      <c r="E1792">
        <v>1569</v>
      </c>
      <c r="F1792">
        <v>10413</v>
      </c>
      <c r="G1792" s="3">
        <f t="shared" si="81"/>
        <v>20</v>
      </c>
      <c r="H1792" s="4">
        <f t="shared" si="82"/>
        <v>1.9206760779794108E-3</v>
      </c>
      <c r="I1792" s="1">
        <f t="shared" si="83"/>
        <v>0</v>
      </c>
    </row>
    <row r="1793" spans="1:9" hidden="1" x14ac:dyDescent="0.2">
      <c r="A1793" s="6">
        <v>44058.708333333336</v>
      </c>
      <c r="B1793" s="1" t="s">
        <v>12</v>
      </c>
      <c r="C1793">
        <v>17</v>
      </c>
      <c r="D1793">
        <v>3</v>
      </c>
      <c r="E1793">
        <v>1569</v>
      </c>
      <c r="F1793">
        <v>10446</v>
      </c>
      <c r="G1793" s="3">
        <f t="shared" si="81"/>
        <v>33</v>
      </c>
      <c r="H1793" s="4">
        <f t="shared" si="82"/>
        <v>3.1591039632394846E-3</v>
      </c>
      <c r="I1793" s="1">
        <f t="shared" si="83"/>
        <v>0</v>
      </c>
    </row>
    <row r="1794" spans="1:9" hidden="1" x14ac:dyDescent="0.2">
      <c r="A1794" s="6">
        <v>44059.708333333336</v>
      </c>
      <c r="B1794" s="1" t="s">
        <v>12</v>
      </c>
      <c r="C1794">
        <v>19</v>
      </c>
      <c r="D1794">
        <v>3</v>
      </c>
      <c r="E1794">
        <v>1569</v>
      </c>
      <c r="F1794">
        <v>10458</v>
      </c>
      <c r="G1794" s="3">
        <f t="shared" si="81"/>
        <v>12</v>
      </c>
      <c r="H1794" s="4">
        <f t="shared" si="82"/>
        <v>1.1474469305794432E-3</v>
      </c>
      <c r="I1794" s="1">
        <f t="shared" si="83"/>
        <v>0</v>
      </c>
    </row>
    <row r="1795" spans="1:9" hidden="1" x14ac:dyDescent="0.2">
      <c r="A1795" s="6">
        <v>44060.708333333336</v>
      </c>
      <c r="B1795" s="1" t="s">
        <v>12</v>
      </c>
      <c r="C1795">
        <v>22</v>
      </c>
      <c r="D1795">
        <v>3</v>
      </c>
      <c r="E1795">
        <v>1569</v>
      </c>
      <c r="F1795">
        <v>10474</v>
      </c>
      <c r="G1795" s="3">
        <f t="shared" ref="G1795:G1858" si="84">IF(AND(F1795&gt;0,AND(B1795=B1794,F1795&gt;0)),F1795-F1794,0)</f>
        <v>16</v>
      </c>
      <c r="H1795" s="4">
        <f t="shared" ref="H1795:H1858" si="85">IF(AND(F1794&gt;0,AND(B1795=B1794,F1794&gt;0)),1-(F1794/F1795),0)</f>
        <v>1.527592132900546E-3</v>
      </c>
      <c r="I1795" s="1">
        <f t="shared" ref="I1795:I1858" si="86">IF(AND(E1795&gt;0,AND(B1795=B1794,E1795&gt;0)),E1795-E1794,0)</f>
        <v>0</v>
      </c>
    </row>
    <row r="1796" spans="1:9" hidden="1" x14ac:dyDescent="0.2">
      <c r="A1796" s="6">
        <v>44061.708333333336</v>
      </c>
      <c r="B1796" s="1" t="s">
        <v>12</v>
      </c>
      <c r="C1796">
        <v>25</v>
      </c>
      <c r="D1796">
        <v>1</v>
      </c>
      <c r="E1796">
        <v>1569</v>
      </c>
      <c r="F1796">
        <v>10501</v>
      </c>
      <c r="G1796" s="3">
        <f t="shared" si="84"/>
        <v>27</v>
      </c>
      <c r="H1796" s="4">
        <f t="shared" si="85"/>
        <v>2.5711836967907686E-3</v>
      </c>
      <c r="I1796" s="1">
        <f t="shared" si="86"/>
        <v>0</v>
      </c>
    </row>
    <row r="1797" spans="1:9" hidden="1" x14ac:dyDescent="0.2">
      <c r="A1797" s="6">
        <v>44062.708333333336</v>
      </c>
      <c r="B1797" s="1" t="s">
        <v>12</v>
      </c>
      <c r="C1797">
        <v>23</v>
      </c>
      <c r="D1797">
        <v>1</v>
      </c>
      <c r="E1797">
        <v>1569</v>
      </c>
      <c r="F1797">
        <v>10531</v>
      </c>
      <c r="G1797" s="3">
        <f t="shared" si="84"/>
        <v>30</v>
      </c>
      <c r="H1797" s="4">
        <f t="shared" si="85"/>
        <v>2.8487323141201948E-3</v>
      </c>
      <c r="I1797" s="1">
        <f t="shared" si="86"/>
        <v>0</v>
      </c>
    </row>
    <row r="1798" spans="1:9" hidden="1" x14ac:dyDescent="0.2">
      <c r="A1798" s="6">
        <v>44063.708333333336</v>
      </c>
      <c r="B1798" s="1" t="s">
        <v>12</v>
      </c>
      <c r="C1798">
        <v>21</v>
      </c>
      <c r="D1798">
        <v>1</v>
      </c>
      <c r="E1798">
        <v>1571</v>
      </c>
      <c r="F1798">
        <v>10562</v>
      </c>
      <c r="G1798" s="3">
        <f t="shared" si="84"/>
        <v>31</v>
      </c>
      <c r="H1798" s="4">
        <f t="shared" si="85"/>
        <v>2.9350501798901529E-3</v>
      </c>
      <c r="I1798" s="1">
        <f t="shared" si="86"/>
        <v>2</v>
      </c>
    </row>
    <row r="1799" spans="1:9" hidden="1" x14ac:dyDescent="0.2">
      <c r="A1799" s="6">
        <v>44064.708333333336</v>
      </c>
      <c r="B1799" s="1" t="s">
        <v>12</v>
      </c>
      <c r="C1799">
        <v>19</v>
      </c>
      <c r="D1799">
        <v>1</v>
      </c>
      <c r="E1799">
        <v>1571</v>
      </c>
      <c r="F1799">
        <v>10583</v>
      </c>
      <c r="G1799" s="3">
        <f t="shared" si="84"/>
        <v>21</v>
      </c>
      <c r="H1799" s="4">
        <f t="shared" si="85"/>
        <v>1.9843144665974144E-3</v>
      </c>
      <c r="I1799" s="1">
        <f t="shared" si="86"/>
        <v>0</v>
      </c>
    </row>
    <row r="1800" spans="1:9" hidden="1" x14ac:dyDescent="0.2">
      <c r="A1800" s="6">
        <v>44065.708333333336</v>
      </c>
      <c r="B1800" s="1" t="s">
        <v>12</v>
      </c>
      <c r="C1800">
        <v>18</v>
      </c>
      <c r="D1800">
        <v>1</v>
      </c>
      <c r="E1800">
        <v>1571</v>
      </c>
      <c r="F1800">
        <v>10617</v>
      </c>
      <c r="G1800" s="3">
        <f t="shared" si="84"/>
        <v>34</v>
      </c>
      <c r="H1800" s="4">
        <f t="shared" si="85"/>
        <v>3.2024112272770466E-3</v>
      </c>
      <c r="I1800" s="1">
        <f t="shared" si="86"/>
        <v>0</v>
      </c>
    </row>
    <row r="1801" spans="1:9" hidden="1" x14ac:dyDescent="0.2">
      <c r="A1801" s="6">
        <v>44066.708333333336</v>
      </c>
      <c r="B1801" s="1" t="s">
        <v>12</v>
      </c>
      <c r="C1801">
        <v>18</v>
      </c>
      <c r="D1801">
        <v>1</v>
      </c>
      <c r="E1801">
        <v>1571</v>
      </c>
      <c r="F1801">
        <v>10645</v>
      </c>
      <c r="G1801" s="3">
        <f t="shared" si="84"/>
        <v>28</v>
      </c>
      <c r="H1801" s="4">
        <f t="shared" si="85"/>
        <v>2.6303428839831167E-3</v>
      </c>
      <c r="I1801" s="1">
        <f t="shared" si="86"/>
        <v>0</v>
      </c>
    </row>
    <row r="1802" spans="1:9" hidden="1" x14ac:dyDescent="0.2">
      <c r="A1802" s="6">
        <v>44067.708333333336</v>
      </c>
      <c r="B1802" s="1" t="s">
        <v>12</v>
      </c>
      <c r="C1802">
        <v>22</v>
      </c>
      <c r="D1802">
        <v>0</v>
      </c>
      <c r="E1802">
        <v>1571</v>
      </c>
      <c r="F1802">
        <v>10671</v>
      </c>
      <c r="G1802" s="3">
        <f t="shared" si="84"/>
        <v>26</v>
      </c>
      <c r="H1802" s="4">
        <f t="shared" si="85"/>
        <v>2.4365101677443768E-3</v>
      </c>
      <c r="I1802" s="1">
        <f t="shared" si="86"/>
        <v>0</v>
      </c>
    </row>
    <row r="1803" spans="1:9" hidden="1" x14ac:dyDescent="0.2">
      <c r="A1803" s="6">
        <v>44068.708333333336</v>
      </c>
      <c r="B1803" s="1" t="s">
        <v>12</v>
      </c>
      <c r="C1803">
        <v>24</v>
      </c>
      <c r="D1803">
        <v>0</v>
      </c>
      <c r="E1803">
        <v>1571</v>
      </c>
      <c r="F1803">
        <v>10683</v>
      </c>
      <c r="G1803" s="3">
        <f t="shared" si="84"/>
        <v>12</v>
      </c>
      <c r="H1803" s="4">
        <f t="shared" si="85"/>
        <v>1.1232799775343638E-3</v>
      </c>
      <c r="I1803" s="1">
        <f t="shared" si="86"/>
        <v>0</v>
      </c>
    </row>
    <row r="1804" spans="1:9" hidden="1" x14ac:dyDescent="0.2">
      <c r="A1804" s="6">
        <v>44069.708333333336</v>
      </c>
      <c r="B1804" s="1" t="s">
        <v>12</v>
      </c>
      <c r="C1804">
        <v>23</v>
      </c>
      <c r="D1804">
        <v>0</v>
      </c>
      <c r="E1804">
        <v>1571</v>
      </c>
      <c r="F1804">
        <v>10724</v>
      </c>
      <c r="G1804" s="3">
        <f t="shared" si="84"/>
        <v>41</v>
      </c>
      <c r="H1804" s="4">
        <f t="shared" si="85"/>
        <v>3.8232002983961122E-3</v>
      </c>
      <c r="I1804" s="1">
        <f t="shared" si="86"/>
        <v>0</v>
      </c>
    </row>
    <row r="1805" spans="1:9" hidden="1" x14ac:dyDescent="0.2">
      <c r="A1805" s="6">
        <v>44070.708333333336</v>
      </c>
      <c r="B1805" s="1" t="s">
        <v>12</v>
      </c>
      <c r="C1805">
        <v>26</v>
      </c>
      <c r="D1805">
        <v>0</v>
      </c>
      <c r="E1805">
        <v>1571</v>
      </c>
      <c r="F1805">
        <v>10761</v>
      </c>
      <c r="G1805" s="3">
        <f t="shared" si="84"/>
        <v>37</v>
      </c>
      <c r="H1805" s="4">
        <f t="shared" si="85"/>
        <v>3.438342161509178E-3</v>
      </c>
      <c r="I1805" s="1">
        <f t="shared" si="86"/>
        <v>0</v>
      </c>
    </row>
    <row r="1806" spans="1:9" hidden="1" x14ac:dyDescent="0.2">
      <c r="A1806" s="6">
        <v>44071.708333333336</v>
      </c>
      <c r="B1806" s="1" t="s">
        <v>12</v>
      </c>
      <c r="C1806">
        <v>28</v>
      </c>
      <c r="D1806">
        <v>0</v>
      </c>
      <c r="E1806">
        <v>1571</v>
      </c>
      <c r="F1806">
        <v>10807</v>
      </c>
      <c r="G1806" s="3">
        <f t="shared" si="84"/>
        <v>46</v>
      </c>
      <c r="H1806" s="4">
        <f t="shared" si="85"/>
        <v>4.2565004163968023E-3</v>
      </c>
      <c r="I1806" s="1">
        <f t="shared" si="86"/>
        <v>0</v>
      </c>
    </row>
    <row r="1807" spans="1:9" hidden="1" x14ac:dyDescent="0.2">
      <c r="A1807" s="6">
        <v>44072.708333333336</v>
      </c>
      <c r="B1807" s="1" t="s">
        <v>12</v>
      </c>
      <c r="C1807">
        <v>29</v>
      </c>
      <c r="D1807">
        <v>1</v>
      </c>
      <c r="E1807">
        <v>1571</v>
      </c>
      <c r="F1807">
        <v>10854</v>
      </c>
      <c r="G1807" s="3">
        <f t="shared" si="84"/>
        <v>47</v>
      </c>
      <c r="H1807" s="4">
        <f t="shared" si="85"/>
        <v>4.3302008476138187E-3</v>
      </c>
      <c r="I1807" s="1">
        <f t="shared" si="86"/>
        <v>0</v>
      </c>
    </row>
    <row r="1808" spans="1:9" hidden="1" x14ac:dyDescent="0.2">
      <c r="A1808" s="6">
        <v>44073.708333333336</v>
      </c>
      <c r="B1808" s="1" t="s">
        <v>12</v>
      </c>
      <c r="C1808">
        <v>32</v>
      </c>
      <c r="D1808">
        <v>1</v>
      </c>
      <c r="E1808">
        <v>1571</v>
      </c>
      <c r="F1808">
        <v>10907</v>
      </c>
      <c r="G1808" s="3">
        <f t="shared" si="84"/>
        <v>53</v>
      </c>
      <c r="H1808" s="4">
        <f t="shared" si="85"/>
        <v>4.8592646923993899E-3</v>
      </c>
      <c r="I1808" s="1">
        <f t="shared" si="86"/>
        <v>0</v>
      </c>
    </row>
    <row r="1809" spans="1:9" hidden="1" x14ac:dyDescent="0.2">
      <c r="A1809" s="6">
        <v>44074.708333333336</v>
      </c>
      <c r="B1809" s="1" t="s">
        <v>12</v>
      </c>
      <c r="C1809">
        <v>38</v>
      </c>
      <c r="D1809">
        <v>1</v>
      </c>
      <c r="E1809">
        <v>1571</v>
      </c>
      <c r="F1809">
        <v>10951</v>
      </c>
      <c r="G1809" s="3">
        <f t="shared" si="84"/>
        <v>44</v>
      </c>
      <c r="H1809" s="4">
        <f t="shared" si="85"/>
        <v>4.0178979088667521E-3</v>
      </c>
      <c r="I1809" s="1">
        <f t="shared" si="86"/>
        <v>0</v>
      </c>
    </row>
    <row r="1810" spans="1:9" hidden="1" x14ac:dyDescent="0.2">
      <c r="A1810" s="6">
        <v>44075.708333333336</v>
      </c>
      <c r="B1810" s="1" t="s">
        <v>12</v>
      </c>
      <c r="C1810">
        <v>39</v>
      </c>
      <c r="D1810">
        <v>5</v>
      </c>
      <c r="E1810">
        <v>1571</v>
      </c>
      <c r="F1810">
        <v>10970</v>
      </c>
      <c r="G1810" s="3">
        <f t="shared" si="84"/>
        <v>19</v>
      </c>
      <c r="H1810" s="4">
        <f t="shared" si="85"/>
        <v>1.7319963536919225E-3</v>
      </c>
      <c r="I1810" s="1">
        <f t="shared" si="86"/>
        <v>0</v>
      </c>
    </row>
    <row r="1811" spans="1:9" hidden="1" x14ac:dyDescent="0.2">
      <c r="A1811" s="6">
        <v>44076.708333333336</v>
      </c>
      <c r="B1811" s="1" t="s">
        <v>12</v>
      </c>
      <c r="C1811">
        <v>38</v>
      </c>
      <c r="D1811">
        <v>6</v>
      </c>
      <c r="E1811">
        <v>1571</v>
      </c>
      <c r="F1811">
        <v>11017</v>
      </c>
      <c r="G1811" s="3">
        <f t="shared" si="84"/>
        <v>47</v>
      </c>
      <c r="H1811" s="4">
        <f t="shared" si="85"/>
        <v>4.2661341563039468E-3</v>
      </c>
      <c r="I1811" s="1">
        <f t="shared" si="86"/>
        <v>0</v>
      </c>
    </row>
    <row r="1812" spans="1:9" hidden="1" x14ac:dyDescent="0.2">
      <c r="A1812" s="6">
        <v>44077.708333333336</v>
      </c>
      <c r="B1812" s="1" t="s">
        <v>12</v>
      </c>
      <c r="C1812">
        <v>39</v>
      </c>
      <c r="D1812">
        <v>7</v>
      </c>
      <c r="E1812">
        <v>1572</v>
      </c>
      <c r="F1812">
        <v>11039</v>
      </c>
      <c r="G1812" s="3">
        <f t="shared" si="84"/>
        <v>22</v>
      </c>
      <c r="H1812" s="4">
        <f t="shared" si="85"/>
        <v>1.9929341425853897E-3</v>
      </c>
      <c r="I1812" s="1">
        <f t="shared" si="86"/>
        <v>1</v>
      </c>
    </row>
    <row r="1813" spans="1:9" hidden="1" x14ac:dyDescent="0.2">
      <c r="A1813" s="6">
        <v>44078.708333333336</v>
      </c>
      <c r="B1813" s="1" t="s">
        <v>12</v>
      </c>
      <c r="C1813">
        <v>48</v>
      </c>
      <c r="D1813">
        <v>6</v>
      </c>
      <c r="E1813">
        <v>1572</v>
      </c>
      <c r="F1813">
        <v>11086</v>
      </c>
      <c r="G1813" s="3">
        <f t="shared" si="84"/>
        <v>47</v>
      </c>
      <c r="H1813" s="4">
        <f t="shared" si="85"/>
        <v>4.2395814540862053E-3</v>
      </c>
      <c r="I1813" s="1">
        <f t="shared" si="86"/>
        <v>0</v>
      </c>
    </row>
    <row r="1814" spans="1:9" hidden="1" x14ac:dyDescent="0.2">
      <c r="A1814" s="6">
        <v>44079.708333333336</v>
      </c>
      <c r="B1814" s="1" t="s">
        <v>12</v>
      </c>
      <c r="C1814">
        <v>54</v>
      </c>
      <c r="D1814">
        <v>7</v>
      </c>
      <c r="E1814">
        <v>1573</v>
      </c>
      <c r="F1814">
        <v>11181</v>
      </c>
      <c r="G1814" s="3">
        <f t="shared" si="84"/>
        <v>95</v>
      </c>
      <c r="H1814" s="4">
        <f t="shared" si="85"/>
        <v>8.4965566586172603E-3</v>
      </c>
      <c r="I1814" s="1">
        <f t="shared" si="86"/>
        <v>1</v>
      </c>
    </row>
    <row r="1815" spans="1:9" hidden="1" x14ac:dyDescent="0.2">
      <c r="A1815" s="6">
        <v>44080.708333333336</v>
      </c>
      <c r="B1815" s="1" t="s">
        <v>12</v>
      </c>
      <c r="C1815">
        <v>62</v>
      </c>
      <c r="D1815">
        <v>9</v>
      </c>
      <c r="E1815">
        <v>1575</v>
      </c>
      <c r="F1815">
        <v>11292</v>
      </c>
      <c r="G1815" s="3">
        <f t="shared" si="84"/>
        <v>111</v>
      </c>
      <c r="H1815" s="4">
        <f t="shared" si="85"/>
        <v>9.8299681190223698E-3</v>
      </c>
      <c r="I1815" s="1">
        <f t="shared" si="86"/>
        <v>2</v>
      </c>
    </row>
    <row r="1816" spans="1:9" hidden="1" x14ac:dyDescent="0.2">
      <c r="A1816" s="6">
        <v>44081.708333333336</v>
      </c>
      <c r="B1816" s="1" t="s">
        <v>12</v>
      </c>
      <c r="C1816">
        <v>67</v>
      </c>
      <c r="D1816">
        <v>10</v>
      </c>
      <c r="E1816">
        <v>1577</v>
      </c>
      <c r="F1816">
        <v>11351</v>
      </c>
      <c r="G1816" s="3">
        <f t="shared" si="84"/>
        <v>59</v>
      </c>
      <c r="H1816" s="4">
        <f t="shared" si="85"/>
        <v>5.1977799312835637E-3</v>
      </c>
      <c r="I1816" s="1">
        <f t="shared" si="86"/>
        <v>2</v>
      </c>
    </row>
    <row r="1817" spans="1:9" hidden="1" x14ac:dyDescent="0.2">
      <c r="A1817" s="6">
        <v>44082.708333333336</v>
      </c>
      <c r="B1817" s="1" t="s">
        <v>12</v>
      </c>
      <c r="C1817">
        <v>85</v>
      </c>
      <c r="D1817">
        <v>11</v>
      </c>
      <c r="E1817">
        <v>1578</v>
      </c>
      <c r="F1817">
        <v>11415</v>
      </c>
      <c r="G1817" s="3">
        <f t="shared" si="84"/>
        <v>64</v>
      </c>
      <c r="H1817" s="4">
        <f t="shared" si="85"/>
        <v>5.6066579062636901E-3</v>
      </c>
      <c r="I1817" s="1">
        <f t="shared" si="86"/>
        <v>1</v>
      </c>
    </row>
    <row r="1818" spans="1:9" hidden="1" x14ac:dyDescent="0.2">
      <c r="A1818" s="6">
        <v>44083.708333333336</v>
      </c>
      <c r="B1818" s="1" t="s">
        <v>12</v>
      </c>
      <c r="C1818">
        <v>87</v>
      </c>
      <c r="D1818">
        <v>11</v>
      </c>
      <c r="E1818">
        <v>1579</v>
      </c>
      <c r="F1818">
        <v>11466</v>
      </c>
      <c r="G1818" s="3">
        <f t="shared" si="84"/>
        <v>51</v>
      </c>
      <c r="H1818" s="4">
        <f t="shared" si="85"/>
        <v>4.4479330193616384E-3</v>
      </c>
      <c r="I1818" s="1">
        <f t="shared" si="86"/>
        <v>1</v>
      </c>
    </row>
    <row r="1819" spans="1:9" hidden="1" x14ac:dyDescent="0.2">
      <c r="A1819" s="6">
        <v>44084.708333333336</v>
      </c>
      <c r="B1819" s="1" t="s">
        <v>12</v>
      </c>
      <c r="C1819">
        <v>91</v>
      </c>
      <c r="D1819">
        <v>11</v>
      </c>
      <c r="E1819">
        <v>1579</v>
      </c>
      <c r="F1819">
        <v>11580</v>
      </c>
      <c r="G1819" s="3">
        <f t="shared" si="84"/>
        <v>114</v>
      </c>
      <c r="H1819" s="4">
        <f t="shared" si="85"/>
        <v>9.8445595854922407E-3</v>
      </c>
      <c r="I1819" s="1">
        <f t="shared" si="86"/>
        <v>0</v>
      </c>
    </row>
    <row r="1820" spans="1:9" hidden="1" x14ac:dyDescent="0.2">
      <c r="A1820" s="6">
        <v>44085.708333333336</v>
      </c>
      <c r="B1820" s="1" t="s">
        <v>12</v>
      </c>
      <c r="C1820">
        <v>96</v>
      </c>
      <c r="D1820">
        <v>12</v>
      </c>
      <c r="E1820">
        <v>1579</v>
      </c>
      <c r="F1820">
        <v>11662</v>
      </c>
      <c r="G1820" s="3">
        <f t="shared" si="84"/>
        <v>82</v>
      </c>
      <c r="H1820" s="4">
        <f t="shared" si="85"/>
        <v>7.0313839821642965E-3</v>
      </c>
      <c r="I1820" s="1">
        <f t="shared" si="86"/>
        <v>0</v>
      </c>
    </row>
    <row r="1821" spans="1:9" hidden="1" x14ac:dyDescent="0.2">
      <c r="A1821" s="6">
        <v>44086.708333333336</v>
      </c>
      <c r="B1821" s="1" t="s">
        <v>12</v>
      </c>
      <c r="C1821">
        <v>109</v>
      </c>
      <c r="D1821">
        <v>11</v>
      </c>
      <c r="E1821">
        <v>1579</v>
      </c>
      <c r="F1821">
        <v>11774</v>
      </c>
      <c r="G1821" s="3">
        <f t="shared" si="84"/>
        <v>112</v>
      </c>
      <c r="H1821" s="4">
        <f t="shared" si="85"/>
        <v>9.5124851367419661E-3</v>
      </c>
      <c r="I1821" s="1">
        <f t="shared" si="86"/>
        <v>0</v>
      </c>
    </row>
    <row r="1822" spans="1:9" hidden="1" x14ac:dyDescent="0.2">
      <c r="A1822" s="6">
        <v>44087.708333333336</v>
      </c>
      <c r="B1822" s="1" t="s">
        <v>12</v>
      </c>
      <c r="C1822">
        <v>115</v>
      </c>
      <c r="D1822">
        <v>11</v>
      </c>
      <c r="E1822">
        <v>1579</v>
      </c>
      <c r="F1822">
        <v>11852</v>
      </c>
      <c r="G1822" s="3">
        <f t="shared" si="84"/>
        <v>78</v>
      </c>
      <c r="H1822" s="4">
        <f t="shared" si="85"/>
        <v>6.5811677354032927E-3</v>
      </c>
      <c r="I1822" s="1">
        <f t="shared" si="86"/>
        <v>0</v>
      </c>
    </row>
    <row r="1823" spans="1:9" hidden="1" x14ac:dyDescent="0.2">
      <c r="A1823" s="6">
        <v>44088.708333333336</v>
      </c>
      <c r="B1823" s="1" t="s">
        <v>12</v>
      </c>
      <c r="C1823">
        <v>126</v>
      </c>
      <c r="D1823">
        <v>12</v>
      </c>
      <c r="E1823">
        <v>1582</v>
      </c>
      <c r="F1823">
        <v>11917</v>
      </c>
      <c r="G1823" s="3">
        <f t="shared" si="84"/>
        <v>65</v>
      </c>
      <c r="H1823" s="4">
        <f t="shared" si="85"/>
        <v>5.454392884115089E-3</v>
      </c>
      <c r="I1823" s="1">
        <f t="shared" si="86"/>
        <v>3</v>
      </c>
    </row>
    <row r="1824" spans="1:9" hidden="1" x14ac:dyDescent="0.2">
      <c r="A1824" s="6">
        <v>44089.708333333336</v>
      </c>
      <c r="B1824" s="1" t="s">
        <v>12</v>
      </c>
      <c r="C1824">
        <v>128</v>
      </c>
      <c r="D1824">
        <v>12</v>
      </c>
      <c r="E1824">
        <v>1582</v>
      </c>
      <c r="F1824">
        <v>12058</v>
      </c>
      <c r="G1824" s="3">
        <f t="shared" si="84"/>
        <v>141</v>
      </c>
      <c r="H1824" s="4">
        <f t="shared" si="85"/>
        <v>1.1693481506054093E-2</v>
      </c>
      <c r="I1824" s="1">
        <f t="shared" si="86"/>
        <v>0</v>
      </c>
    </row>
    <row r="1825" spans="1:9" hidden="1" x14ac:dyDescent="0.2">
      <c r="A1825" s="6">
        <v>44090.708333333336</v>
      </c>
      <c r="B1825" s="1" t="s">
        <v>12</v>
      </c>
      <c r="C1825">
        <v>136</v>
      </c>
      <c r="D1825">
        <v>13</v>
      </c>
      <c r="E1825">
        <v>1583</v>
      </c>
      <c r="F1825">
        <v>12131</v>
      </c>
      <c r="G1825" s="3">
        <f t="shared" si="84"/>
        <v>73</v>
      </c>
      <c r="H1825" s="4">
        <f t="shared" si="85"/>
        <v>6.0176407550902589E-3</v>
      </c>
      <c r="I1825" s="1">
        <f t="shared" si="86"/>
        <v>1</v>
      </c>
    </row>
    <row r="1826" spans="1:9" hidden="1" x14ac:dyDescent="0.2">
      <c r="A1826" s="6">
        <v>44091.708333333336</v>
      </c>
      <c r="B1826" s="1" t="s">
        <v>12</v>
      </c>
      <c r="C1826">
        <v>135</v>
      </c>
      <c r="D1826">
        <v>15</v>
      </c>
      <c r="E1826">
        <v>1586</v>
      </c>
      <c r="F1826">
        <v>12171</v>
      </c>
      <c r="G1826" s="3">
        <f t="shared" si="84"/>
        <v>40</v>
      </c>
      <c r="H1826" s="4">
        <f t="shared" si="85"/>
        <v>3.2865006983814338E-3</v>
      </c>
      <c r="I1826" s="1">
        <f t="shared" si="86"/>
        <v>3</v>
      </c>
    </row>
    <row r="1827" spans="1:9" hidden="1" x14ac:dyDescent="0.2">
      <c r="A1827" s="6">
        <v>44092.708333333336</v>
      </c>
      <c r="B1827" s="1" t="s">
        <v>12</v>
      </c>
      <c r="C1827">
        <v>141</v>
      </c>
      <c r="D1827">
        <v>16</v>
      </c>
      <c r="E1827">
        <v>1586</v>
      </c>
      <c r="F1827">
        <v>12329</v>
      </c>
      <c r="G1827" s="3">
        <f t="shared" si="84"/>
        <v>158</v>
      </c>
      <c r="H1827" s="4">
        <f t="shared" si="85"/>
        <v>1.2815313488522939E-2</v>
      </c>
      <c r="I1827" s="1">
        <f t="shared" si="86"/>
        <v>0</v>
      </c>
    </row>
    <row r="1828" spans="1:9" hidden="1" x14ac:dyDescent="0.2">
      <c r="A1828" s="6">
        <v>44093.708333333336</v>
      </c>
      <c r="B1828" s="1" t="s">
        <v>12</v>
      </c>
      <c r="C1828">
        <v>140</v>
      </c>
      <c r="D1828">
        <v>16</v>
      </c>
      <c r="E1828">
        <v>1588</v>
      </c>
      <c r="F1828">
        <v>12407</v>
      </c>
      <c r="G1828" s="3">
        <f t="shared" si="84"/>
        <v>78</v>
      </c>
      <c r="H1828" s="4">
        <f t="shared" si="85"/>
        <v>6.2867735955508541E-3</v>
      </c>
      <c r="I1828" s="1">
        <f t="shared" si="86"/>
        <v>2</v>
      </c>
    </row>
    <row r="1829" spans="1:9" hidden="1" x14ac:dyDescent="0.2">
      <c r="A1829" s="6">
        <v>44094.708333333336</v>
      </c>
      <c r="B1829" s="1" t="s">
        <v>12</v>
      </c>
      <c r="C1829">
        <v>136</v>
      </c>
      <c r="D1829">
        <v>15</v>
      </c>
      <c r="E1829">
        <v>1591</v>
      </c>
      <c r="F1829">
        <v>12492</v>
      </c>
      <c r="G1829" s="3">
        <f t="shared" si="84"/>
        <v>85</v>
      </c>
      <c r="H1829" s="4">
        <f t="shared" si="85"/>
        <v>6.80435478706376E-3</v>
      </c>
      <c r="I1829" s="1">
        <f t="shared" si="86"/>
        <v>3</v>
      </c>
    </row>
    <row r="1830" spans="1:9" hidden="1" x14ac:dyDescent="0.2">
      <c r="A1830" s="6">
        <v>44095.708333333336</v>
      </c>
      <c r="B1830" s="1" t="s">
        <v>12</v>
      </c>
      <c r="C1830">
        <v>145</v>
      </c>
      <c r="D1830">
        <v>15</v>
      </c>
      <c r="E1830">
        <v>1591</v>
      </c>
      <c r="F1830">
        <v>12556</v>
      </c>
      <c r="G1830" s="3">
        <f t="shared" si="84"/>
        <v>64</v>
      </c>
      <c r="H1830" s="4">
        <f t="shared" si="85"/>
        <v>5.0971647021343935E-3</v>
      </c>
      <c r="I1830" s="1">
        <f t="shared" si="86"/>
        <v>0</v>
      </c>
    </row>
    <row r="1831" spans="1:9" hidden="1" x14ac:dyDescent="0.2">
      <c r="A1831" s="6">
        <v>44096.708333333336</v>
      </c>
      <c r="B1831" s="1" t="s">
        <v>12</v>
      </c>
      <c r="C1831">
        <v>148</v>
      </c>
      <c r="D1831">
        <v>17</v>
      </c>
      <c r="E1831">
        <v>1592</v>
      </c>
      <c r="F1831">
        <v>12661</v>
      </c>
      <c r="G1831" s="3">
        <f t="shared" si="84"/>
        <v>105</v>
      </c>
      <c r="H1831" s="4">
        <f t="shared" si="85"/>
        <v>8.2931837927493479E-3</v>
      </c>
      <c r="I1831" s="1">
        <f t="shared" si="86"/>
        <v>1</v>
      </c>
    </row>
    <row r="1832" spans="1:9" hidden="1" x14ac:dyDescent="0.2">
      <c r="A1832" s="6">
        <v>44097.708333333336</v>
      </c>
      <c r="B1832" s="1" t="s">
        <v>12</v>
      </c>
      <c r="C1832">
        <v>149</v>
      </c>
      <c r="D1832">
        <v>18</v>
      </c>
      <c r="E1832">
        <v>1594</v>
      </c>
      <c r="F1832">
        <v>12769</v>
      </c>
      <c r="G1832" s="3">
        <f t="shared" si="84"/>
        <v>108</v>
      </c>
      <c r="H1832" s="4">
        <f t="shared" si="85"/>
        <v>8.4579841804369726E-3</v>
      </c>
      <c r="I1832" s="1">
        <f t="shared" si="86"/>
        <v>2</v>
      </c>
    </row>
    <row r="1833" spans="1:9" hidden="1" x14ac:dyDescent="0.2">
      <c r="A1833" s="6">
        <v>44098.708333333336</v>
      </c>
      <c r="B1833" s="1" t="s">
        <v>12</v>
      </c>
      <c r="C1833">
        <v>153</v>
      </c>
      <c r="D1833">
        <v>18</v>
      </c>
      <c r="E1833">
        <v>1596</v>
      </c>
      <c r="F1833">
        <v>12871</v>
      </c>
      <c r="G1833" s="3">
        <f t="shared" si="84"/>
        <v>102</v>
      </c>
      <c r="H1833" s="4">
        <f t="shared" si="85"/>
        <v>7.9247921684406641E-3</v>
      </c>
      <c r="I1833" s="1">
        <f t="shared" si="86"/>
        <v>2</v>
      </c>
    </row>
    <row r="1834" spans="1:9" hidden="1" x14ac:dyDescent="0.2">
      <c r="A1834" s="6">
        <v>44099.708333333336</v>
      </c>
      <c r="B1834" s="1" t="s">
        <v>12</v>
      </c>
      <c r="C1834">
        <v>145</v>
      </c>
      <c r="D1834">
        <v>17</v>
      </c>
      <c r="E1834">
        <v>1597</v>
      </c>
      <c r="F1834">
        <v>12944</v>
      </c>
      <c r="G1834" s="3">
        <f t="shared" si="84"/>
        <v>73</v>
      </c>
      <c r="H1834" s="4">
        <f t="shared" si="85"/>
        <v>5.6396786155747947E-3</v>
      </c>
      <c r="I1834" s="1">
        <f t="shared" si="86"/>
        <v>1</v>
      </c>
    </row>
    <row r="1835" spans="1:9" hidden="1" x14ac:dyDescent="0.2">
      <c r="A1835" s="6">
        <v>44100.708333333336</v>
      </c>
      <c r="B1835" s="1" t="s">
        <v>12</v>
      </c>
      <c r="C1835">
        <v>136</v>
      </c>
      <c r="D1835">
        <v>19</v>
      </c>
      <c r="E1835">
        <v>1599</v>
      </c>
      <c r="F1835">
        <v>13041</v>
      </c>
      <c r="G1835" s="3">
        <f t="shared" si="84"/>
        <v>97</v>
      </c>
      <c r="H1835" s="4">
        <f t="shared" si="85"/>
        <v>7.4380799018479715E-3</v>
      </c>
      <c r="I1835" s="1">
        <f t="shared" si="86"/>
        <v>2</v>
      </c>
    </row>
    <row r="1836" spans="1:9" hidden="1" x14ac:dyDescent="0.2">
      <c r="A1836" s="6">
        <v>44101.708333333336</v>
      </c>
      <c r="B1836" s="1" t="s">
        <v>12</v>
      </c>
      <c r="C1836">
        <v>137</v>
      </c>
      <c r="D1836">
        <v>22</v>
      </c>
      <c r="E1836">
        <v>1599</v>
      </c>
      <c r="F1836">
        <v>13086</v>
      </c>
      <c r="G1836" s="3">
        <f t="shared" si="84"/>
        <v>45</v>
      </c>
      <c r="H1836" s="4">
        <f t="shared" si="85"/>
        <v>3.4387895460797901E-3</v>
      </c>
      <c r="I1836" s="1">
        <f t="shared" si="86"/>
        <v>0</v>
      </c>
    </row>
    <row r="1837" spans="1:9" hidden="1" x14ac:dyDescent="0.2">
      <c r="A1837" s="6">
        <v>44102.708333333336</v>
      </c>
      <c r="B1837" s="1" t="s">
        <v>12</v>
      </c>
      <c r="C1837">
        <v>145</v>
      </c>
      <c r="D1837">
        <v>24</v>
      </c>
      <c r="E1837">
        <v>1600</v>
      </c>
      <c r="F1837">
        <v>13195</v>
      </c>
      <c r="G1837" s="3">
        <f t="shared" si="84"/>
        <v>109</v>
      </c>
      <c r="H1837" s="4">
        <f t="shared" si="85"/>
        <v>8.2607048124289095E-3</v>
      </c>
      <c r="I1837" s="1">
        <f t="shared" si="86"/>
        <v>1</v>
      </c>
    </row>
    <row r="1838" spans="1:9" hidden="1" x14ac:dyDescent="0.2">
      <c r="A1838" s="6">
        <v>44103.708333333336</v>
      </c>
      <c r="B1838" s="1" t="s">
        <v>12</v>
      </c>
      <c r="C1838">
        <v>143</v>
      </c>
      <c r="D1838">
        <v>22</v>
      </c>
      <c r="E1838">
        <v>1603</v>
      </c>
      <c r="F1838">
        <v>13284</v>
      </c>
      <c r="G1838" s="3">
        <f t="shared" si="84"/>
        <v>89</v>
      </c>
      <c r="H1838" s="4">
        <f t="shared" si="85"/>
        <v>6.6997892201143827E-3</v>
      </c>
      <c r="I1838" s="1">
        <f t="shared" si="86"/>
        <v>3</v>
      </c>
    </row>
    <row r="1839" spans="1:9" hidden="1" x14ac:dyDescent="0.2">
      <c r="A1839" s="6">
        <v>44104.708333333336</v>
      </c>
      <c r="B1839" s="1" t="s">
        <v>12</v>
      </c>
      <c r="C1839">
        <v>143</v>
      </c>
      <c r="D1839">
        <v>22</v>
      </c>
      <c r="E1839">
        <v>1604</v>
      </c>
      <c r="F1839">
        <v>13335</v>
      </c>
      <c r="G1839" s="3">
        <f t="shared" si="84"/>
        <v>51</v>
      </c>
      <c r="H1839" s="4">
        <f t="shared" si="85"/>
        <v>3.8245219347581294E-3</v>
      </c>
      <c r="I1839" s="1">
        <f t="shared" si="86"/>
        <v>1</v>
      </c>
    </row>
    <row r="1840" spans="1:9" hidden="1" x14ac:dyDescent="0.2">
      <c r="A1840" s="6">
        <v>44105.708333333336</v>
      </c>
      <c r="B1840" s="1" t="s">
        <v>12</v>
      </c>
      <c r="C1840">
        <v>152</v>
      </c>
      <c r="D1840">
        <v>21</v>
      </c>
      <c r="E1840">
        <v>1608</v>
      </c>
      <c r="F1840">
        <v>13446</v>
      </c>
      <c r="G1840" s="3">
        <f t="shared" si="84"/>
        <v>111</v>
      </c>
      <c r="H1840" s="4">
        <f t="shared" si="85"/>
        <v>8.2552431950022598E-3</v>
      </c>
      <c r="I1840" s="1">
        <f t="shared" si="86"/>
        <v>4</v>
      </c>
    </row>
    <row r="1841" spans="1:9" hidden="1" x14ac:dyDescent="0.2">
      <c r="A1841" s="6">
        <v>44106.708333333336</v>
      </c>
      <c r="B1841" s="1" t="s">
        <v>12</v>
      </c>
      <c r="C1841">
        <v>161</v>
      </c>
      <c r="D1841">
        <v>23</v>
      </c>
      <c r="E1841">
        <v>1608</v>
      </c>
      <c r="F1841">
        <v>13586</v>
      </c>
      <c r="G1841" s="3">
        <f t="shared" si="84"/>
        <v>140</v>
      </c>
      <c r="H1841" s="4">
        <f t="shared" si="85"/>
        <v>1.0304725452671915E-2</v>
      </c>
      <c r="I1841" s="1">
        <f t="shared" si="86"/>
        <v>0</v>
      </c>
    </row>
    <row r="1842" spans="1:9" hidden="1" x14ac:dyDescent="0.2">
      <c r="A1842" s="6">
        <v>44107.708333333336</v>
      </c>
      <c r="B1842" s="1" t="s">
        <v>12</v>
      </c>
      <c r="C1842">
        <v>167</v>
      </c>
      <c r="D1842">
        <v>21</v>
      </c>
      <c r="E1842">
        <v>1609</v>
      </c>
      <c r="F1842">
        <v>13748</v>
      </c>
      <c r="G1842" s="3">
        <f t="shared" si="84"/>
        <v>162</v>
      </c>
      <c r="H1842" s="4">
        <f t="shared" si="85"/>
        <v>1.1783532150130949E-2</v>
      </c>
      <c r="I1842" s="1">
        <f t="shared" si="86"/>
        <v>1</v>
      </c>
    </row>
    <row r="1843" spans="1:9" hidden="1" x14ac:dyDescent="0.2">
      <c r="A1843" s="6">
        <v>44108.708333333336</v>
      </c>
      <c r="B1843" s="1" t="s">
        <v>12</v>
      </c>
      <c r="C1843">
        <v>167</v>
      </c>
      <c r="D1843">
        <v>23</v>
      </c>
      <c r="E1843">
        <v>1610</v>
      </c>
      <c r="F1843">
        <v>13869</v>
      </c>
      <c r="G1843" s="3">
        <f t="shared" si="84"/>
        <v>121</v>
      </c>
      <c r="H1843" s="4">
        <f t="shared" si="85"/>
        <v>8.724493474655759E-3</v>
      </c>
      <c r="I1843" s="1">
        <f t="shared" si="86"/>
        <v>1</v>
      </c>
    </row>
    <row r="1844" spans="1:9" hidden="1" x14ac:dyDescent="0.2">
      <c r="A1844" s="6">
        <v>44109.708333333336</v>
      </c>
      <c r="B1844" s="1" t="s">
        <v>12</v>
      </c>
      <c r="C1844">
        <v>180</v>
      </c>
      <c r="D1844">
        <v>24</v>
      </c>
      <c r="E1844">
        <v>1610</v>
      </c>
      <c r="F1844">
        <v>13976</v>
      </c>
      <c r="G1844" s="3">
        <f t="shared" si="84"/>
        <v>107</v>
      </c>
      <c r="H1844" s="4">
        <f t="shared" si="85"/>
        <v>7.6559816828849492E-3</v>
      </c>
      <c r="I1844" s="1">
        <f t="shared" si="86"/>
        <v>0</v>
      </c>
    </row>
    <row r="1845" spans="1:9" hidden="1" x14ac:dyDescent="0.2">
      <c r="A1845" s="6">
        <v>44110.708333333336</v>
      </c>
      <c r="B1845" s="1" t="s">
        <v>12</v>
      </c>
      <c r="C1845">
        <v>178</v>
      </c>
      <c r="D1845">
        <v>23</v>
      </c>
      <c r="E1845">
        <v>1612</v>
      </c>
      <c r="F1845">
        <v>14146</v>
      </c>
      <c r="G1845" s="3">
        <f t="shared" si="84"/>
        <v>170</v>
      </c>
      <c r="H1845" s="4">
        <f t="shared" si="85"/>
        <v>1.2017531457655828E-2</v>
      </c>
      <c r="I1845" s="1">
        <f t="shared" si="86"/>
        <v>2</v>
      </c>
    </row>
    <row r="1846" spans="1:9" hidden="1" x14ac:dyDescent="0.2">
      <c r="A1846" s="6">
        <v>44111.708333333336</v>
      </c>
      <c r="B1846" s="1" t="s">
        <v>12</v>
      </c>
      <c r="C1846">
        <v>196</v>
      </c>
      <c r="D1846">
        <v>24</v>
      </c>
      <c r="E1846">
        <v>1614</v>
      </c>
      <c r="F1846">
        <v>14322</v>
      </c>
      <c r="G1846" s="3">
        <f t="shared" si="84"/>
        <v>176</v>
      </c>
      <c r="H1846" s="4">
        <f t="shared" si="85"/>
        <v>1.228878648233489E-2</v>
      </c>
      <c r="I1846" s="1">
        <f t="shared" si="86"/>
        <v>2</v>
      </c>
    </row>
    <row r="1847" spans="1:9" hidden="1" x14ac:dyDescent="0.2">
      <c r="A1847" s="6">
        <v>44112.708333333336</v>
      </c>
      <c r="B1847" s="1" t="s">
        <v>12</v>
      </c>
      <c r="C1847">
        <v>195</v>
      </c>
      <c r="D1847">
        <v>28</v>
      </c>
      <c r="E1847">
        <v>1614</v>
      </c>
      <c r="F1847">
        <v>14474</v>
      </c>
      <c r="G1847" s="3">
        <f t="shared" si="84"/>
        <v>152</v>
      </c>
      <c r="H1847" s="4">
        <f t="shared" si="85"/>
        <v>1.0501589056238769E-2</v>
      </c>
      <c r="I1847" s="1">
        <f t="shared" si="86"/>
        <v>0</v>
      </c>
    </row>
    <row r="1848" spans="1:9" hidden="1" x14ac:dyDescent="0.2">
      <c r="A1848" s="6">
        <v>44113.708333333336</v>
      </c>
      <c r="B1848" s="1" t="s">
        <v>12</v>
      </c>
      <c r="C1848">
        <v>199</v>
      </c>
      <c r="D1848">
        <v>26</v>
      </c>
      <c r="E1848">
        <v>1615</v>
      </c>
      <c r="F1848">
        <v>14670</v>
      </c>
      <c r="G1848" s="3">
        <f t="shared" si="84"/>
        <v>196</v>
      </c>
      <c r="H1848" s="4">
        <f t="shared" si="85"/>
        <v>1.3360599863667333E-2</v>
      </c>
      <c r="I1848" s="1">
        <f t="shared" si="86"/>
        <v>1</v>
      </c>
    </row>
    <row r="1849" spans="1:9" hidden="1" x14ac:dyDescent="0.2">
      <c r="A1849" s="6">
        <v>44114.708333333336</v>
      </c>
      <c r="B1849" s="1" t="s">
        <v>12</v>
      </c>
      <c r="C1849">
        <v>222</v>
      </c>
      <c r="D1849">
        <v>26</v>
      </c>
      <c r="E1849">
        <v>1617</v>
      </c>
      <c r="F1849">
        <v>14883</v>
      </c>
      <c r="G1849" s="3">
        <f t="shared" si="84"/>
        <v>213</v>
      </c>
      <c r="H1849" s="4">
        <f t="shared" si="85"/>
        <v>1.4311630719612944E-2</v>
      </c>
      <c r="I1849" s="1">
        <f t="shared" si="86"/>
        <v>2</v>
      </c>
    </row>
    <row r="1850" spans="1:9" hidden="1" x14ac:dyDescent="0.2">
      <c r="A1850" s="6">
        <v>44115.708333333336</v>
      </c>
      <c r="B1850" s="1" t="s">
        <v>12</v>
      </c>
      <c r="C1850">
        <v>238</v>
      </c>
      <c r="D1850">
        <v>26</v>
      </c>
      <c r="E1850">
        <v>1619</v>
      </c>
      <c r="F1850">
        <v>15269</v>
      </c>
      <c r="G1850" s="3">
        <f t="shared" si="84"/>
        <v>386</v>
      </c>
      <c r="H1850" s="4">
        <f t="shared" si="85"/>
        <v>2.5279979042504452E-2</v>
      </c>
      <c r="I1850" s="1">
        <f t="shared" si="86"/>
        <v>2</v>
      </c>
    </row>
    <row r="1851" spans="1:9" hidden="1" x14ac:dyDescent="0.2">
      <c r="A1851" s="6">
        <v>43885.75</v>
      </c>
      <c r="B1851" s="1" t="s">
        <v>13</v>
      </c>
      <c r="C1851">
        <v>76</v>
      </c>
      <c r="D1851">
        <v>19</v>
      </c>
      <c r="E1851">
        <v>6</v>
      </c>
      <c r="F1851">
        <v>172</v>
      </c>
      <c r="G1851" s="3">
        <f t="shared" si="84"/>
        <v>0</v>
      </c>
      <c r="H1851" s="4">
        <f t="shared" si="85"/>
        <v>0</v>
      </c>
      <c r="I1851" s="1">
        <f t="shared" si="86"/>
        <v>0</v>
      </c>
    </row>
    <row r="1852" spans="1:9" hidden="1" x14ac:dyDescent="0.2">
      <c r="A1852" s="6">
        <v>43886.75</v>
      </c>
      <c r="B1852" s="1" t="s">
        <v>13</v>
      </c>
      <c r="C1852">
        <v>79</v>
      </c>
      <c r="D1852">
        <v>25</v>
      </c>
      <c r="E1852">
        <v>9</v>
      </c>
      <c r="F1852">
        <v>240</v>
      </c>
      <c r="G1852" s="3">
        <f t="shared" si="84"/>
        <v>68</v>
      </c>
      <c r="H1852" s="4">
        <f t="shared" si="85"/>
        <v>0.28333333333333333</v>
      </c>
      <c r="I1852" s="1">
        <f t="shared" si="86"/>
        <v>3</v>
      </c>
    </row>
    <row r="1853" spans="1:9" hidden="1" x14ac:dyDescent="0.2">
      <c r="A1853" s="6">
        <v>43887.75</v>
      </c>
      <c r="B1853" s="1" t="s">
        <v>13</v>
      </c>
      <c r="C1853">
        <v>79</v>
      </c>
      <c r="D1853">
        <v>25</v>
      </c>
      <c r="E1853">
        <v>9</v>
      </c>
      <c r="F1853">
        <v>258</v>
      </c>
      <c r="G1853" s="3">
        <f t="shared" si="84"/>
        <v>18</v>
      </c>
      <c r="H1853" s="4">
        <f t="shared" si="85"/>
        <v>6.9767441860465129E-2</v>
      </c>
      <c r="I1853" s="1">
        <f t="shared" si="86"/>
        <v>0</v>
      </c>
    </row>
    <row r="1854" spans="1:9" hidden="1" x14ac:dyDescent="0.2">
      <c r="A1854" s="6">
        <v>43888.75</v>
      </c>
      <c r="B1854" s="1" t="s">
        <v>13</v>
      </c>
      <c r="C1854">
        <v>172</v>
      </c>
      <c r="D1854">
        <v>41</v>
      </c>
      <c r="E1854">
        <v>14</v>
      </c>
      <c r="F1854">
        <v>403</v>
      </c>
      <c r="G1854" s="3">
        <f t="shared" si="84"/>
        <v>145</v>
      </c>
      <c r="H1854" s="4">
        <f t="shared" si="85"/>
        <v>0.35980148883374685</v>
      </c>
      <c r="I1854" s="1">
        <f t="shared" si="86"/>
        <v>5</v>
      </c>
    </row>
    <row r="1855" spans="1:9" hidden="1" x14ac:dyDescent="0.2">
      <c r="A1855" s="6">
        <v>43889.75</v>
      </c>
      <c r="B1855" s="1" t="s">
        <v>13</v>
      </c>
      <c r="C1855">
        <v>235</v>
      </c>
      <c r="D1855">
        <v>47</v>
      </c>
      <c r="E1855">
        <v>17</v>
      </c>
      <c r="F1855">
        <v>531</v>
      </c>
      <c r="G1855" s="3">
        <f t="shared" si="84"/>
        <v>128</v>
      </c>
      <c r="H1855" s="4">
        <f t="shared" si="85"/>
        <v>0.24105461393596983</v>
      </c>
      <c r="I1855" s="1">
        <f t="shared" si="86"/>
        <v>3</v>
      </c>
    </row>
    <row r="1856" spans="1:9" hidden="1" x14ac:dyDescent="0.2">
      <c r="A1856" s="6">
        <v>43890.708333333336</v>
      </c>
      <c r="B1856" s="1" t="s">
        <v>13</v>
      </c>
      <c r="C1856">
        <v>256</v>
      </c>
      <c r="D1856">
        <v>80</v>
      </c>
      <c r="E1856">
        <v>23</v>
      </c>
      <c r="F1856">
        <v>615</v>
      </c>
      <c r="G1856" s="3">
        <f t="shared" si="84"/>
        <v>84</v>
      </c>
      <c r="H1856" s="4">
        <f t="shared" si="85"/>
        <v>0.13658536585365855</v>
      </c>
      <c r="I1856" s="1">
        <f t="shared" si="86"/>
        <v>6</v>
      </c>
    </row>
    <row r="1857" spans="1:9" hidden="1" x14ac:dyDescent="0.2">
      <c r="A1857" s="6">
        <v>43891.708333333336</v>
      </c>
      <c r="B1857" s="1" t="s">
        <v>13</v>
      </c>
      <c r="C1857">
        <v>406</v>
      </c>
      <c r="D1857">
        <v>106</v>
      </c>
      <c r="E1857">
        <v>24</v>
      </c>
      <c r="F1857">
        <v>984</v>
      </c>
      <c r="G1857" s="3">
        <f t="shared" si="84"/>
        <v>369</v>
      </c>
      <c r="H1857" s="4">
        <f t="shared" si="85"/>
        <v>0.375</v>
      </c>
      <c r="I1857" s="1">
        <f t="shared" si="86"/>
        <v>1</v>
      </c>
    </row>
    <row r="1858" spans="1:9" hidden="1" x14ac:dyDescent="0.2">
      <c r="A1858" s="6">
        <v>43892.75</v>
      </c>
      <c r="B1858" s="1" t="s">
        <v>13</v>
      </c>
      <c r="C1858">
        <v>478</v>
      </c>
      <c r="D1858">
        <v>127</v>
      </c>
      <c r="E1858">
        <v>38</v>
      </c>
      <c r="F1858">
        <v>1254</v>
      </c>
      <c r="G1858" s="3">
        <f t="shared" si="84"/>
        <v>270</v>
      </c>
      <c r="H1858" s="4">
        <f t="shared" si="85"/>
        <v>0.21531100478468901</v>
      </c>
      <c r="I1858" s="1">
        <f t="shared" si="86"/>
        <v>14</v>
      </c>
    </row>
    <row r="1859" spans="1:9" hidden="1" x14ac:dyDescent="0.2">
      <c r="A1859" s="6">
        <v>43893.75</v>
      </c>
      <c r="B1859" s="1" t="s">
        <v>13</v>
      </c>
      <c r="C1859">
        <v>698</v>
      </c>
      <c r="D1859">
        <v>167</v>
      </c>
      <c r="E1859">
        <v>55</v>
      </c>
      <c r="F1859">
        <v>1520</v>
      </c>
      <c r="G1859" s="3">
        <f t="shared" ref="G1859:G1922" si="87">IF(AND(F1859&gt;0,AND(B1859=B1858,F1859&gt;0)),F1859-F1858,0)</f>
        <v>266</v>
      </c>
      <c r="H1859" s="4">
        <f t="shared" ref="H1859:H1922" si="88">IF(AND(F1858&gt;0,AND(B1859=B1858,F1858&gt;0)),1-(F1858/F1859),0)</f>
        <v>0.17500000000000004</v>
      </c>
      <c r="I1859" s="1">
        <f t="shared" ref="I1859:I1922" si="89">IF(AND(E1859&gt;0,AND(B1859=B1858,E1859&gt;0)),E1859-E1858,0)</f>
        <v>17</v>
      </c>
    </row>
    <row r="1860" spans="1:9" hidden="1" x14ac:dyDescent="0.2">
      <c r="A1860" s="6">
        <v>43894.708333333336</v>
      </c>
      <c r="B1860" s="1" t="s">
        <v>13</v>
      </c>
      <c r="C1860">
        <v>877</v>
      </c>
      <c r="D1860">
        <v>209</v>
      </c>
      <c r="E1860">
        <v>73</v>
      </c>
      <c r="F1860">
        <v>1820</v>
      </c>
      <c r="G1860" s="3">
        <f t="shared" si="87"/>
        <v>300</v>
      </c>
      <c r="H1860" s="4">
        <f t="shared" si="88"/>
        <v>0.1648351648351648</v>
      </c>
      <c r="I1860" s="1">
        <f t="shared" si="89"/>
        <v>18</v>
      </c>
    </row>
    <row r="1861" spans="1:9" hidden="1" x14ac:dyDescent="0.2">
      <c r="A1861" s="6">
        <v>43895.708333333336</v>
      </c>
      <c r="B1861" s="1" t="s">
        <v>13</v>
      </c>
      <c r="C1861">
        <v>1169</v>
      </c>
      <c r="D1861">
        <v>244</v>
      </c>
      <c r="E1861">
        <v>98</v>
      </c>
      <c r="F1861">
        <v>2251</v>
      </c>
      <c r="G1861" s="3">
        <f t="shared" si="87"/>
        <v>431</v>
      </c>
      <c r="H1861" s="4">
        <f t="shared" si="88"/>
        <v>0.19147045757441139</v>
      </c>
      <c r="I1861" s="1">
        <f t="shared" si="89"/>
        <v>25</v>
      </c>
    </row>
    <row r="1862" spans="1:9" hidden="1" x14ac:dyDescent="0.2">
      <c r="A1862" s="6">
        <v>43896.708333333336</v>
      </c>
      <c r="B1862" s="1" t="s">
        <v>13</v>
      </c>
      <c r="C1862">
        <v>1622</v>
      </c>
      <c r="D1862">
        <v>309</v>
      </c>
      <c r="E1862">
        <v>135</v>
      </c>
      <c r="F1862">
        <v>2612</v>
      </c>
      <c r="G1862" s="3">
        <f t="shared" si="87"/>
        <v>361</v>
      </c>
      <c r="H1862" s="4">
        <f t="shared" si="88"/>
        <v>0.13820826952526799</v>
      </c>
      <c r="I1862" s="1">
        <f t="shared" si="89"/>
        <v>37</v>
      </c>
    </row>
    <row r="1863" spans="1:9" hidden="1" x14ac:dyDescent="0.2">
      <c r="A1863" s="6">
        <v>43897.75</v>
      </c>
      <c r="B1863" s="1" t="s">
        <v>13</v>
      </c>
      <c r="C1863">
        <v>1661</v>
      </c>
      <c r="D1863">
        <v>359</v>
      </c>
      <c r="E1863">
        <v>154</v>
      </c>
      <c r="F1863">
        <v>3420</v>
      </c>
      <c r="G1863" s="3">
        <f t="shared" si="87"/>
        <v>808</v>
      </c>
      <c r="H1863" s="4">
        <f t="shared" si="88"/>
        <v>0.2362573099415205</v>
      </c>
      <c r="I1863" s="1">
        <f t="shared" si="89"/>
        <v>19</v>
      </c>
    </row>
    <row r="1864" spans="1:9" hidden="1" x14ac:dyDescent="0.2">
      <c r="A1864" s="6">
        <v>43898.75</v>
      </c>
      <c r="B1864" s="1" t="s">
        <v>13</v>
      </c>
      <c r="C1864">
        <v>2217</v>
      </c>
      <c r="D1864">
        <v>399</v>
      </c>
      <c r="E1864">
        <v>267</v>
      </c>
      <c r="F1864">
        <v>4189</v>
      </c>
      <c r="G1864" s="3">
        <f t="shared" si="87"/>
        <v>769</v>
      </c>
      <c r="H1864" s="4">
        <f t="shared" si="88"/>
        <v>0.18357603246598231</v>
      </c>
      <c r="I1864" s="1">
        <f t="shared" si="89"/>
        <v>113</v>
      </c>
    </row>
    <row r="1865" spans="1:9" hidden="1" x14ac:dyDescent="0.2">
      <c r="A1865" s="6">
        <v>43899.75</v>
      </c>
      <c r="B1865" s="1" t="s">
        <v>13</v>
      </c>
      <c r="C1865">
        <v>2802</v>
      </c>
      <c r="D1865">
        <v>440</v>
      </c>
      <c r="E1865">
        <v>333</v>
      </c>
      <c r="F1865">
        <v>5469</v>
      </c>
      <c r="G1865" s="3">
        <f t="shared" si="87"/>
        <v>1280</v>
      </c>
      <c r="H1865" s="4">
        <f t="shared" si="88"/>
        <v>0.23404644359115012</v>
      </c>
      <c r="I1865" s="1">
        <f t="shared" si="89"/>
        <v>66</v>
      </c>
    </row>
    <row r="1866" spans="1:9" hidden="1" x14ac:dyDescent="0.2">
      <c r="A1866" s="6">
        <v>43900.75</v>
      </c>
      <c r="B1866" s="1" t="s">
        <v>13</v>
      </c>
      <c r="C1866">
        <v>3319</v>
      </c>
      <c r="D1866">
        <v>466</v>
      </c>
      <c r="E1866">
        <v>468</v>
      </c>
      <c r="F1866">
        <v>5791</v>
      </c>
      <c r="G1866" s="3">
        <f t="shared" si="87"/>
        <v>322</v>
      </c>
      <c r="H1866" s="4">
        <f t="shared" si="88"/>
        <v>5.5603522707649788E-2</v>
      </c>
      <c r="I1866" s="1">
        <f t="shared" si="89"/>
        <v>135</v>
      </c>
    </row>
    <row r="1867" spans="1:9" hidden="1" x14ac:dyDescent="0.2">
      <c r="A1867" s="6">
        <v>43901.708333333336</v>
      </c>
      <c r="B1867" s="1" t="s">
        <v>13</v>
      </c>
      <c r="C1867">
        <v>3852</v>
      </c>
      <c r="D1867">
        <v>560</v>
      </c>
      <c r="E1867">
        <v>617</v>
      </c>
      <c r="F1867">
        <v>7280</v>
      </c>
      <c r="G1867" s="3">
        <f t="shared" si="87"/>
        <v>1489</v>
      </c>
      <c r="H1867" s="4">
        <f t="shared" si="88"/>
        <v>0.20453296703296708</v>
      </c>
      <c r="I1867" s="1">
        <f t="shared" si="89"/>
        <v>149</v>
      </c>
    </row>
    <row r="1868" spans="1:9" hidden="1" x14ac:dyDescent="0.2">
      <c r="A1868" s="6">
        <v>43902.708333333336</v>
      </c>
      <c r="B1868" s="1" t="s">
        <v>13</v>
      </c>
      <c r="C1868">
        <v>4247</v>
      </c>
      <c r="D1868">
        <v>605</v>
      </c>
      <c r="E1868">
        <v>744</v>
      </c>
      <c r="F1868">
        <v>8725</v>
      </c>
      <c r="G1868" s="3">
        <f t="shared" si="87"/>
        <v>1445</v>
      </c>
      <c r="H1868" s="4">
        <f t="shared" si="88"/>
        <v>0.16561604584527223</v>
      </c>
      <c r="I1868" s="1">
        <f t="shared" si="89"/>
        <v>127</v>
      </c>
    </row>
    <row r="1869" spans="1:9" hidden="1" x14ac:dyDescent="0.2">
      <c r="A1869" s="6">
        <v>43903.708333333336</v>
      </c>
      <c r="B1869" s="1" t="s">
        <v>13</v>
      </c>
      <c r="C1869">
        <v>4435</v>
      </c>
      <c r="D1869">
        <v>650</v>
      </c>
      <c r="E1869">
        <v>890</v>
      </c>
      <c r="F1869">
        <v>9820</v>
      </c>
      <c r="G1869" s="3">
        <f t="shared" si="87"/>
        <v>1095</v>
      </c>
      <c r="H1869" s="4">
        <f t="shared" si="88"/>
        <v>0.11150712830957232</v>
      </c>
      <c r="I1869" s="1">
        <f t="shared" si="89"/>
        <v>146</v>
      </c>
    </row>
    <row r="1870" spans="1:9" hidden="1" x14ac:dyDescent="0.2">
      <c r="A1870" s="6">
        <v>43904.708333333336</v>
      </c>
      <c r="B1870" s="1" t="s">
        <v>13</v>
      </c>
      <c r="C1870">
        <v>4898</v>
      </c>
      <c r="D1870">
        <v>732</v>
      </c>
      <c r="E1870">
        <v>966</v>
      </c>
      <c r="F1870">
        <v>11685</v>
      </c>
      <c r="G1870" s="3">
        <f t="shared" si="87"/>
        <v>1865</v>
      </c>
      <c r="H1870" s="4">
        <f t="shared" si="88"/>
        <v>0.15960633290543436</v>
      </c>
      <c r="I1870" s="1">
        <f t="shared" si="89"/>
        <v>76</v>
      </c>
    </row>
    <row r="1871" spans="1:9" hidden="1" x14ac:dyDescent="0.2">
      <c r="A1871" s="6">
        <v>43905.708333333336</v>
      </c>
      <c r="B1871" s="1" t="s">
        <v>13</v>
      </c>
      <c r="C1871">
        <v>5500</v>
      </c>
      <c r="D1871">
        <v>767</v>
      </c>
      <c r="E1871">
        <v>1218</v>
      </c>
      <c r="F1871">
        <v>13272</v>
      </c>
      <c r="G1871" s="3">
        <f t="shared" si="87"/>
        <v>1587</v>
      </c>
      <c r="H1871" s="4">
        <f t="shared" si="88"/>
        <v>0.11957504520795659</v>
      </c>
      <c r="I1871" s="1">
        <f t="shared" si="89"/>
        <v>252</v>
      </c>
    </row>
    <row r="1872" spans="1:9" hidden="1" x14ac:dyDescent="0.2">
      <c r="A1872" s="6">
        <v>43906.708333333336</v>
      </c>
      <c r="B1872" s="1" t="s">
        <v>13</v>
      </c>
      <c r="C1872">
        <v>6171</v>
      </c>
      <c r="D1872">
        <v>823</v>
      </c>
      <c r="E1872">
        <v>1420</v>
      </c>
      <c r="F1872">
        <v>14649</v>
      </c>
      <c r="G1872" s="3">
        <f t="shared" si="87"/>
        <v>1377</v>
      </c>
      <c r="H1872" s="4">
        <f t="shared" si="88"/>
        <v>9.3999590415728029E-2</v>
      </c>
      <c r="I1872" s="1">
        <f t="shared" si="89"/>
        <v>202</v>
      </c>
    </row>
    <row r="1873" spans="1:9" hidden="1" x14ac:dyDescent="0.2">
      <c r="A1873" s="6">
        <v>43907.708333333336</v>
      </c>
      <c r="B1873" s="1" t="s">
        <v>13</v>
      </c>
      <c r="C1873">
        <v>6953</v>
      </c>
      <c r="D1873">
        <v>879</v>
      </c>
      <c r="E1873">
        <v>1640</v>
      </c>
      <c r="F1873">
        <v>16220</v>
      </c>
      <c r="G1873" s="3">
        <f t="shared" si="87"/>
        <v>1571</v>
      </c>
      <c r="H1873" s="4">
        <f t="shared" si="88"/>
        <v>9.6855733662145505E-2</v>
      </c>
      <c r="I1873" s="1">
        <f t="shared" si="89"/>
        <v>220</v>
      </c>
    </row>
    <row r="1874" spans="1:9" hidden="1" x14ac:dyDescent="0.2">
      <c r="A1874" s="6">
        <v>43908.708333333336</v>
      </c>
      <c r="B1874" s="1" t="s">
        <v>13</v>
      </c>
      <c r="C1874">
        <v>7285</v>
      </c>
      <c r="D1874">
        <v>924</v>
      </c>
      <c r="E1874">
        <v>1959</v>
      </c>
      <c r="F1874">
        <v>17713</v>
      </c>
      <c r="G1874" s="3">
        <f t="shared" si="87"/>
        <v>1493</v>
      </c>
      <c r="H1874" s="4">
        <f t="shared" si="88"/>
        <v>8.4288375769209001E-2</v>
      </c>
      <c r="I1874" s="1">
        <f t="shared" si="89"/>
        <v>319</v>
      </c>
    </row>
    <row r="1875" spans="1:9" hidden="1" x14ac:dyDescent="0.2">
      <c r="A1875" s="6">
        <v>43909.708333333336</v>
      </c>
      <c r="B1875" s="1" t="s">
        <v>13</v>
      </c>
      <c r="C1875">
        <v>7387</v>
      </c>
      <c r="D1875">
        <v>1006</v>
      </c>
      <c r="E1875">
        <v>2168</v>
      </c>
      <c r="F1875">
        <v>19884</v>
      </c>
      <c r="G1875" s="3">
        <f t="shared" si="87"/>
        <v>2171</v>
      </c>
      <c r="H1875" s="4">
        <f t="shared" si="88"/>
        <v>0.10918326292496483</v>
      </c>
      <c r="I1875" s="1">
        <f t="shared" si="89"/>
        <v>209</v>
      </c>
    </row>
    <row r="1876" spans="1:9" hidden="1" x14ac:dyDescent="0.2">
      <c r="A1876" s="6">
        <v>43910.708333333336</v>
      </c>
      <c r="B1876" s="1" t="s">
        <v>13</v>
      </c>
      <c r="C1876">
        <v>7735</v>
      </c>
      <c r="D1876">
        <v>1050</v>
      </c>
      <c r="E1876">
        <v>2549</v>
      </c>
      <c r="F1876">
        <v>22264</v>
      </c>
      <c r="G1876" s="3">
        <f t="shared" si="87"/>
        <v>2380</v>
      </c>
      <c r="H1876" s="4">
        <f t="shared" si="88"/>
        <v>0.10689902982393096</v>
      </c>
      <c r="I1876" s="1">
        <f t="shared" si="89"/>
        <v>381</v>
      </c>
    </row>
    <row r="1877" spans="1:9" hidden="1" x14ac:dyDescent="0.2">
      <c r="A1877" s="6">
        <v>43911.708333333336</v>
      </c>
      <c r="B1877" s="1" t="s">
        <v>13</v>
      </c>
      <c r="C1877">
        <v>8258</v>
      </c>
      <c r="D1877">
        <v>1093</v>
      </c>
      <c r="E1877">
        <v>3095</v>
      </c>
      <c r="F1877">
        <v>25515</v>
      </c>
      <c r="G1877" s="3">
        <f t="shared" si="87"/>
        <v>3251</v>
      </c>
      <c r="H1877" s="4">
        <f t="shared" si="88"/>
        <v>0.12741524593376441</v>
      </c>
      <c r="I1877" s="1">
        <f t="shared" si="89"/>
        <v>546</v>
      </c>
    </row>
    <row r="1878" spans="1:9" hidden="1" x14ac:dyDescent="0.2">
      <c r="A1878" s="6">
        <v>43912.708333333336</v>
      </c>
      <c r="B1878" s="1" t="s">
        <v>13</v>
      </c>
      <c r="C1878">
        <v>9439</v>
      </c>
      <c r="D1878">
        <v>1142</v>
      </c>
      <c r="E1878">
        <v>3456</v>
      </c>
      <c r="F1878">
        <v>27206</v>
      </c>
      <c r="G1878" s="3">
        <f t="shared" si="87"/>
        <v>1691</v>
      </c>
      <c r="H1878" s="4">
        <f t="shared" si="88"/>
        <v>6.2155406895537779E-2</v>
      </c>
      <c r="I1878" s="1">
        <f t="shared" si="89"/>
        <v>361</v>
      </c>
    </row>
    <row r="1879" spans="1:9" hidden="1" x14ac:dyDescent="0.2">
      <c r="A1879" s="6">
        <v>43913.708333333336</v>
      </c>
      <c r="B1879" s="1" t="s">
        <v>13</v>
      </c>
      <c r="C1879">
        <v>9266</v>
      </c>
      <c r="D1879">
        <v>1183</v>
      </c>
      <c r="E1879">
        <v>3776</v>
      </c>
      <c r="F1879">
        <v>28761</v>
      </c>
      <c r="G1879" s="3">
        <f t="shared" si="87"/>
        <v>1555</v>
      </c>
      <c r="H1879" s="4">
        <f t="shared" si="88"/>
        <v>5.4066270296582175E-2</v>
      </c>
      <c r="I1879" s="1">
        <f t="shared" si="89"/>
        <v>320</v>
      </c>
    </row>
    <row r="1880" spans="1:9" hidden="1" x14ac:dyDescent="0.2">
      <c r="A1880" s="6">
        <v>43914.708333333336</v>
      </c>
      <c r="B1880" s="1" t="s">
        <v>13</v>
      </c>
      <c r="C1880">
        <v>9711</v>
      </c>
      <c r="D1880">
        <v>1194</v>
      </c>
      <c r="E1880">
        <v>4178</v>
      </c>
      <c r="F1880">
        <v>30703</v>
      </c>
      <c r="G1880" s="3">
        <f t="shared" si="87"/>
        <v>1942</v>
      </c>
      <c r="H1880" s="4">
        <f t="shared" si="88"/>
        <v>6.3251148096277188E-2</v>
      </c>
      <c r="I1880" s="1">
        <f t="shared" si="89"/>
        <v>402</v>
      </c>
    </row>
    <row r="1881" spans="1:9" hidden="1" x14ac:dyDescent="0.2">
      <c r="A1881" s="6">
        <v>43915.708333333336</v>
      </c>
      <c r="B1881" s="1" t="s">
        <v>13</v>
      </c>
      <c r="C1881">
        <v>10026</v>
      </c>
      <c r="D1881">
        <v>1236</v>
      </c>
      <c r="E1881">
        <v>4474</v>
      </c>
      <c r="F1881">
        <v>32346</v>
      </c>
      <c r="G1881" s="3">
        <f t="shared" si="87"/>
        <v>1643</v>
      </c>
      <c r="H1881" s="4">
        <f t="shared" si="88"/>
        <v>5.0794534100043309E-2</v>
      </c>
      <c r="I1881" s="1">
        <f t="shared" si="89"/>
        <v>296</v>
      </c>
    </row>
    <row r="1882" spans="1:9" hidden="1" x14ac:dyDescent="0.2">
      <c r="A1882" s="6">
        <v>43916.708333333336</v>
      </c>
      <c r="B1882" s="1" t="s">
        <v>13</v>
      </c>
      <c r="C1882">
        <v>10681</v>
      </c>
      <c r="D1882">
        <v>1263</v>
      </c>
      <c r="E1882">
        <v>4861</v>
      </c>
      <c r="F1882">
        <v>34889</v>
      </c>
      <c r="G1882" s="3">
        <f t="shared" si="87"/>
        <v>2543</v>
      </c>
      <c r="H1882" s="4">
        <f t="shared" si="88"/>
        <v>7.2888302903493907E-2</v>
      </c>
      <c r="I1882" s="1">
        <f t="shared" si="89"/>
        <v>387</v>
      </c>
    </row>
    <row r="1883" spans="1:9" hidden="1" x14ac:dyDescent="0.2">
      <c r="A1883" s="6">
        <v>43917.708333333336</v>
      </c>
      <c r="B1883" s="1" t="s">
        <v>13</v>
      </c>
      <c r="C1883">
        <v>11137</v>
      </c>
      <c r="D1883">
        <v>1292</v>
      </c>
      <c r="E1883">
        <v>5402</v>
      </c>
      <c r="F1883">
        <v>37298</v>
      </c>
      <c r="G1883" s="3">
        <f t="shared" si="87"/>
        <v>2409</v>
      </c>
      <c r="H1883" s="4">
        <f t="shared" si="88"/>
        <v>6.4587913561048871E-2</v>
      </c>
      <c r="I1883" s="1">
        <f t="shared" si="89"/>
        <v>541</v>
      </c>
    </row>
    <row r="1884" spans="1:9" hidden="1" x14ac:dyDescent="0.2">
      <c r="A1884" s="6">
        <v>43918.708333333336</v>
      </c>
      <c r="B1884" s="1" t="s">
        <v>13</v>
      </c>
      <c r="C1884">
        <v>11152</v>
      </c>
      <c r="D1884">
        <v>1319</v>
      </c>
      <c r="E1884">
        <v>5944</v>
      </c>
      <c r="F1884">
        <v>39415</v>
      </c>
      <c r="G1884" s="3">
        <f t="shared" si="87"/>
        <v>2117</v>
      </c>
      <c r="H1884" s="4">
        <f t="shared" si="88"/>
        <v>5.3710516300900624E-2</v>
      </c>
      <c r="I1884" s="1">
        <f t="shared" si="89"/>
        <v>542</v>
      </c>
    </row>
    <row r="1885" spans="1:9" hidden="1" x14ac:dyDescent="0.2">
      <c r="A1885" s="6">
        <v>43919.708333333336</v>
      </c>
      <c r="B1885" s="1" t="s">
        <v>13</v>
      </c>
      <c r="C1885">
        <v>11613</v>
      </c>
      <c r="D1885">
        <v>1328</v>
      </c>
      <c r="E1885">
        <v>6360</v>
      </c>
      <c r="F1885">
        <v>41007</v>
      </c>
      <c r="G1885" s="3">
        <f t="shared" si="87"/>
        <v>1592</v>
      </c>
      <c r="H1885" s="4">
        <f t="shared" si="88"/>
        <v>3.8822640037066813E-2</v>
      </c>
      <c r="I1885" s="1">
        <f t="shared" si="89"/>
        <v>416</v>
      </c>
    </row>
    <row r="1886" spans="1:9" hidden="1" x14ac:dyDescent="0.2">
      <c r="A1886" s="6">
        <v>43920.708333333336</v>
      </c>
      <c r="B1886" s="1" t="s">
        <v>13</v>
      </c>
      <c r="C1886">
        <v>11815</v>
      </c>
      <c r="D1886">
        <v>1330</v>
      </c>
      <c r="E1886">
        <v>6818</v>
      </c>
      <c r="F1886">
        <v>42161</v>
      </c>
      <c r="G1886" s="3">
        <f t="shared" si="87"/>
        <v>1154</v>
      </c>
      <c r="H1886" s="4">
        <f t="shared" si="88"/>
        <v>2.7371267284931555E-2</v>
      </c>
      <c r="I1886" s="1">
        <f t="shared" si="89"/>
        <v>458</v>
      </c>
    </row>
    <row r="1887" spans="1:9" hidden="1" x14ac:dyDescent="0.2">
      <c r="A1887" s="6">
        <v>43921.708333333336</v>
      </c>
      <c r="B1887" s="1" t="s">
        <v>13</v>
      </c>
      <c r="C1887">
        <v>11883</v>
      </c>
      <c r="D1887">
        <v>1324</v>
      </c>
      <c r="E1887">
        <v>7199</v>
      </c>
      <c r="F1887">
        <v>43208</v>
      </c>
      <c r="G1887" s="3">
        <f t="shared" si="87"/>
        <v>1047</v>
      </c>
      <c r="H1887" s="4">
        <f t="shared" si="88"/>
        <v>2.4231623773375288E-2</v>
      </c>
      <c r="I1887" s="1">
        <f t="shared" si="89"/>
        <v>381</v>
      </c>
    </row>
    <row r="1888" spans="1:9" hidden="1" x14ac:dyDescent="0.2">
      <c r="A1888" s="6">
        <v>43922.708333333336</v>
      </c>
      <c r="B1888" s="1" t="s">
        <v>13</v>
      </c>
      <c r="C1888">
        <v>11927</v>
      </c>
      <c r="D1888">
        <v>1342</v>
      </c>
      <c r="E1888">
        <v>7593</v>
      </c>
      <c r="F1888">
        <v>44773</v>
      </c>
      <c r="G1888" s="3">
        <f t="shared" si="87"/>
        <v>1565</v>
      </c>
      <c r="H1888" s="4">
        <f t="shared" si="88"/>
        <v>3.495410180242553E-2</v>
      </c>
      <c r="I1888" s="1">
        <f t="shared" si="89"/>
        <v>394</v>
      </c>
    </row>
    <row r="1889" spans="1:9" hidden="1" x14ac:dyDescent="0.2">
      <c r="A1889" s="6">
        <v>43923.708333333336</v>
      </c>
      <c r="B1889" s="1" t="s">
        <v>13</v>
      </c>
      <c r="C1889">
        <v>11762</v>
      </c>
      <c r="D1889">
        <v>1351</v>
      </c>
      <c r="E1889">
        <v>7960</v>
      </c>
      <c r="F1889">
        <v>46065</v>
      </c>
      <c r="G1889" s="3">
        <f t="shared" si="87"/>
        <v>1292</v>
      </c>
      <c r="H1889" s="4">
        <f t="shared" si="88"/>
        <v>2.8047324432866616E-2</v>
      </c>
      <c r="I1889" s="1">
        <f t="shared" si="89"/>
        <v>367</v>
      </c>
    </row>
    <row r="1890" spans="1:9" hidden="1" x14ac:dyDescent="0.2">
      <c r="A1890" s="6">
        <v>43924.708333333336</v>
      </c>
      <c r="B1890" s="1" t="s">
        <v>13</v>
      </c>
      <c r="C1890">
        <v>11802</v>
      </c>
      <c r="D1890">
        <v>1381</v>
      </c>
      <c r="E1890">
        <v>8311</v>
      </c>
      <c r="F1890">
        <v>47520</v>
      </c>
      <c r="G1890" s="3">
        <f t="shared" si="87"/>
        <v>1455</v>
      </c>
      <c r="H1890" s="4">
        <f t="shared" si="88"/>
        <v>3.0618686868686851E-2</v>
      </c>
      <c r="I1890" s="1">
        <f t="shared" si="89"/>
        <v>351</v>
      </c>
    </row>
    <row r="1891" spans="1:9" hidden="1" x14ac:dyDescent="0.2">
      <c r="A1891" s="6">
        <v>43925.708333333336</v>
      </c>
      <c r="B1891" s="1" t="s">
        <v>13</v>
      </c>
      <c r="C1891">
        <v>12002</v>
      </c>
      <c r="D1891">
        <v>1326</v>
      </c>
      <c r="E1891">
        <v>8656</v>
      </c>
      <c r="F1891">
        <v>49118</v>
      </c>
      <c r="G1891" s="3">
        <f t="shared" si="87"/>
        <v>1598</v>
      </c>
      <c r="H1891" s="4">
        <f t="shared" si="88"/>
        <v>3.2533897960014713E-2</v>
      </c>
      <c r="I1891" s="1">
        <f t="shared" si="89"/>
        <v>345</v>
      </c>
    </row>
    <row r="1892" spans="1:9" hidden="1" x14ac:dyDescent="0.2">
      <c r="A1892" s="6">
        <v>43926.708333333336</v>
      </c>
      <c r="B1892" s="1" t="s">
        <v>13</v>
      </c>
      <c r="C1892">
        <v>12009</v>
      </c>
      <c r="D1892">
        <v>1317</v>
      </c>
      <c r="E1892">
        <v>8905</v>
      </c>
      <c r="F1892">
        <v>50455</v>
      </c>
      <c r="G1892" s="3">
        <f t="shared" si="87"/>
        <v>1337</v>
      </c>
      <c r="H1892" s="4">
        <f t="shared" si="88"/>
        <v>2.649886037062732E-2</v>
      </c>
      <c r="I1892" s="1">
        <f t="shared" si="89"/>
        <v>249</v>
      </c>
    </row>
    <row r="1893" spans="1:9" hidden="1" x14ac:dyDescent="0.2">
      <c r="A1893" s="6">
        <v>43927.708333333336</v>
      </c>
      <c r="B1893" s="1" t="s">
        <v>13</v>
      </c>
      <c r="C1893">
        <v>11914</v>
      </c>
      <c r="D1893">
        <v>1343</v>
      </c>
      <c r="E1893">
        <v>9202</v>
      </c>
      <c r="F1893">
        <v>51534</v>
      </c>
      <c r="G1893" s="3">
        <f t="shared" si="87"/>
        <v>1079</v>
      </c>
      <c r="H1893" s="4">
        <f t="shared" si="88"/>
        <v>2.093763340707111E-2</v>
      </c>
      <c r="I1893" s="1">
        <f t="shared" si="89"/>
        <v>297</v>
      </c>
    </row>
    <row r="1894" spans="1:9" hidden="1" x14ac:dyDescent="0.2">
      <c r="A1894" s="6">
        <v>43928.708333333336</v>
      </c>
      <c r="B1894" s="1" t="s">
        <v>13</v>
      </c>
      <c r="C1894">
        <v>11833</v>
      </c>
      <c r="D1894">
        <v>1305</v>
      </c>
      <c r="E1894">
        <v>9484</v>
      </c>
      <c r="F1894">
        <v>52325</v>
      </c>
      <c r="G1894" s="3">
        <f t="shared" si="87"/>
        <v>791</v>
      </c>
      <c r="H1894" s="4">
        <f t="shared" si="88"/>
        <v>1.511705685618725E-2</v>
      </c>
      <c r="I1894" s="1">
        <f t="shared" si="89"/>
        <v>282</v>
      </c>
    </row>
    <row r="1895" spans="1:9" hidden="1" x14ac:dyDescent="0.2">
      <c r="A1895" s="6">
        <v>43929.708333333336</v>
      </c>
      <c r="B1895" s="1" t="s">
        <v>13</v>
      </c>
      <c r="C1895">
        <v>11719</v>
      </c>
      <c r="D1895">
        <v>1257</v>
      </c>
      <c r="E1895">
        <v>9722</v>
      </c>
      <c r="F1895">
        <v>53414</v>
      </c>
      <c r="G1895" s="3">
        <f t="shared" si="87"/>
        <v>1089</v>
      </c>
      <c r="H1895" s="4">
        <f t="shared" si="88"/>
        <v>2.0387913281162295E-2</v>
      </c>
      <c r="I1895" s="1">
        <f t="shared" si="89"/>
        <v>238</v>
      </c>
    </row>
    <row r="1896" spans="1:9" hidden="1" x14ac:dyDescent="0.2">
      <c r="A1896" s="6">
        <v>43930.708333333336</v>
      </c>
      <c r="B1896" s="1" t="s">
        <v>13</v>
      </c>
      <c r="C1896">
        <v>11796</v>
      </c>
      <c r="D1896">
        <v>1236</v>
      </c>
      <c r="E1896">
        <v>10022</v>
      </c>
      <c r="F1896">
        <v>54802</v>
      </c>
      <c r="G1896" s="3">
        <f t="shared" si="87"/>
        <v>1388</v>
      </c>
      <c r="H1896" s="4">
        <f t="shared" si="88"/>
        <v>2.5327542790409163E-2</v>
      </c>
      <c r="I1896" s="1">
        <f t="shared" si="89"/>
        <v>300</v>
      </c>
    </row>
    <row r="1897" spans="1:9" hidden="1" x14ac:dyDescent="0.2">
      <c r="A1897" s="6">
        <v>43931.708333333336</v>
      </c>
      <c r="B1897" s="1" t="s">
        <v>13</v>
      </c>
      <c r="C1897">
        <v>11877</v>
      </c>
      <c r="D1897">
        <v>1202</v>
      </c>
      <c r="E1897">
        <v>10238</v>
      </c>
      <c r="F1897">
        <v>56048</v>
      </c>
      <c r="G1897" s="3">
        <f t="shared" si="87"/>
        <v>1246</v>
      </c>
      <c r="H1897" s="4">
        <f t="shared" si="88"/>
        <v>2.2230944904367722E-2</v>
      </c>
      <c r="I1897" s="1">
        <f t="shared" si="89"/>
        <v>216</v>
      </c>
    </row>
    <row r="1898" spans="1:9" hidden="1" x14ac:dyDescent="0.2">
      <c r="A1898" s="6">
        <v>43932.708333333336</v>
      </c>
      <c r="B1898" s="1" t="s">
        <v>13</v>
      </c>
      <c r="C1898">
        <v>12026</v>
      </c>
      <c r="D1898">
        <v>1174</v>
      </c>
      <c r="E1898">
        <v>10511</v>
      </c>
      <c r="F1898">
        <v>57592</v>
      </c>
      <c r="G1898" s="3">
        <f t="shared" si="87"/>
        <v>1544</v>
      </c>
      <c r="H1898" s="4">
        <f t="shared" si="88"/>
        <v>2.6809279066537073E-2</v>
      </c>
      <c r="I1898" s="1">
        <f t="shared" si="89"/>
        <v>273</v>
      </c>
    </row>
    <row r="1899" spans="1:9" hidden="1" x14ac:dyDescent="0.2">
      <c r="A1899" s="6">
        <v>43933.708333333336</v>
      </c>
      <c r="B1899" s="1" t="s">
        <v>13</v>
      </c>
      <c r="C1899">
        <v>11969</v>
      </c>
      <c r="D1899">
        <v>1176</v>
      </c>
      <c r="E1899">
        <v>10621</v>
      </c>
      <c r="F1899">
        <v>59052</v>
      </c>
      <c r="G1899" s="3">
        <f t="shared" si="87"/>
        <v>1460</v>
      </c>
      <c r="H1899" s="4">
        <f t="shared" si="88"/>
        <v>2.4723972092393187E-2</v>
      </c>
      <c r="I1899" s="1">
        <f t="shared" si="89"/>
        <v>110</v>
      </c>
    </row>
    <row r="1900" spans="1:9" hidden="1" x14ac:dyDescent="0.2">
      <c r="A1900" s="6">
        <v>43934.708333333336</v>
      </c>
      <c r="B1900" s="1" t="s">
        <v>13</v>
      </c>
      <c r="C1900">
        <v>12028</v>
      </c>
      <c r="D1900">
        <v>1143</v>
      </c>
      <c r="E1900">
        <v>10901</v>
      </c>
      <c r="F1900">
        <v>60314</v>
      </c>
      <c r="G1900" s="3">
        <f t="shared" si="87"/>
        <v>1262</v>
      </c>
      <c r="H1900" s="4">
        <f t="shared" si="88"/>
        <v>2.0923831946148441E-2</v>
      </c>
      <c r="I1900" s="1">
        <f t="shared" si="89"/>
        <v>280</v>
      </c>
    </row>
    <row r="1901" spans="1:9" hidden="1" x14ac:dyDescent="0.2">
      <c r="A1901" s="6">
        <v>43935.708333333336</v>
      </c>
      <c r="B1901" s="1" t="s">
        <v>13</v>
      </c>
      <c r="C1901">
        <v>12077</v>
      </c>
      <c r="D1901">
        <v>1122</v>
      </c>
      <c r="E1901">
        <v>11142</v>
      </c>
      <c r="F1901">
        <v>61326</v>
      </c>
      <c r="G1901" s="3">
        <f t="shared" si="87"/>
        <v>1012</v>
      </c>
      <c r="H1901" s="4">
        <f t="shared" si="88"/>
        <v>1.6501973061996522E-2</v>
      </c>
      <c r="I1901" s="1">
        <f t="shared" si="89"/>
        <v>241</v>
      </c>
    </row>
    <row r="1902" spans="1:9" hidden="1" x14ac:dyDescent="0.2">
      <c r="A1902" s="6">
        <v>43936.708333333336</v>
      </c>
      <c r="B1902" s="1" t="s">
        <v>13</v>
      </c>
      <c r="C1902">
        <v>12043</v>
      </c>
      <c r="D1902">
        <v>1074</v>
      </c>
      <c r="E1902">
        <v>11377</v>
      </c>
      <c r="F1902">
        <v>62153</v>
      </c>
      <c r="G1902" s="3">
        <f t="shared" si="87"/>
        <v>827</v>
      </c>
      <c r="H1902" s="4">
        <f t="shared" si="88"/>
        <v>1.330587421363405E-2</v>
      </c>
      <c r="I1902" s="1">
        <f t="shared" si="89"/>
        <v>235</v>
      </c>
    </row>
    <row r="1903" spans="1:9" hidden="1" x14ac:dyDescent="0.2">
      <c r="A1903" s="6">
        <v>43937.708333333336</v>
      </c>
      <c r="B1903" s="1" t="s">
        <v>13</v>
      </c>
      <c r="C1903">
        <v>11356</v>
      </c>
      <c r="D1903">
        <v>1032</v>
      </c>
      <c r="E1903">
        <v>11608</v>
      </c>
      <c r="F1903">
        <v>63094</v>
      </c>
      <c r="G1903" s="3">
        <f t="shared" si="87"/>
        <v>941</v>
      </c>
      <c r="H1903" s="4">
        <f t="shared" si="88"/>
        <v>1.4914254921228665E-2</v>
      </c>
      <c r="I1903" s="1">
        <f t="shared" si="89"/>
        <v>231</v>
      </c>
    </row>
    <row r="1904" spans="1:9" hidden="1" x14ac:dyDescent="0.2">
      <c r="A1904" s="6">
        <v>43938.708333333336</v>
      </c>
      <c r="B1904" s="1" t="s">
        <v>13</v>
      </c>
      <c r="C1904">
        <v>10627</v>
      </c>
      <c r="D1904">
        <v>971</v>
      </c>
      <c r="E1904">
        <v>11851</v>
      </c>
      <c r="F1904">
        <v>64135</v>
      </c>
      <c r="G1904" s="3">
        <f t="shared" si="87"/>
        <v>1041</v>
      </c>
      <c r="H1904" s="4">
        <f t="shared" si="88"/>
        <v>1.6231386918219348E-2</v>
      </c>
      <c r="I1904" s="1">
        <f t="shared" si="89"/>
        <v>243</v>
      </c>
    </row>
    <row r="1905" spans="1:9" hidden="1" x14ac:dyDescent="0.2">
      <c r="A1905" s="6">
        <v>43939.708333333336</v>
      </c>
      <c r="B1905" s="1" t="s">
        <v>13</v>
      </c>
      <c r="C1905">
        <v>10042</v>
      </c>
      <c r="D1905">
        <v>947</v>
      </c>
      <c r="E1905">
        <v>12050</v>
      </c>
      <c r="F1905">
        <v>65381</v>
      </c>
      <c r="G1905" s="3">
        <f t="shared" si="87"/>
        <v>1246</v>
      </c>
      <c r="H1905" s="4">
        <f t="shared" si="88"/>
        <v>1.9057524357229183E-2</v>
      </c>
      <c r="I1905" s="1">
        <f t="shared" si="89"/>
        <v>199</v>
      </c>
    </row>
    <row r="1906" spans="1:9" hidden="1" x14ac:dyDescent="0.2">
      <c r="A1906" s="6">
        <v>43940.708333333336</v>
      </c>
      <c r="B1906" s="1" t="s">
        <v>13</v>
      </c>
      <c r="C1906">
        <v>10342</v>
      </c>
      <c r="D1906">
        <v>922</v>
      </c>
      <c r="E1906">
        <v>12213</v>
      </c>
      <c r="F1906">
        <v>66236</v>
      </c>
      <c r="G1906" s="3">
        <f t="shared" si="87"/>
        <v>855</v>
      </c>
      <c r="H1906" s="4">
        <f t="shared" si="88"/>
        <v>1.2908388187692466E-2</v>
      </c>
      <c r="I1906" s="1">
        <f t="shared" si="89"/>
        <v>163</v>
      </c>
    </row>
    <row r="1907" spans="1:9" hidden="1" x14ac:dyDescent="0.2">
      <c r="A1907" s="6">
        <v>43941.708333333336</v>
      </c>
      <c r="B1907" s="1" t="s">
        <v>13</v>
      </c>
      <c r="C1907">
        <v>10138</v>
      </c>
      <c r="D1907">
        <v>901</v>
      </c>
      <c r="E1907">
        <v>12376</v>
      </c>
      <c r="F1907">
        <v>66971</v>
      </c>
      <c r="G1907" s="3">
        <f t="shared" si="87"/>
        <v>735</v>
      </c>
      <c r="H1907" s="4">
        <f t="shared" si="88"/>
        <v>1.0974899583401809E-2</v>
      </c>
      <c r="I1907" s="1">
        <f t="shared" si="89"/>
        <v>163</v>
      </c>
    </row>
    <row r="1908" spans="1:9" hidden="1" x14ac:dyDescent="0.2">
      <c r="A1908" s="6">
        <v>43942.708333333336</v>
      </c>
      <c r="B1908" s="1" t="s">
        <v>13</v>
      </c>
      <c r="C1908">
        <v>9805</v>
      </c>
      <c r="D1908">
        <v>851</v>
      </c>
      <c r="E1908">
        <v>12579</v>
      </c>
      <c r="F1908">
        <v>67931</v>
      </c>
      <c r="G1908" s="3">
        <f t="shared" si="87"/>
        <v>960</v>
      </c>
      <c r="H1908" s="4">
        <f t="shared" si="88"/>
        <v>1.4131986869028834E-2</v>
      </c>
      <c r="I1908" s="1">
        <f t="shared" si="89"/>
        <v>203</v>
      </c>
    </row>
    <row r="1909" spans="1:9" hidden="1" x14ac:dyDescent="0.2">
      <c r="A1909" s="6">
        <v>43943.708333333336</v>
      </c>
      <c r="B1909" s="1" t="s">
        <v>13</v>
      </c>
      <c r="C1909">
        <v>9692</v>
      </c>
      <c r="D1909">
        <v>817</v>
      </c>
      <c r="E1909">
        <v>12740</v>
      </c>
      <c r="F1909">
        <v>69092</v>
      </c>
      <c r="G1909" s="3">
        <f t="shared" si="87"/>
        <v>1161</v>
      </c>
      <c r="H1909" s="4">
        <f t="shared" si="88"/>
        <v>1.6803682047125568E-2</v>
      </c>
      <c r="I1909" s="1">
        <f t="shared" si="89"/>
        <v>161</v>
      </c>
    </row>
    <row r="1910" spans="1:9" hidden="1" x14ac:dyDescent="0.2">
      <c r="A1910" s="6">
        <v>43944.708333333336</v>
      </c>
      <c r="B1910" s="1" t="s">
        <v>13</v>
      </c>
      <c r="C1910">
        <v>9192</v>
      </c>
      <c r="D1910">
        <v>790</v>
      </c>
      <c r="E1910">
        <v>12940</v>
      </c>
      <c r="F1910">
        <v>70165</v>
      </c>
      <c r="G1910" s="3">
        <f t="shared" si="87"/>
        <v>1073</v>
      </c>
      <c r="H1910" s="4">
        <f t="shared" si="88"/>
        <v>1.5292524763058535E-2</v>
      </c>
      <c r="I1910" s="1">
        <f t="shared" si="89"/>
        <v>200</v>
      </c>
    </row>
    <row r="1911" spans="1:9" hidden="1" x14ac:dyDescent="0.2">
      <c r="A1911" s="6">
        <v>43945.708333333336</v>
      </c>
      <c r="B1911" s="1" t="s">
        <v>13</v>
      </c>
      <c r="C1911">
        <v>8791</v>
      </c>
      <c r="D1911">
        <v>756</v>
      </c>
      <c r="E1911">
        <v>13106</v>
      </c>
      <c r="F1911">
        <v>71256</v>
      </c>
      <c r="G1911" s="3">
        <f t="shared" si="87"/>
        <v>1091</v>
      </c>
      <c r="H1911" s="4">
        <f t="shared" si="88"/>
        <v>1.5310991355113934E-2</v>
      </c>
      <c r="I1911" s="1">
        <f t="shared" si="89"/>
        <v>166</v>
      </c>
    </row>
    <row r="1912" spans="1:9" hidden="1" x14ac:dyDescent="0.2">
      <c r="A1912" s="6">
        <v>43946.708333333336</v>
      </c>
      <c r="B1912" s="1" t="s">
        <v>13</v>
      </c>
      <c r="C1912">
        <v>8489</v>
      </c>
      <c r="D1912">
        <v>724</v>
      </c>
      <c r="E1912">
        <v>13269</v>
      </c>
      <c r="F1912">
        <v>71969</v>
      </c>
      <c r="G1912" s="3">
        <f t="shared" si="87"/>
        <v>713</v>
      </c>
      <c r="H1912" s="4">
        <f t="shared" si="88"/>
        <v>9.907043310314112E-3</v>
      </c>
      <c r="I1912" s="1">
        <f t="shared" si="89"/>
        <v>163</v>
      </c>
    </row>
    <row r="1913" spans="1:9" hidden="1" x14ac:dyDescent="0.2">
      <c r="A1913" s="6">
        <v>43947.708333333336</v>
      </c>
      <c r="B1913" s="1" t="s">
        <v>13</v>
      </c>
      <c r="C1913">
        <v>8481</v>
      </c>
      <c r="D1913">
        <v>706</v>
      </c>
      <c r="E1913">
        <v>13325</v>
      </c>
      <c r="F1913">
        <v>72889</v>
      </c>
      <c r="G1913" s="3">
        <f t="shared" si="87"/>
        <v>920</v>
      </c>
      <c r="H1913" s="4">
        <f t="shared" si="88"/>
        <v>1.2621931978762269E-2</v>
      </c>
      <c r="I1913" s="1">
        <f t="shared" si="89"/>
        <v>56</v>
      </c>
    </row>
    <row r="1914" spans="1:9" hidden="1" x14ac:dyDescent="0.2">
      <c r="A1914" s="6">
        <v>43948.708333333336</v>
      </c>
      <c r="B1914" s="1" t="s">
        <v>13</v>
      </c>
      <c r="C1914">
        <v>7525</v>
      </c>
      <c r="D1914">
        <v>680</v>
      </c>
      <c r="E1914">
        <v>13449</v>
      </c>
      <c r="F1914">
        <v>73479</v>
      </c>
      <c r="G1914" s="3">
        <f t="shared" si="87"/>
        <v>590</v>
      </c>
      <c r="H1914" s="4">
        <f t="shared" si="88"/>
        <v>8.0295050286476322E-3</v>
      </c>
      <c r="I1914" s="1">
        <f t="shared" si="89"/>
        <v>124</v>
      </c>
    </row>
    <row r="1915" spans="1:9" hidden="1" x14ac:dyDescent="0.2">
      <c r="A1915" s="6">
        <v>43949.708333333336</v>
      </c>
      <c r="B1915" s="1" t="s">
        <v>13</v>
      </c>
      <c r="C1915">
        <v>7280</v>
      </c>
      <c r="D1915">
        <v>655</v>
      </c>
      <c r="E1915">
        <v>13575</v>
      </c>
      <c r="F1915">
        <v>74348</v>
      </c>
      <c r="G1915" s="3">
        <f t="shared" si="87"/>
        <v>869</v>
      </c>
      <c r="H1915" s="4">
        <f t="shared" si="88"/>
        <v>1.1688276752569005E-2</v>
      </c>
      <c r="I1915" s="1">
        <f t="shared" si="89"/>
        <v>126</v>
      </c>
    </row>
    <row r="1916" spans="1:9" hidden="1" x14ac:dyDescent="0.2">
      <c r="A1916" s="6">
        <v>43950.708333333336</v>
      </c>
      <c r="B1916" s="1" t="s">
        <v>13</v>
      </c>
      <c r="C1916">
        <v>7120</v>
      </c>
      <c r="D1916">
        <v>634</v>
      </c>
      <c r="E1916">
        <v>13679</v>
      </c>
      <c r="F1916">
        <v>75134</v>
      </c>
      <c r="G1916" s="3">
        <f t="shared" si="87"/>
        <v>786</v>
      </c>
      <c r="H1916" s="4">
        <f t="shared" si="88"/>
        <v>1.0461309127691831E-2</v>
      </c>
      <c r="I1916" s="1">
        <f t="shared" si="89"/>
        <v>104</v>
      </c>
    </row>
    <row r="1917" spans="1:9" hidden="1" x14ac:dyDescent="0.2">
      <c r="A1917" s="6">
        <v>43951.708333333336</v>
      </c>
      <c r="B1917" s="1" t="s">
        <v>13</v>
      </c>
      <c r="C1917">
        <v>6834</v>
      </c>
      <c r="D1917">
        <v>605</v>
      </c>
      <c r="E1917">
        <v>13772</v>
      </c>
      <c r="F1917">
        <v>75732</v>
      </c>
      <c r="G1917" s="3">
        <f t="shared" si="87"/>
        <v>598</v>
      </c>
      <c r="H1917" s="4">
        <f t="shared" si="88"/>
        <v>7.8962657793271163E-3</v>
      </c>
      <c r="I1917" s="1">
        <f t="shared" si="89"/>
        <v>93</v>
      </c>
    </row>
    <row r="1918" spans="1:9" hidden="1" x14ac:dyDescent="0.2">
      <c r="A1918" s="6">
        <v>43952.708333333336</v>
      </c>
      <c r="B1918" s="1" t="s">
        <v>13</v>
      </c>
      <c r="C1918">
        <v>6628</v>
      </c>
      <c r="D1918">
        <v>563</v>
      </c>
      <c r="E1918">
        <v>13860</v>
      </c>
      <c r="F1918">
        <v>76469</v>
      </c>
      <c r="G1918" s="3">
        <f t="shared" si="87"/>
        <v>737</v>
      </c>
      <c r="H1918" s="4">
        <f t="shared" si="88"/>
        <v>9.6378924793053544E-3</v>
      </c>
      <c r="I1918" s="1">
        <f t="shared" si="89"/>
        <v>88</v>
      </c>
    </row>
    <row r="1919" spans="1:9" hidden="1" x14ac:dyDescent="0.2">
      <c r="A1919" s="6">
        <v>43953.708333333336</v>
      </c>
      <c r="B1919" s="1" t="s">
        <v>13</v>
      </c>
      <c r="C1919">
        <v>6529</v>
      </c>
      <c r="D1919">
        <v>545</v>
      </c>
      <c r="E1919">
        <v>14189</v>
      </c>
      <c r="F1919">
        <v>77002</v>
      </c>
      <c r="G1919" s="3">
        <f t="shared" si="87"/>
        <v>533</v>
      </c>
      <c r="H1919" s="4">
        <f t="shared" si="88"/>
        <v>6.9218981325160911E-3</v>
      </c>
      <c r="I1919" s="1">
        <f t="shared" si="89"/>
        <v>329</v>
      </c>
    </row>
    <row r="1920" spans="1:9" hidden="1" x14ac:dyDescent="0.2">
      <c r="A1920" s="6">
        <v>43954.708333333336</v>
      </c>
      <c r="B1920" s="1" t="s">
        <v>13</v>
      </c>
      <c r="C1920">
        <v>6609</v>
      </c>
      <c r="D1920">
        <v>532</v>
      </c>
      <c r="E1920">
        <v>14231</v>
      </c>
      <c r="F1920">
        <v>77528</v>
      </c>
      <c r="G1920" s="3">
        <f t="shared" si="87"/>
        <v>526</v>
      </c>
      <c r="H1920" s="4">
        <f t="shared" si="88"/>
        <v>6.7846455474150913E-3</v>
      </c>
      <c r="I1920" s="1">
        <f t="shared" si="89"/>
        <v>42</v>
      </c>
    </row>
    <row r="1921" spans="1:9" hidden="1" x14ac:dyDescent="0.2">
      <c r="A1921" s="6">
        <v>43955.708333333336</v>
      </c>
      <c r="B1921" s="1" t="s">
        <v>13</v>
      </c>
      <c r="C1921">
        <v>6414</v>
      </c>
      <c r="D1921">
        <v>532</v>
      </c>
      <c r="E1921">
        <v>14294</v>
      </c>
      <c r="F1921">
        <v>78105</v>
      </c>
      <c r="G1921" s="3">
        <f t="shared" si="87"/>
        <v>577</v>
      </c>
      <c r="H1921" s="4">
        <f t="shared" si="88"/>
        <v>7.3874911977466207E-3</v>
      </c>
      <c r="I1921" s="1">
        <f t="shared" si="89"/>
        <v>63</v>
      </c>
    </row>
    <row r="1922" spans="1:9" hidden="1" x14ac:dyDescent="0.2">
      <c r="A1922" s="6">
        <v>43956.708333333336</v>
      </c>
      <c r="B1922" s="1" t="s">
        <v>13</v>
      </c>
      <c r="C1922">
        <v>6201</v>
      </c>
      <c r="D1922">
        <v>509</v>
      </c>
      <c r="E1922">
        <v>14389</v>
      </c>
      <c r="F1922">
        <v>78605</v>
      </c>
      <c r="G1922" s="3">
        <f t="shared" si="87"/>
        <v>500</v>
      </c>
      <c r="H1922" s="4">
        <f t="shared" si="88"/>
        <v>6.3609185166337845E-3</v>
      </c>
      <c r="I1922" s="1">
        <f t="shared" si="89"/>
        <v>95</v>
      </c>
    </row>
    <row r="1923" spans="1:9" hidden="1" x14ac:dyDescent="0.2">
      <c r="A1923" s="6">
        <v>43957.708333333336</v>
      </c>
      <c r="B1923" s="1" t="s">
        <v>13</v>
      </c>
      <c r="C1923">
        <v>6079</v>
      </c>
      <c r="D1923">
        <v>480</v>
      </c>
      <c r="E1923">
        <v>14611</v>
      </c>
      <c r="F1923">
        <v>79369</v>
      </c>
      <c r="G1923" s="3">
        <f t="shared" ref="G1923:G1986" si="90">IF(AND(F1923&gt;0,AND(B1923=B1922,F1923&gt;0)),F1923-F1922,0)</f>
        <v>764</v>
      </c>
      <c r="H1923" s="4">
        <f t="shared" ref="H1923:H1986" si="91">IF(AND(F1922&gt;0,AND(B1923=B1922,F1922&gt;0)),1-(F1922/F1923),0)</f>
        <v>9.6259244793307497E-3</v>
      </c>
      <c r="I1923" s="1">
        <f t="shared" ref="I1923:I1986" si="92">IF(AND(E1923&gt;0,AND(B1923=B1922,E1923&gt;0)),E1923-E1922,0)</f>
        <v>222</v>
      </c>
    </row>
    <row r="1924" spans="1:9" hidden="1" x14ac:dyDescent="0.2">
      <c r="A1924" s="6">
        <v>43958.708333333336</v>
      </c>
      <c r="B1924" s="1" t="s">
        <v>13</v>
      </c>
      <c r="C1924">
        <v>5848</v>
      </c>
      <c r="D1924">
        <v>480</v>
      </c>
      <c r="E1924">
        <v>14745</v>
      </c>
      <c r="F1924">
        <v>80089</v>
      </c>
      <c r="G1924" s="3">
        <f t="shared" si="90"/>
        <v>720</v>
      </c>
      <c r="H1924" s="4">
        <f t="shared" si="91"/>
        <v>8.9899986265279397E-3</v>
      </c>
      <c r="I1924" s="1">
        <f t="shared" si="92"/>
        <v>134</v>
      </c>
    </row>
    <row r="1925" spans="1:9" hidden="1" x14ac:dyDescent="0.2">
      <c r="A1925" s="6">
        <v>43959.708333333336</v>
      </c>
      <c r="B1925" s="1" t="s">
        <v>13</v>
      </c>
      <c r="C1925">
        <v>5702</v>
      </c>
      <c r="D1925">
        <v>400</v>
      </c>
      <c r="E1925">
        <v>14839</v>
      </c>
      <c r="F1925">
        <v>80723</v>
      </c>
      <c r="G1925" s="3">
        <f t="shared" si="90"/>
        <v>634</v>
      </c>
      <c r="H1925" s="4">
        <f t="shared" si="91"/>
        <v>7.8540193005710579E-3</v>
      </c>
      <c r="I1925" s="1">
        <f t="shared" si="92"/>
        <v>94</v>
      </c>
    </row>
    <row r="1926" spans="1:9" hidden="1" x14ac:dyDescent="0.2">
      <c r="A1926" s="6">
        <v>43960.708333333336</v>
      </c>
      <c r="B1926" s="1" t="s">
        <v>13</v>
      </c>
      <c r="C1926">
        <v>5535</v>
      </c>
      <c r="D1926">
        <v>330</v>
      </c>
      <c r="E1926">
        <v>14924</v>
      </c>
      <c r="F1926">
        <v>81225</v>
      </c>
      <c r="G1926" s="3">
        <f t="shared" si="90"/>
        <v>502</v>
      </c>
      <c r="H1926" s="4">
        <f t="shared" si="91"/>
        <v>6.1803631886734323E-3</v>
      </c>
      <c r="I1926" s="1">
        <f t="shared" si="92"/>
        <v>85</v>
      </c>
    </row>
    <row r="1927" spans="1:9" hidden="1" x14ac:dyDescent="0.2">
      <c r="A1927" s="6">
        <v>43961.708333333336</v>
      </c>
      <c r="B1927" s="1" t="s">
        <v>13</v>
      </c>
      <c r="C1927">
        <v>5428</v>
      </c>
      <c r="D1927">
        <v>348</v>
      </c>
      <c r="E1927">
        <v>14986</v>
      </c>
      <c r="F1927">
        <v>81507</v>
      </c>
      <c r="G1927" s="3">
        <f t="shared" si="90"/>
        <v>282</v>
      </c>
      <c r="H1927" s="4">
        <f t="shared" si="91"/>
        <v>3.4598255364569619E-3</v>
      </c>
      <c r="I1927" s="1">
        <f t="shared" si="92"/>
        <v>62</v>
      </c>
    </row>
    <row r="1928" spans="1:9" hidden="1" x14ac:dyDescent="0.2">
      <c r="A1928" s="6">
        <v>43962.708333333336</v>
      </c>
      <c r="B1928" s="1" t="s">
        <v>13</v>
      </c>
      <c r="C1928">
        <v>5397</v>
      </c>
      <c r="D1928">
        <v>341</v>
      </c>
      <c r="E1928">
        <v>15054</v>
      </c>
      <c r="F1928">
        <v>81871</v>
      </c>
      <c r="G1928" s="3">
        <f t="shared" si="90"/>
        <v>364</v>
      </c>
      <c r="H1928" s="4">
        <f t="shared" si="91"/>
        <v>4.4460187367932891E-3</v>
      </c>
      <c r="I1928" s="1">
        <f t="shared" si="92"/>
        <v>68</v>
      </c>
    </row>
    <row r="1929" spans="1:9" hidden="1" x14ac:dyDescent="0.2">
      <c r="A1929" s="6">
        <v>43963.708333333336</v>
      </c>
      <c r="B1929" s="1" t="s">
        <v>13</v>
      </c>
      <c r="C1929">
        <v>5222</v>
      </c>
      <c r="D1929">
        <v>322</v>
      </c>
      <c r="E1929">
        <v>15116</v>
      </c>
      <c r="F1929">
        <v>82904</v>
      </c>
      <c r="G1929" s="3">
        <f t="shared" si="90"/>
        <v>1033</v>
      </c>
      <c r="H1929" s="4">
        <f t="shared" si="91"/>
        <v>1.2460194924249768E-2</v>
      </c>
      <c r="I1929" s="1">
        <f t="shared" si="92"/>
        <v>62</v>
      </c>
    </row>
    <row r="1930" spans="1:9" hidden="1" x14ac:dyDescent="0.2">
      <c r="A1930" s="6">
        <v>43964.708333333336</v>
      </c>
      <c r="B1930" s="1" t="s">
        <v>13</v>
      </c>
      <c r="C1930">
        <v>5007</v>
      </c>
      <c r="D1930">
        <v>307</v>
      </c>
      <c r="E1930">
        <v>15185</v>
      </c>
      <c r="F1930">
        <v>83298</v>
      </c>
      <c r="G1930" s="3">
        <f t="shared" si="90"/>
        <v>394</v>
      </c>
      <c r="H1930" s="4">
        <f t="shared" si="91"/>
        <v>4.730005522341485E-3</v>
      </c>
      <c r="I1930" s="1">
        <f t="shared" si="92"/>
        <v>69</v>
      </c>
    </row>
    <row r="1931" spans="1:9" hidden="1" x14ac:dyDescent="0.2">
      <c r="A1931" s="6">
        <v>43965.708333333336</v>
      </c>
      <c r="B1931" s="1" t="s">
        <v>13</v>
      </c>
      <c r="C1931">
        <v>4818</v>
      </c>
      <c r="D1931">
        <v>297</v>
      </c>
      <c r="E1931">
        <v>15296</v>
      </c>
      <c r="F1931">
        <v>83820</v>
      </c>
      <c r="G1931" s="3">
        <f t="shared" si="90"/>
        <v>522</v>
      </c>
      <c r="H1931" s="4">
        <f t="shared" si="91"/>
        <v>6.2276306370794288E-3</v>
      </c>
      <c r="I1931" s="1">
        <f t="shared" si="92"/>
        <v>111</v>
      </c>
    </row>
    <row r="1932" spans="1:9" hidden="1" x14ac:dyDescent="0.2">
      <c r="A1932" s="6">
        <v>43966.708333333336</v>
      </c>
      <c r="B1932" s="1" t="s">
        <v>13</v>
      </c>
      <c r="C1932">
        <v>4705</v>
      </c>
      <c r="D1932">
        <v>276</v>
      </c>
      <c r="E1932">
        <v>15411</v>
      </c>
      <c r="F1932">
        <v>84119</v>
      </c>
      <c r="G1932" s="3">
        <f t="shared" si="90"/>
        <v>299</v>
      </c>
      <c r="H1932" s="4">
        <f t="shared" si="91"/>
        <v>3.5544882844541492E-3</v>
      </c>
      <c r="I1932" s="1">
        <f t="shared" si="92"/>
        <v>115</v>
      </c>
    </row>
    <row r="1933" spans="1:9" hidden="1" x14ac:dyDescent="0.2">
      <c r="A1933" s="6">
        <v>43967.708333333336</v>
      </c>
      <c r="B1933" s="1" t="s">
        <v>13</v>
      </c>
      <c r="C1933">
        <v>4521</v>
      </c>
      <c r="D1933">
        <v>268</v>
      </c>
      <c r="E1933">
        <v>15450</v>
      </c>
      <c r="F1933">
        <v>84518</v>
      </c>
      <c r="G1933" s="3">
        <f t="shared" si="90"/>
        <v>399</v>
      </c>
      <c r="H1933" s="4">
        <f t="shared" si="91"/>
        <v>4.7208878582076785E-3</v>
      </c>
      <c r="I1933" s="1">
        <f t="shared" si="92"/>
        <v>39</v>
      </c>
    </row>
    <row r="1934" spans="1:9" hidden="1" x14ac:dyDescent="0.2">
      <c r="A1934" s="6">
        <v>43968.708333333336</v>
      </c>
      <c r="B1934" s="1" t="s">
        <v>13</v>
      </c>
      <c r="C1934">
        <v>4480</v>
      </c>
      <c r="D1934">
        <v>255</v>
      </c>
      <c r="E1934">
        <v>15519</v>
      </c>
      <c r="F1934">
        <v>84844</v>
      </c>
      <c r="G1934" s="3">
        <f t="shared" si="90"/>
        <v>326</v>
      </c>
      <c r="H1934" s="4">
        <f t="shared" si="91"/>
        <v>3.842345952571824E-3</v>
      </c>
      <c r="I1934" s="1">
        <f t="shared" si="92"/>
        <v>69</v>
      </c>
    </row>
    <row r="1935" spans="1:9" hidden="1" x14ac:dyDescent="0.2">
      <c r="A1935" s="6">
        <v>43969.708333333336</v>
      </c>
      <c r="B1935" s="1" t="s">
        <v>13</v>
      </c>
      <c r="C1935">
        <v>4482</v>
      </c>
      <c r="D1935">
        <v>252</v>
      </c>
      <c r="E1935">
        <v>15543</v>
      </c>
      <c r="F1935">
        <v>85019</v>
      </c>
      <c r="G1935" s="3">
        <f t="shared" si="90"/>
        <v>175</v>
      </c>
      <c r="H1935" s="4">
        <f t="shared" si="91"/>
        <v>2.0583634246462701E-3</v>
      </c>
      <c r="I1935" s="1">
        <f t="shared" si="92"/>
        <v>24</v>
      </c>
    </row>
    <row r="1936" spans="1:9" hidden="1" x14ac:dyDescent="0.2">
      <c r="A1936" s="6">
        <v>43970.708333333336</v>
      </c>
      <c r="B1936" s="1" t="s">
        <v>13</v>
      </c>
      <c r="C1936">
        <v>4426</v>
      </c>
      <c r="D1936">
        <v>244</v>
      </c>
      <c r="E1936">
        <v>15597</v>
      </c>
      <c r="F1936">
        <v>85481</v>
      </c>
      <c r="G1936" s="3">
        <f t="shared" si="90"/>
        <v>462</v>
      </c>
      <c r="H1936" s="4">
        <f t="shared" si="91"/>
        <v>5.4047098185561193E-3</v>
      </c>
      <c r="I1936" s="1">
        <f t="shared" si="92"/>
        <v>54</v>
      </c>
    </row>
    <row r="1937" spans="1:9" hidden="1" x14ac:dyDescent="0.2">
      <c r="A1937" s="6">
        <v>43971.708333333336</v>
      </c>
      <c r="B1937" s="1" t="s">
        <v>13</v>
      </c>
      <c r="C1937">
        <v>4281</v>
      </c>
      <c r="D1937">
        <v>231</v>
      </c>
      <c r="E1937">
        <v>15662</v>
      </c>
      <c r="F1937">
        <v>85775</v>
      </c>
      <c r="G1937" s="3">
        <f t="shared" si="90"/>
        <v>294</v>
      </c>
      <c r="H1937" s="4">
        <f t="shared" si="91"/>
        <v>3.4275721364034339E-3</v>
      </c>
      <c r="I1937" s="1">
        <f t="shared" si="92"/>
        <v>65</v>
      </c>
    </row>
    <row r="1938" spans="1:9" hidden="1" x14ac:dyDescent="0.2">
      <c r="A1938" s="6">
        <v>43972.708333333336</v>
      </c>
      <c r="B1938" s="1" t="s">
        <v>13</v>
      </c>
      <c r="C1938">
        <v>4119</v>
      </c>
      <c r="D1938">
        <v>226</v>
      </c>
      <c r="E1938">
        <v>15727</v>
      </c>
      <c r="F1938">
        <v>86091</v>
      </c>
      <c r="G1938" s="3">
        <f t="shared" si="90"/>
        <v>316</v>
      </c>
      <c r="H1938" s="4">
        <f t="shared" si="91"/>
        <v>3.6705346668060024E-3</v>
      </c>
      <c r="I1938" s="1">
        <f t="shared" si="92"/>
        <v>65</v>
      </c>
    </row>
    <row r="1939" spans="1:9" hidden="1" x14ac:dyDescent="0.2">
      <c r="A1939" s="6">
        <v>43973.708333333336</v>
      </c>
      <c r="B1939" s="1" t="s">
        <v>13</v>
      </c>
      <c r="C1939">
        <v>4028</v>
      </c>
      <c r="D1939">
        <v>207</v>
      </c>
      <c r="E1939">
        <v>15784</v>
      </c>
      <c r="F1939">
        <v>86384</v>
      </c>
      <c r="G1939" s="3">
        <f t="shared" si="90"/>
        <v>293</v>
      </c>
      <c r="H1939" s="4">
        <f t="shared" si="91"/>
        <v>3.3918318207075693E-3</v>
      </c>
      <c r="I1939" s="1">
        <f t="shared" si="92"/>
        <v>57</v>
      </c>
    </row>
    <row r="1940" spans="1:9" hidden="1" x14ac:dyDescent="0.2">
      <c r="A1940" s="6">
        <v>43974.708333333336</v>
      </c>
      <c r="B1940" s="1" t="s">
        <v>13</v>
      </c>
      <c r="C1940">
        <v>4026</v>
      </c>
      <c r="D1940">
        <v>199</v>
      </c>
      <c r="E1940">
        <v>15840</v>
      </c>
      <c r="F1940">
        <v>86825</v>
      </c>
      <c r="G1940" s="3">
        <f t="shared" si="90"/>
        <v>441</v>
      </c>
      <c r="H1940" s="4">
        <f t="shared" si="91"/>
        <v>5.0791822631730543E-3</v>
      </c>
      <c r="I1940" s="1">
        <f t="shared" si="92"/>
        <v>56</v>
      </c>
    </row>
    <row r="1941" spans="1:9" hidden="1" x14ac:dyDescent="0.2">
      <c r="A1941" s="6">
        <v>43975.708333333336</v>
      </c>
      <c r="B1941" s="1" t="s">
        <v>13</v>
      </c>
      <c r="C1941">
        <v>4017</v>
      </c>
      <c r="D1941">
        <v>197</v>
      </c>
      <c r="E1941">
        <v>15840</v>
      </c>
      <c r="F1941">
        <v>87110</v>
      </c>
      <c r="G1941" s="3">
        <f t="shared" si="90"/>
        <v>285</v>
      </c>
      <c r="H1941" s="4">
        <f t="shared" si="91"/>
        <v>3.271725404660808E-3</v>
      </c>
      <c r="I1941" s="1">
        <f t="shared" si="92"/>
        <v>0</v>
      </c>
    </row>
    <row r="1942" spans="1:9" hidden="1" x14ac:dyDescent="0.2">
      <c r="A1942" s="6">
        <v>43976.708333333336</v>
      </c>
      <c r="B1942" s="1" t="s">
        <v>13</v>
      </c>
      <c r="C1942">
        <v>3721</v>
      </c>
      <c r="D1942">
        <v>196</v>
      </c>
      <c r="E1942">
        <v>15874</v>
      </c>
      <c r="F1942">
        <v>87258</v>
      </c>
      <c r="G1942" s="3">
        <f t="shared" si="90"/>
        <v>148</v>
      </c>
      <c r="H1942" s="4">
        <f t="shared" si="91"/>
        <v>1.6961195535080131E-3</v>
      </c>
      <c r="I1942" s="1">
        <f t="shared" si="92"/>
        <v>34</v>
      </c>
    </row>
    <row r="1943" spans="1:9" hidden="1" x14ac:dyDescent="0.2">
      <c r="A1943" s="6">
        <v>43977.708333333336</v>
      </c>
      <c r="B1943" s="1" t="s">
        <v>13</v>
      </c>
      <c r="C1943">
        <v>3622</v>
      </c>
      <c r="D1943">
        <v>183</v>
      </c>
      <c r="E1943">
        <v>15896</v>
      </c>
      <c r="F1943">
        <v>87417</v>
      </c>
      <c r="G1943" s="3">
        <f t="shared" si="90"/>
        <v>159</v>
      </c>
      <c r="H1943" s="4">
        <f t="shared" si="91"/>
        <v>1.8188681835340503E-3</v>
      </c>
      <c r="I1943" s="1">
        <f t="shared" si="92"/>
        <v>22</v>
      </c>
    </row>
    <row r="1944" spans="1:9" hidden="1" x14ac:dyDescent="0.2">
      <c r="A1944" s="6">
        <v>43978.708333333336</v>
      </c>
      <c r="B1944" s="1" t="s">
        <v>13</v>
      </c>
      <c r="C1944">
        <v>3626</v>
      </c>
      <c r="D1944">
        <v>175</v>
      </c>
      <c r="E1944">
        <v>15954</v>
      </c>
      <c r="F1944">
        <v>87801</v>
      </c>
      <c r="G1944" s="3">
        <f t="shared" si="90"/>
        <v>384</v>
      </c>
      <c r="H1944" s="4">
        <f t="shared" si="91"/>
        <v>4.3735264974202881E-3</v>
      </c>
      <c r="I1944" s="1">
        <f t="shared" si="92"/>
        <v>58</v>
      </c>
    </row>
    <row r="1945" spans="1:9" hidden="1" x14ac:dyDescent="0.2">
      <c r="A1945" s="6">
        <v>43979.708333333336</v>
      </c>
      <c r="B1945" s="1" t="s">
        <v>13</v>
      </c>
      <c r="C1945">
        <v>3470</v>
      </c>
      <c r="D1945">
        <v>173</v>
      </c>
      <c r="E1945">
        <v>15974</v>
      </c>
      <c r="F1945">
        <v>88183</v>
      </c>
      <c r="G1945" s="3">
        <f t="shared" si="90"/>
        <v>382</v>
      </c>
      <c r="H1945" s="4">
        <f t="shared" si="91"/>
        <v>4.3319007064853698E-3</v>
      </c>
      <c r="I1945" s="1">
        <f t="shared" si="92"/>
        <v>20</v>
      </c>
    </row>
    <row r="1946" spans="1:9" hidden="1" x14ac:dyDescent="0.2">
      <c r="A1946" s="6">
        <v>43980.708333333336</v>
      </c>
      <c r="B1946" s="1" t="s">
        <v>13</v>
      </c>
      <c r="C1946">
        <v>3552</v>
      </c>
      <c r="D1946">
        <v>173</v>
      </c>
      <c r="E1946">
        <v>16012</v>
      </c>
      <c r="F1946">
        <v>88537</v>
      </c>
      <c r="G1946" s="3">
        <f t="shared" si="90"/>
        <v>354</v>
      </c>
      <c r="H1946" s="4">
        <f t="shared" si="91"/>
        <v>3.9983283824841509E-3</v>
      </c>
      <c r="I1946" s="1">
        <f t="shared" si="92"/>
        <v>38</v>
      </c>
    </row>
    <row r="1947" spans="1:9" hidden="1" x14ac:dyDescent="0.2">
      <c r="A1947" s="6">
        <v>43981.708333333336</v>
      </c>
      <c r="B1947" s="1" t="s">
        <v>13</v>
      </c>
      <c r="C1947">
        <v>3307</v>
      </c>
      <c r="D1947">
        <v>172</v>
      </c>
      <c r="E1947">
        <v>16079</v>
      </c>
      <c r="F1947">
        <v>88758</v>
      </c>
      <c r="G1947" s="3">
        <f t="shared" si="90"/>
        <v>221</v>
      </c>
      <c r="H1947" s="4">
        <f t="shared" si="91"/>
        <v>2.4899164019017705E-3</v>
      </c>
      <c r="I1947" s="1">
        <f t="shared" si="92"/>
        <v>67</v>
      </c>
    </row>
    <row r="1948" spans="1:9" hidden="1" x14ac:dyDescent="0.2">
      <c r="A1948" s="6">
        <v>43982.708333333336</v>
      </c>
      <c r="B1948" s="1" t="s">
        <v>13</v>
      </c>
      <c r="C1948">
        <v>3131</v>
      </c>
      <c r="D1948">
        <v>170</v>
      </c>
      <c r="E1948">
        <v>16112</v>
      </c>
      <c r="F1948">
        <v>88968</v>
      </c>
      <c r="G1948" s="3">
        <f t="shared" si="90"/>
        <v>210</v>
      </c>
      <c r="H1948" s="4">
        <f t="shared" si="91"/>
        <v>2.3603992446722399E-3</v>
      </c>
      <c r="I1948" s="1">
        <f t="shared" si="92"/>
        <v>33</v>
      </c>
    </row>
    <row r="1949" spans="1:9" hidden="1" x14ac:dyDescent="0.2">
      <c r="A1949" s="6">
        <v>43983.708333333336</v>
      </c>
      <c r="B1949" s="1" t="s">
        <v>13</v>
      </c>
      <c r="C1949">
        <v>3085</v>
      </c>
      <c r="D1949">
        <v>167</v>
      </c>
      <c r="E1949">
        <v>16131</v>
      </c>
      <c r="F1949">
        <v>89018</v>
      </c>
      <c r="G1949" s="3">
        <f t="shared" si="90"/>
        <v>50</v>
      </c>
      <c r="H1949" s="4">
        <f t="shared" si="91"/>
        <v>5.616841537666728E-4</v>
      </c>
      <c r="I1949" s="1">
        <f t="shared" si="92"/>
        <v>19</v>
      </c>
    </row>
    <row r="1950" spans="1:9" hidden="1" x14ac:dyDescent="0.2">
      <c r="A1950" s="6">
        <v>43984.708333333336</v>
      </c>
      <c r="B1950" s="1" t="s">
        <v>13</v>
      </c>
      <c r="C1950">
        <v>3021</v>
      </c>
      <c r="D1950">
        <v>166</v>
      </c>
      <c r="E1950">
        <v>16143</v>
      </c>
      <c r="F1950">
        <v>89205</v>
      </c>
      <c r="G1950" s="3">
        <f t="shared" si="90"/>
        <v>187</v>
      </c>
      <c r="H1950" s="4">
        <f t="shared" si="91"/>
        <v>2.0962950507258382E-3</v>
      </c>
      <c r="I1950" s="1">
        <f t="shared" si="92"/>
        <v>12</v>
      </c>
    </row>
    <row r="1951" spans="1:9" hidden="1" x14ac:dyDescent="0.2">
      <c r="A1951" s="6">
        <v>43985.708333333336</v>
      </c>
      <c r="B1951" s="1" t="s">
        <v>13</v>
      </c>
      <c r="C1951">
        <v>2995</v>
      </c>
      <c r="D1951">
        <v>131</v>
      </c>
      <c r="E1951">
        <v>16172</v>
      </c>
      <c r="F1951">
        <v>89442</v>
      </c>
      <c r="G1951" s="3">
        <f t="shared" si="90"/>
        <v>237</v>
      </c>
      <c r="H1951" s="4">
        <f t="shared" si="91"/>
        <v>2.6497618568457337E-3</v>
      </c>
      <c r="I1951" s="1">
        <f t="shared" si="92"/>
        <v>29</v>
      </c>
    </row>
    <row r="1952" spans="1:9" hidden="1" x14ac:dyDescent="0.2">
      <c r="A1952" s="6">
        <v>43986.708333333336</v>
      </c>
      <c r="B1952" s="1" t="s">
        <v>13</v>
      </c>
      <c r="C1952">
        <v>2954</v>
      </c>
      <c r="D1952">
        <v>125</v>
      </c>
      <c r="E1952">
        <v>16201</v>
      </c>
      <c r="F1952">
        <v>89526</v>
      </c>
      <c r="G1952" s="3">
        <f t="shared" si="90"/>
        <v>84</v>
      </c>
      <c r="H1952" s="4">
        <f t="shared" si="91"/>
        <v>9.38274914550008E-4</v>
      </c>
      <c r="I1952" s="1">
        <f t="shared" si="92"/>
        <v>29</v>
      </c>
    </row>
    <row r="1953" spans="1:9" hidden="1" x14ac:dyDescent="0.2">
      <c r="A1953" s="6">
        <v>43987.708333333336</v>
      </c>
      <c r="B1953" s="1" t="s">
        <v>13</v>
      </c>
      <c r="C1953">
        <v>2960</v>
      </c>
      <c r="D1953">
        <v>120</v>
      </c>
      <c r="E1953">
        <v>16222</v>
      </c>
      <c r="F1953">
        <v>89928</v>
      </c>
      <c r="G1953" s="3">
        <f t="shared" si="90"/>
        <v>402</v>
      </c>
      <c r="H1953" s="4">
        <f t="shared" si="91"/>
        <v>4.4702428609554312E-3</v>
      </c>
      <c r="I1953" s="1">
        <f t="shared" si="92"/>
        <v>21</v>
      </c>
    </row>
    <row r="1954" spans="1:9" hidden="1" x14ac:dyDescent="0.2">
      <c r="A1954" s="6">
        <v>43988.708333333336</v>
      </c>
      <c r="B1954" s="1" t="s">
        <v>13</v>
      </c>
      <c r="C1954">
        <v>2840</v>
      </c>
      <c r="D1954">
        <v>110</v>
      </c>
      <c r="E1954">
        <v>16249</v>
      </c>
      <c r="F1954">
        <v>90070</v>
      </c>
      <c r="G1954" s="3">
        <f t="shared" si="90"/>
        <v>142</v>
      </c>
      <c r="H1954" s="4">
        <f t="shared" si="91"/>
        <v>1.5765515710003397E-3</v>
      </c>
      <c r="I1954" s="1">
        <f t="shared" si="92"/>
        <v>27</v>
      </c>
    </row>
    <row r="1955" spans="1:9" hidden="1" x14ac:dyDescent="0.2">
      <c r="A1955" s="6">
        <v>43989.708333333336</v>
      </c>
      <c r="B1955" s="1" t="s">
        <v>13</v>
      </c>
      <c r="C1955">
        <v>2801</v>
      </c>
      <c r="D1955">
        <v>107</v>
      </c>
      <c r="E1955">
        <v>16270</v>
      </c>
      <c r="F1955">
        <v>90195</v>
      </c>
      <c r="G1955" s="3">
        <f t="shared" si="90"/>
        <v>125</v>
      </c>
      <c r="H1955" s="4">
        <f t="shared" si="91"/>
        <v>1.3858861355950935E-3</v>
      </c>
      <c r="I1955" s="1">
        <f t="shared" si="92"/>
        <v>21</v>
      </c>
    </row>
    <row r="1956" spans="1:9" hidden="1" x14ac:dyDescent="0.2">
      <c r="A1956" s="6">
        <v>43990.708333333336</v>
      </c>
      <c r="B1956" s="1" t="s">
        <v>13</v>
      </c>
      <c r="C1956">
        <v>2708</v>
      </c>
      <c r="D1956">
        <v>107</v>
      </c>
      <c r="E1956">
        <v>16302</v>
      </c>
      <c r="F1956">
        <v>90389</v>
      </c>
      <c r="G1956" s="3">
        <f t="shared" si="90"/>
        <v>194</v>
      </c>
      <c r="H1956" s="4">
        <f t="shared" si="91"/>
        <v>2.146278861365869E-3</v>
      </c>
      <c r="I1956" s="1">
        <f t="shared" si="92"/>
        <v>32</v>
      </c>
    </row>
    <row r="1957" spans="1:9" hidden="1" x14ac:dyDescent="0.2">
      <c r="A1957" s="6">
        <v>43991.708333333336</v>
      </c>
      <c r="B1957" s="1" t="s">
        <v>13</v>
      </c>
      <c r="C1957">
        <v>2660</v>
      </c>
      <c r="D1957">
        <v>96</v>
      </c>
      <c r="E1957">
        <v>16317</v>
      </c>
      <c r="F1957">
        <v>90581</v>
      </c>
      <c r="G1957" s="3">
        <f t="shared" si="90"/>
        <v>192</v>
      </c>
      <c r="H1957" s="4">
        <f t="shared" si="91"/>
        <v>2.1196498161866195E-3</v>
      </c>
      <c r="I1957" s="1">
        <f t="shared" si="92"/>
        <v>15</v>
      </c>
    </row>
    <row r="1958" spans="1:9" hidden="1" x14ac:dyDescent="0.2">
      <c r="A1958" s="6">
        <v>43992.708333333336</v>
      </c>
      <c r="B1958" s="1" t="s">
        <v>13</v>
      </c>
      <c r="C1958">
        <v>2565</v>
      </c>
      <c r="D1958">
        <v>98</v>
      </c>
      <c r="E1958">
        <v>16349</v>
      </c>
      <c r="F1958">
        <v>90680</v>
      </c>
      <c r="G1958" s="3">
        <f t="shared" si="90"/>
        <v>99</v>
      </c>
      <c r="H1958" s="4">
        <f t="shared" si="91"/>
        <v>1.0917512130569351E-3</v>
      </c>
      <c r="I1958" s="1">
        <f t="shared" si="92"/>
        <v>32</v>
      </c>
    </row>
    <row r="1959" spans="1:9" hidden="1" x14ac:dyDescent="0.2">
      <c r="A1959" s="6">
        <v>43993.708333333336</v>
      </c>
      <c r="B1959" s="1" t="s">
        <v>13</v>
      </c>
      <c r="C1959">
        <v>2488</v>
      </c>
      <c r="D1959">
        <v>97</v>
      </c>
      <c r="E1959">
        <v>16374</v>
      </c>
      <c r="F1959">
        <v>90932</v>
      </c>
      <c r="G1959" s="3">
        <f t="shared" si="90"/>
        <v>252</v>
      </c>
      <c r="H1959" s="4">
        <f t="shared" si="91"/>
        <v>2.7713016319886874E-3</v>
      </c>
      <c r="I1959" s="1">
        <f t="shared" si="92"/>
        <v>25</v>
      </c>
    </row>
    <row r="1960" spans="1:9" hidden="1" x14ac:dyDescent="0.2">
      <c r="A1960" s="6">
        <v>43994.708333333336</v>
      </c>
      <c r="B1960" s="1" t="s">
        <v>13</v>
      </c>
      <c r="C1960">
        <v>2357</v>
      </c>
      <c r="D1960">
        <v>97</v>
      </c>
      <c r="E1960">
        <v>16405</v>
      </c>
      <c r="F1960">
        <v>91204</v>
      </c>
      <c r="G1960" s="3">
        <f t="shared" si="90"/>
        <v>272</v>
      </c>
      <c r="H1960" s="4">
        <f t="shared" si="91"/>
        <v>2.9823253366080271E-3</v>
      </c>
      <c r="I1960" s="1">
        <f t="shared" si="92"/>
        <v>31</v>
      </c>
    </row>
    <row r="1961" spans="1:9" hidden="1" x14ac:dyDescent="0.2">
      <c r="A1961" s="6">
        <v>43995.708333333336</v>
      </c>
      <c r="B1961" s="1" t="s">
        <v>13</v>
      </c>
      <c r="C1961">
        <v>2252</v>
      </c>
      <c r="D1961">
        <v>96</v>
      </c>
      <c r="E1961">
        <v>16428</v>
      </c>
      <c r="F1961">
        <v>91414</v>
      </c>
      <c r="G1961" s="3">
        <f t="shared" si="90"/>
        <v>210</v>
      </c>
      <c r="H1961" s="4">
        <f t="shared" si="91"/>
        <v>2.2972411228039391E-3</v>
      </c>
      <c r="I1961" s="1">
        <f t="shared" si="92"/>
        <v>23</v>
      </c>
    </row>
    <row r="1962" spans="1:9" hidden="1" x14ac:dyDescent="0.2">
      <c r="A1962" s="6">
        <v>43996.708333333336</v>
      </c>
      <c r="B1962" s="1" t="s">
        <v>13</v>
      </c>
      <c r="C1962">
        <v>2116</v>
      </c>
      <c r="D1962">
        <v>94</v>
      </c>
      <c r="E1962">
        <v>16449</v>
      </c>
      <c r="F1962">
        <v>91658</v>
      </c>
      <c r="G1962" s="3">
        <f t="shared" si="90"/>
        <v>244</v>
      </c>
      <c r="H1962" s="4">
        <f t="shared" si="91"/>
        <v>2.6620698684238775E-3</v>
      </c>
      <c r="I1962" s="1">
        <f t="shared" si="92"/>
        <v>21</v>
      </c>
    </row>
    <row r="1963" spans="1:9" hidden="1" x14ac:dyDescent="0.2">
      <c r="A1963" s="6">
        <v>43997.708333333336</v>
      </c>
      <c r="B1963" s="1" t="s">
        <v>13</v>
      </c>
      <c r="C1963">
        <v>2018</v>
      </c>
      <c r="D1963">
        <v>94</v>
      </c>
      <c r="E1963">
        <v>16457</v>
      </c>
      <c r="F1963">
        <v>91917</v>
      </c>
      <c r="G1963" s="3">
        <f t="shared" si="90"/>
        <v>259</v>
      </c>
      <c r="H1963" s="4">
        <f t="shared" si="91"/>
        <v>2.8177595004188483E-3</v>
      </c>
      <c r="I1963" s="1">
        <f t="shared" si="92"/>
        <v>8</v>
      </c>
    </row>
    <row r="1964" spans="1:9" hidden="1" x14ac:dyDescent="0.2">
      <c r="A1964" s="6">
        <v>43998.708333333336</v>
      </c>
      <c r="B1964" s="1" t="s">
        <v>13</v>
      </c>
      <c r="C1964">
        <v>1902</v>
      </c>
      <c r="D1964">
        <v>69</v>
      </c>
      <c r="E1964">
        <v>16466</v>
      </c>
      <c r="F1964">
        <v>92060</v>
      </c>
      <c r="G1964" s="3">
        <f t="shared" si="90"/>
        <v>143</v>
      </c>
      <c r="H1964" s="4">
        <f t="shared" si="91"/>
        <v>1.5533347816640841E-3</v>
      </c>
      <c r="I1964" s="1">
        <f t="shared" si="92"/>
        <v>9</v>
      </c>
    </row>
    <row r="1965" spans="1:9" hidden="1" x14ac:dyDescent="0.2">
      <c r="A1965" s="6">
        <v>43999.708333333336</v>
      </c>
      <c r="B1965" s="1" t="s">
        <v>13</v>
      </c>
      <c r="C1965">
        <v>1796</v>
      </c>
      <c r="D1965">
        <v>59</v>
      </c>
      <c r="E1965">
        <v>16480</v>
      </c>
      <c r="F1965">
        <v>92302</v>
      </c>
      <c r="G1965" s="3">
        <f t="shared" si="90"/>
        <v>242</v>
      </c>
      <c r="H1965" s="4">
        <f t="shared" si="91"/>
        <v>2.6218283460813785E-3</v>
      </c>
      <c r="I1965" s="1">
        <f t="shared" si="92"/>
        <v>14</v>
      </c>
    </row>
    <row r="1966" spans="1:9" hidden="1" x14ac:dyDescent="0.2">
      <c r="A1966" s="6">
        <v>44000.708333333336</v>
      </c>
      <c r="B1966" s="1" t="s">
        <v>13</v>
      </c>
      <c r="C1966">
        <v>1673</v>
      </c>
      <c r="D1966">
        <v>60</v>
      </c>
      <c r="E1966">
        <v>16516</v>
      </c>
      <c r="F1966">
        <v>92518</v>
      </c>
      <c r="G1966" s="3">
        <f t="shared" si="90"/>
        <v>216</v>
      </c>
      <c r="H1966" s="4">
        <f t="shared" si="91"/>
        <v>2.3346808188676738E-3</v>
      </c>
      <c r="I1966" s="1">
        <f t="shared" si="92"/>
        <v>36</v>
      </c>
    </row>
    <row r="1967" spans="1:9" hidden="1" x14ac:dyDescent="0.2">
      <c r="A1967" s="6">
        <v>44001.708333333336</v>
      </c>
      <c r="B1967" s="1" t="s">
        <v>13</v>
      </c>
      <c r="C1967">
        <v>1537</v>
      </c>
      <c r="D1967">
        <v>60</v>
      </c>
      <c r="E1967">
        <v>16534</v>
      </c>
      <c r="F1967">
        <v>92675</v>
      </c>
      <c r="G1967" s="3">
        <f t="shared" si="90"/>
        <v>157</v>
      </c>
      <c r="H1967" s="4">
        <f t="shared" si="91"/>
        <v>1.6940922578905226E-3</v>
      </c>
      <c r="I1967" s="1">
        <f t="shared" si="92"/>
        <v>18</v>
      </c>
    </row>
    <row r="1968" spans="1:9" hidden="1" x14ac:dyDescent="0.2">
      <c r="A1968" s="6">
        <v>44002.708333333336</v>
      </c>
      <c r="B1968" s="1" t="s">
        <v>13</v>
      </c>
      <c r="C1968">
        <v>1401</v>
      </c>
      <c r="D1968">
        <v>54</v>
      </c>
      <c r="E1968">
        <v>16557</v>
      </c>
      <c r="F1968">
        <v>92840</v>
      </c>
      <c r="G1968" s="3">
        <f t="shared" si="90"/>
        <v>165</v>
      </c>
      <c r="H1968" s="4">
        <f t="shared" si="91"/>
        <v>1.7772511848340722E-3</v>
      </c>
      <c r="I1968" s="1">
        <f t="shared" si="92"/>
        <v>23</v>
      </c>
    </row>
    <row r="1969" spans="1:9" hidden="1" x14ac:dyDescent="0.2">
      <c r="A1969" s="6">
        <v>44003.708333333336</v>
      </c>
      <c r="B1969" s="1" t="s">
        <v>13</v>
      </c>
      <c r="C1969">
        <v>1260</v>
      </c>
      <c r="D1969">
        <v>53</v>
      </c>
      <c r="E1969">
        <v>16570</v>
      </c>
      <c r="F1969">
        <v>92968</v>
      </c>
      <c r="G1969" s="3">
        <f t="shared" si="90"/>
        <v>128</v>
      </c>
      <c r="H1969" s="4">
        <f t="shared" si="91"/>
        <v>1.3768178297909328E-3</v>
      </c>
      <c r="I1969" s="1">
        <f t="shared" si="92"/>
        <v>13</v>
      </c>
    </row>
    <row r="1970" spans="1:9" hidden="1" x14ac:dyDescent="0.2">
      <c r="A1970" s="6">
        <v>44004.708333333336</v>
      </c>
      <c r="B1970" s="1" t="s">
        <v>13</v>
      </c>
      <c r="C1970">
        <v>1047</v>
      </c>
      <c r="D1970">
        <v>51</v>
      </c>
      <c r="E1970">
        <v>16573</v>
      </c>
      <c r="F1970">
        <v>93111</v>
      </c>
      <c r="G1970" s="3">
        <f t="shared" si="90"/>
        <v>143</v>
      </c>
      <c r="H1970" s="4">
        <f t="shared" si="91"/>
        <v>1.5358013553715688E-3</v>
      </c>
      <c r="I1970" s="1">
        <f t="shared" si="92"/>
        <v>3</v>
      </c>
    </row>
    <row r="1971" spans="1:9" hidden="1" x14ac:dyDescent="0.2">
      <c r="A1971" s="6">
        <v>44005.708333333336</v>
      </c>
      <c r="B1971" s="1" t="s">
        <v>13</v>
      </c>
      <c r="C1971">
        <v>910</v>
      </c>
      <c r="D1971">
        <v>51</v>
      </c>
      <c r="E1971">
        <v>16579</v>
      </c>
      <c r="F1971">
        <v>93173</v>
      </c>
      <c r="G1971" s="3">
        <f t="shared" si="90"/>
        <v>62</v>
      </c>
      <c r="H1971" s="4">
        <f t="shared" si="91"/>
        <v>6.6542882594744501E-4</v>
      </c>
      <c r="I1971" s="1">
        <f t="shared" si="92"/>
        <v>6</v>
      </c>
    </row>
    <row r="1972" spans="1:9" hidden="1" x14ac:dyDescent="0.2">
      <c r="A1972" s="6">
        <v>44006.708333333336</v>
      </c>
      <c r="B1972" s="1" t="s">
        <v>13</v>
      </c>
      <c r="C1972">
        <v>692</v>
      </c>
      <c r="D1972">
        <v>48</v>
      </c>
      <c r="E1972">
        <v>16586</v>
      </c>
      <c r="F1972">
        <v>93261</v>
      </c>
      <c r="G1972" s="3">
        <f t="shared" si="90"/>
        <v>88</v>
      </c>
      <c r="H1972" s="4">
        <f t="shared" si="91"/>
        <v>9.4358842388564401E-4</v>
      </c>
      <c r="I1972" s="1">
        <f t="shared" si="92"/>
        <v>7</v>
      </c>
    </row>
    <row r="1973" spans="1:9" hidden="1" x14ac:dyDescent="0.2">
      <c r="A1973" s="6">
        <v>44007.708333333336</v>
      </c>
      <c r="B1973" s="1" t="s">
        <v>13</v>
      </c>
      <c r="C1973">
        <v>622</v>
      </c>
      <c r="D1973">
        <v>48</v>
      </c>
      <c r="E1973">
        <v>16608</v>
      </c>
      <c r="F1973">
        <v>93431</v>
      </c>
      <c r="G1973" s="3">
        <f t="shared" si="90"/>
        <v>170</v>
      </c>
      <c r="H1973" s="4">
        <f t="shared" si="91"/>
        <v>1.8195245689331951E-3</v>
      </c>
      <c r="I1973" s="1">
        <f t="shared" si="92"/>
        <v>22</v>
      </c>
    </row>
    <row r="1974" spans="1:9" hidden="1" x14ac:dyDescent="0.2">
      <c r="A1974" s="6">
        <v>44008.708333333336</v>
      </c>
      <c r="B1974" s="1" t="s">
        <v>13</v>
      </c>
      <c r="C1974">
        <v>501</v>
      </c>
      <c r="D1974">
        <v>47</v>
      </c>
      <c r="E1974">
        <v>16624</v>
      </c>
      <c r="F1974">
        <v>93587</v>
      </c>
      <c r="G1974" s="3">
        <f t="shared" si="90"/>
        <v>156</v>
      </c>
      <c r="H1974" s="4">
        <f t="shared" si="91"/>
        <v>1.666898180302856E-3</v>
      </c>
      <c r="I1974" s="1">
        <f t="shared" si="92"/>
        <v>16</v>
      </c>
    </row>
    <row r="1975" spans="1:9" hidden="1" x14ac:dyDescent="0.2">
      <c r="A1975" s="6">
        <v>44009.708333333336</v>
      </c>
      <c r="B1975" s="1" t="s">
        <v>13</v>
      </c>
      <c r="C1975">
        <v>415</v>
      </c>
      <c r="D1975">
        <v>43</v>
      </c>
      <c r="E1975">
        <v>16626</v>
      </c>
      <c r="F1975">
        <v>93664</v>
      </c>
      <c r="G1975" s="3">
        <f t="shared" si="90"/>
        <v>77</v>
      </c>
      <c r="H1975" s="4">
        <f t="shared" si="91"/>
        <v>8.2208746156475776E-4</v>
      </c>
      <c r="I1975" s="1">
        <f t="shared" si="92"/>
        <v>2</v>
      </c>
    </row>
    <row r="1976" spans="1:9" hidden="1" x14ac:dyDescent="0.2">
      <c r="A1976" s="6">
        <v>44010.708333333336</v>
      </c>
      <c r="B1976" s="1" t="s">
        <v>13</v>
      </c>
      <c r="C1976">
        <v>323</v>
      </c>
      <c r="D1976">
        <v>43</v>
      </c>
      <c r="E1976">
        <v>16639</v>
      </c>
      <c r="F1976">
        <v>93761</v>
      </c>
      <c r="G1976" s="3">
        <f t="shared" si="90"/>
        <v>97</v>
      </c>
      <c r="H1976" s="4">
        <f t="shared" si="91"/>
        <v>1.0345452800204491E-3</v>
      </c>
      <c r="I1976" s="1">
        <f t="shared" si="92"/>
        <v>13</v>
      </c>
    </row>
    <row r="1977" spans="1:9" hidden="1" x14ac:dyDescent="0.2">
      <c r="A1977" s="6">
        <v>44011.708333333336</v>
      </c>
      <c r="B1977" s="1" t="s">
        <v>13</v>
      </c>
      <c r="C1977">
        <v>321</v>
      </c>
      <c r="D1977">
        <v>43</v>
      </c>
      <c r="E1977">
        <v>16640</v>
      </c>
      <c r="F1977">
        <v>93839</v>
      </c>
      <c r="G1977" s="3">
        <f t="shared" si="90"/>
        <v>78</v>
      </c>
      <c r="H1977" s="4">
        <f t="shared" si="91"/>
        <v>8.3121090378202034E-4</v>
      </c>
      <c r="I1977" s="1">
        <f t="shared" si="92"/>
        <v>1</v>
      </c>
    </row>
    <row r="1978" spans="1:9" hidden="1" x14ac:dyDescent="0.2">
      <c r="A1978" s="6">
        <v>44012.708333333336</v>
      </c>
      <c r="B1978" s="1" t="s">
        <v>13</v>
      </c>
      <c r="C1978">
        <v>297</v>
      </c>
      <c r="D1978">
        <v>42</v>
      </c>
      <c r="E1978">
        <v>16644</v>
      </c>
      <c r="F1978">
        <v>93901</v>
      </c>
      <c r="G1978" s="3">
        <f t="shared" si="90"/>
        <v>62</v>
      </c>
      <c r="H1978" s="4">
        <f t="shared" si="91"/>
        <v>6.6026985868095078E-4</v>
      </c>
      <c r="I1978" s="1">
        <f t="shared" si="92"/>
        <v>4</v>
      </c>
    </row>
    <row r="1979" spans="1:9" hidden="1" x14ac:dyDescent="0.2">
      <c r="A1979" s="6">
        <v>44013.708333333336</v>
      </c>
      <c r="B1979" s="1" t="s">
        <v>13</v>
      </c>
      <c r="C1979">
        <v>277</v>
      </c>
      <c r="D1979">
        <v>41</v>
      </c>
      <c r="E1979">
        <v>16650</v>
      </c>
      <c r="F1979">
        <v>94010</v>
      </c>
      <c r="G1979" s="3">
        <f t="shared" si="90"/>
        <v>109</v>
      </c>
      <c r="H1979" s="4">
        <f t="shared" si="91"/>
        <v>1.1594511222210446E-3</v>
      </c>
      <c r="I1979" s="1">
        <f t="shared" si="92"/>
        <v>6</v>
      </c>
    </row>
    <row r="1980" spans="1:9" hidden="1" x14ac:dyDescent="0.2">
      <c r="A1980" s="6">
        <v>44014.708333333336</v>
      </c>
      <c r="B1980" s="1" t="s">
        <v>13</v>
      </c>
      <c r="C1980">
        <v>241</v>
      </c>
      <c r="D1980">
        <v>41</v>
      </c>
      <c r="E1980">
        <v>16671</v>
      </c>
      <c r="F1980">
        <v>94108</v>
      </c>
      <c r="G1980" s="3">
        <f t="shared" si="90"/>
        <v>98</v>
      </c>
      <c r="H1980" s="4">
        <f t="shared" si="91"/>
        <v>1.0413567390658018E-3</v>
      </c>
      <c r="I1980" s="1">
        <f t="shared" si="92"/>
        <v>21</v>
      </c>
    </row>
    <row r="1981" spans="1:9" hidden="1" x14ac:dyDescent="0.2">
      <c r="A1981" s="6">
        <v>44015.708333333336</v>
      </c>
      <c r="B1981" s="1" t="s">
        <v>13</v>
      </c>
      <c r="C1981">
        <v>241</v>
      </c>
      <c r="D1981">
        <v>41</v>
      </c>
      <c r="E1981">
        <v>16675</v>
      </c>
      <c r="F1981">
        <v>94223</v>
      </c>
      <c r="G1981" s="3">
        <f t="shared" si="90"/>
        <v>115</v>
      </c>
      <c r="H1981" s="4">
        <f t="shared" si="91"/>
        <v>1.2205087929698655E-3</v>
      </c>
      <c r="I1981" s="1">
        <f t="shared" si="92"/>
        <v>4</v>
      </c>
    </row>
    <row r="1982" spans="1:9" hidden="1" x14ac:dyDescent="0.2">
      <c r="A1982" s="6">
        <v>44016.708333333336</v>
      </c>
      <c r="B1982" s="1" t="s">
        <v>13</v>
      </c>
      <c r="C1982">
        <v>231</v>
      </c>
      <c r="D1982">
        <v>36</v>
      </c>
      <c r="E1982">
        <v>16691</v>
      </c>
      <c r="F1982">
        <v>94318</v>
      </c>
      <c r="G1982" s="3">
        <f t="shared" si="90"/>
        <v>95</v>
      </c>
      <c r="H1982" s="4">
        <f t="shared" si="91"/>
        <v>1.0072308573124689E-3</v>
      </c>
      <c r="I1982" s="1">
        <f t="shared" si="92"/>
        <v>16</v>
      </c>
    </row>
    <row r="1983" spans="1:9" hidden="1" x14ac:dyDescent="0.2">
      <c r="A1983" s="6">
        <v>44017.708333333336</v>
      </c>
      <c r="B1983" s="1" t="s">
        <v>13</v>
      </c>
      <c r="C1983">
        <v>230</v>
      </c>
      <c r="D1983">
        <v>36</v>
      </c>
      <c r="E1983">
        <v>16697</v>
      </c>
      <c r="F1983">
        <v>94416</v>
      </c>
      <c r="G1983" s="3">
        <f t="shared" si="90"/>
        <v>98</v>
      </c>
      <c r="H1983" s="4">
        <f t="shared" si="91"/>
        <v>1.0379596678529168E-3</v>
      </c>
      <c r="I1983" s="1">
        <f t="shared" si="92"/>
        <v>6</v>
      </c>
    </row>
    <row r="1984" spans="1:9" hidden="1" x14ac:dyDescent="0.2">
      <c r="A1984" s="6">
        <v>44018.708333333336</v>
      </c>
      <c r="B1984" s="1" t="s">
        <v>13</v>
      </c>
      <c r="C1984">
        <v>233</v>
      </c>
      <c r="D1984">
        <v>36</v>
      </c>
      <c r="E1984">
        <v>16700</v>
      </c>
      <c r="F1984">
        <v>94527</v>
      </c>
      <c r="G1984" s="3">
        <f t="shared" si="90"/>
        <v>111</v>
      </c>
      <c r="H1984" s="4">
        <f t="shared" si="91"/>
        <v>1.1742676695547516E-3</v>
      </c>
      <c r="I1984" s="1">
        <f t="shared" si="92"/>
        <v>3</v>
      </c>
    </row>
    <row r="1985" spans="1:9" hidden="1" x14ac:dyDescent="0.2">
      <c r="A1985" s="6">
        <v>44019.708333333336</v>
      </c>
      <c r="B1985" s="1" t="s">
        <v>13</v>
      </c>
      <c r="C1985">
        <v>229</v>
      </c>
      <c r="D1985">
        <v>36</v>
      </c>
      <c r="E1985">
        <v>16713</v>
      </c>
      <c r="F1985">
        <v>94580</v>
      </c>
      <c r="G1985" s="3">
        <f t="shared" si="90"/>
        <v>53</v>
      </c>
      <c r="H1985" s="4">
        <f t="shared" si="91"/>
        <v>5.6037217170645803E-4</v>
      </c>
      <c r="I1985" s="1">
        <f t="shared" si="92"/>
        <v>13</v>
      </c>
    </row>
    <row r="1986" spans="1:9" hidden="1" x14ac:dyDescent="0.2">
      <c r="A1986" s="6">
        <v>44020.708333333336</v>
      </c>
      <c r="B1986" s="1" t="s">
        <v>13</v>
      </c>
      <c r="C1986">
        <v>211</v>
      </c>
      <c r="D1986">
        <v>34</v>
      </c>
      <c r="E1986">
        <v>16725</v>
      </c>
      <c r="F1986">
        <v>94651</v>
      </c>
      <c r="G1986" s="3">
        <f t="shared" si="90"/>
        <v>71</v>
      </c>
      <c r="H1986" s="4">
        <f t="shared" si="91"/>
        <v>7.501241402626535E-4</v>
      </c>
      <c r="I1986" s="1">
        <f t="shared" si="92"/>
        <v>12</v>
      </c>
    </row>
    <row r="1987" spans="1:9" hidden="1" x14ac:dyDescent="0.2">
      <c r="A1987" s="6">
        <v>44021.708333333336</v>
      </c>
      <c r="B1987" s="1" t="s">
        <v>13</v>
      </c>
      <c r="C1987">
        <v>201</v>
      </c>
      <c r="D1987">
        <v>31</v>
      </c>
      <c r="E1987">
        <v>16730</v>
      </c>
      <c r="F1987">
        <v>94770</v>
      </c>
      <c r="G1987" s="3">
        <f t="shared" ref="G1987:G2050" si="93">IF(AND(F1987&gt;0,AND(B1987=B1986,F1987&gt;0)),F1987-F1986,0)</f>
        <v>119</v>
      </c>
      <c r="H1987" s="4">
        <f t="shared" ref="H1987:H2050" si="94">IF(AND(F1986&gt;0,AND(B1987=B1986,F1986&gt;0)),1-(F1986/F1987),0)</f>
        <v>1.2556716260420098E-3</v>
      </c>
      <c r="I1987" s="1">
        <f t="shared" ref="I1987:I2050" si="95">IF(AND(E1987&gt;0,AND(B1987=B1986,E1987&gt;0)),E1987-E1986,0)</f>
        <v>5</v>
      </c>
    </row>
    <row r="1988" spans="1:9" hidden="1" x14ac:dyDescent="0.2">
      <c r="A1988" s="6">
        <v>44022.708333333336</v>
      </c>
      <c r="B1988" s="1" t="s">
        <v>13</v>
      </c>
      <c r="C1988">
        <v>190</v>
      </c>
      <c r="D1988">
        <v>27</v>
      </c>
      <c r="E1988">
        <v>16736</v>
      </c>
      <c r="F1988">
        <v>94905</v>
      </c>
      <c r="G1988" s="3">
        <f t="shared" si="93"/>
        <v>135</v>
      </c>
      <c r="H1988" s="4">
        <f t="shared" si="94"/>
        <v>1.4224751066855834E-3</v>
      </c>
      <c r="I1988" s="1">
        <f t="shared" si="95"/>
        <v>6</v>
      </c>
    </row>
    <row r="1989" spans="1:9" hidden="1" x14ac:dyDescent="0.2">
      <c r="A1989" s="6">
        <v>44023.708333333336</v>
      </c>
      <c r="B1989" s="1" t="s">
        <v>13</v>
      </c>
      <c r="C1989">
        <v>173</v>
      </c>
      <c r="D1989">
        <v>29</v>
      </c>
      <c r="E1989">
        <v>16740</v>
      </c>
      <c r="F1989">
        <v>94972</v>
      </c>
      <c r="G1989" s="3">
        <f t="shared" si="93"/>
        <v>67</v>
      </c>
      <c r="H1989" s="4">
        <f t="shared" si="94"/>
        <v>7.0547108621488164E-4</v>
      </c>
      <c r="I1989" s="1">
        <f t="shared" si="95"/>
        <v>4</v>
      </c>
    </row>
    <row r="1990" spans="1:9" hidden="1" x14ac:dyDescent="0.2">
      <c r="A1990" s="6">
        <v>44024.708333333336</v>
      </c>
      <c r="B1990" s="1" t="s">
        <v>13</v>
      </c>
      <c r="C1990">
        <v>160</v>
      </c>
      <c r="D1990">
        <v>31</v>
      </c>
      <c r="E1990">
        <v>16748</v>
      </c>
      <c r="F1990">
        <v>95049</v>
      </c>
      <c r="G1990" s="3">
        <f t="shared" si="93"/>
        <v>77</v>
      </c>
      <c r="H1990" s="4">
        <f t="shared" si="94"/>
        <v>8.1010847036788736E-4</v>
      </c>
      <c r="I1990" s="1">
        <f t="shared" si="95"/>
        <v>8</v>
      </c>
    </row>
    <row r="1991" spans="1:9" hidden="1" x14ac:dyDescent="0.2">
      <c r="A1991" s="6">
        <v>44025.708333333336</v>
      </c>
      <c r="B1991" s="1" t="s">
        <v>13</v>
      </c>
      <c r="C1991">
        <v>168</v>
      </c>
      <c r="D1991">
        <v>30</v>
      </c>
      <c r="E1991">
        <v>16757</v>
      </c>
      <c r="F1991">
        <v>95143</v>
      </c>
      <c r="G1991" s="3">
        <f t="shared" si="93"/>
        <v>94</v>
      </c>
      <c r="H1991" s="4">
        <f t="shared" si="94"/>
        <v>9.8798650452480707E-4</v>
      </c>
      <c r="I1991" s="1">
        <f t="shared" si="95"/>
        <v>9</v>
      </c>
    </row>
    <row r="1992" spans="1:9" hidden="1" x14ac:dyDescent="0.2">
      <c r="A1992" s="6">
        <v>44026.708333333336</v>
      </c>
      <c r="B1992" s="1" t="s">
        <v>13</v>
      </c>
      <c r="C1992">
        <v>176</v>
      </c>
      <c r="D1992">
        <v>27</v>
      </c>
      <c r="E1992">
        <v>16760</v>
      </c>
      <c r="F1992">
        <v>95173</v>
      </c>
      <c r="G1992" s="3">
        <f t="shared" si="93"/>
        <v>30</v>
      </c>
      <c r="H1992" s="4">
        <f t="shared" si="94"/>
        <v>3.1521544975987581E-4</v>
      </c>
      <c r="I1992" s="1">
        <f t="shared" si="95"/>
        <v>3</v>
      </c>
    </row>
    <row r="1993" spans="1:9" hidden="1" x14ac:dyDescent="0.2">
      <c r="A1993" s="6">
        <v>44027.708333333336</v>
      </c>
      <c r="B1993" s="1" t="s">
        <v>13</v>
      </c>
      <c r="C1993">
        <v>177</v>
      </c>
      <c r="D1993">
        <v>23</v>
      </c>
      <c r="E1993">
        <v>16765</v>
      </c>
      <c r="F1993">
        <v>95236</v>
      </c>
      <c r="G1993" s="3">
        <f t="shared" si="93"/>
        <v>63</v>
      </c>
      <c r="H1993" s="4">
        <f t="shared" si="94"/>
        <v>6.6151455332019715E-4</v>
      </c>
      <c r="I1993" s="1">
        <f t="shared" si="95"/>
        <v>5</v>
      </c>
    </row>
    <row r="1994" spans="1:9" hidden="1" x14ac:dyDescent="0.2">
      <c r="A1994" s="6">
        <v>44028.708333333336</v>
      </c>
      <c r="B1994" s="1" t="s">
        <v>13</v>
      </c>
      <c r="C1994">
        <v>164</v>
      </c>
      <c r="D1994">
        <v>23</v>
      </c>
      <c r="E1994">
        <v>16775</v>
      </c>
      <c r="F1994">
        <v>95316</v>
      </c>
      <c r="G1994" s="3">
        <f t="shared" si="93"/>
        <v>80</v>
      </c>
      <c r="H1994" s="4">
        <f t="shared" si="94"/>
        <v>8.3931344160481647E-4</v>
      </c>
      <c r="I1994" s="1">
        <f t="shared" si="95"/>
        <v>10</v>
      </c>
    </row>
    <row r="1995" spans="1:9" hidden="1" x14ac:dyDescent="0.2">
      <c r="A1995" s="6">
        <v>44029.708333333336</v>
      </c>
      <c r="B1995" s="1" t="s">
        <v>13</v>
      </c>
      <c r="C1995">
        <v>159</v>
      </c>
      <c r="D1995">
        <v>22</v>
      </c>
      <c r="E1995">
        <v>16778</v>
      </c>
      <c r="F1995">
        <v>95371</v>
      </c>
      <c r="G1995" s="3">
        <f t="shared" si="93"/>
        <v>55</v>
      </c>
      <c r="H1995" s="4">
        <f t="shared" si="94"/>
        <v>5.7669522181791333E-4</v>
      </c>
      <c r="I1995" s="1">
        <f t="shared" si="95"/>
        <v>3</v>
      </c>
    </row>
    <row r="1996" spans="1:9" hidden="1" x14ac:dyDescent="0.2">
      <c r="A1996" s="6">
        <v>44030.708333333336</v>
      </c>
      <c r="B1996" s="1" t="s">
        <v>13</v>
      </c>
      <c r="C1996">
        <v>149</v>
      </c>
      <c r="D1996">
        <v>22</v>
      </c>
      <c r="E1996">
        <v>16788</v>
      </c>
      <c r="F1996">
        <v>95459</v>
      </c>
      <c r="G1996" s="3">
        <f t="shared" si="93"/>
        <v>88</v>
      </c>
      <c r="H1996" s="4">
        <f t="shared" si="94"/>
        <v>9.2186174169017754E-4</v>
      </c>
      <c r="I1996" s="1">
        <f t="shared" si="95"/>
        <v>10</v>
      </c>
    </row>
    <row r="1997" spans="1:9" hidden="1" x14ac:dyDescent="0.2">
      <c r="A1997" s="6">
        <v>44031.708333333336</v>
      </c>
      <c r="B1997" s="1" t="s">
        <v>13</v>
      </c>
      <c r="C1997">
        <v>148</v>
      </c>
      <c r="D1997">
        <v>22</v>
      </c>
      <c r="E1997">
        <v>16788</v>
      </c>
      <c r="F1997">
        <v>95492</v>
      </c>
      <c r="G1997" s="3">
        <f t="shared" si="93"/>
        <v>33</v>
      </c>
      <c r="H1997" s="4">
        <f t="shared" si="94"/>
        <v>3.4557868721984963E-4</v>
      </c>
      <c r="I1997" s="1">
        <f t="shared" si="95"/>
        <v>0</v>
      </c>
    </row>
    <row r="1998" spans="1:9" hidden="1" x14ac:dyDescent="0.2">
      <c r="A1998" s="6">
        <v>44032.708333333336</v>
      </c>
      <c r="B1998" s="1" t="s">
        <v>13</v>
      </c>
      <c r="C1998">
        <v>151</v>
      </c>
      <c r="D1998">
        <v>21</v>
      </c>
      <c r="E1998">
        <v>16796</v>
      </c>
      <c r="F1998">
        <v>95548</v>
      </c>
      <c r="G1998" s="3">
        <f t="shared" si="93"/>
        <v>56</v>
      </c>
      <c r="H1998" s="4">
        <f t="shared" si="94"/>
        <v>5.8609285385358145E-4</v>
      </c>
      <c r="I1998" s="1">
        <f t="shared" si="95"/>
        <v>8</v>
      </c>
    </row>
    <row r="1999" spans="1:9" hidden="1" x14ac:dyDescent="0.2">
      <c r="A1999" s="6">
        <v>44033.708333333336</v>
      </c>
      <c r="B1999" s="1" t="s">
        <v>13</v>
      </c>
      <c r="C1999">
        <v>151</v>
      </c>
      <c r="D1999">
        <v>21</v>
      </c>
      <c r="E1999">
        <v>16797</v>
      </c>
      <c r="F1999">
        <v>95582</v>
      </c>
      <c r="G1999" s="3">
        <f t="shared" si="93"/>
        <v>34</v>
      </c>
      <c r="H1999" s="4">
        <f t="shared" si="94"/>
        <v>3.5571551128876777E-4</v>
      </c>
      <c r="I1999" s="1">
        <f t="shared" si="95"/>
        <v>1</v>
      </c>
    </row>
    <row r="2000" spans="1:9" hidden="1" x14ac:dyDescent="0.2">
      <c r="A2000" s="6">
        <v>44034.708333333336</v>
      </c>
      <c r="B2000" s="1" t="s">
        <v>13</v>
      </c>
      <c r="C2000">
        <v>149</v>
      </c>
      <c r="D2000">
        <v>17</v>
      </c>
      <c r="E2000">
        <v>16798</v>
      </c>
      <c r="F2000">
        <v>95633</v>
      </c>
      <c r="G2000" s="3">
        <f t="shared" si="93"/>
        <v>51</v>
      </c>
      <c r="H2000" s="4">
        <f t="shared" si="94"/>
        <v>5.3328871832947211E-4</v>
      </c>
      <c r="I2000" s="1">
        <f t="shared" si="95"/>
        <v>1</v>
      </c>
    </row>
    <row r="2001" spans="1:9" hidden="1" x14ac:dyDescent="0.2">
      <c r="A2001" s="6">
        <v>44035.708333333336</v>
      </c>
      <c r="B2001" s="1" t="s">
        <v>13</v>
      </c>
      <c r="C2001">
        <v>139</v>
      </c>
      <c r="D2001">
        <v>17</v>
      </c>
      <c r="E2001">
        <v>16801</v>
      </c>
      <c r="F2001">
        <v>95715</v>
      </c>
      <c r="G2001" s="3">
        <f t="shared" si="93"/>
        <v>82</v>
      </c>
      <c r="H2001" s="4">
        <f t="shared" si="94"/>
        <v>8.5671002455200984E-4</v>
      </c>
      <c r="I2001" s="1">
        <f t="shared" si="95"/>
        <v>3</v>
      </c>
    </row>
    <row r="2002" spans="1:9" hidden="1" x14ac:dyDescent="0.2">
      <c r="A2002" s="6">
        <v>44036.708333333336</v>
      </c>
      <c r="B2002" s="1" t="s">
        <v>13</v>
      </c>
      <c r="C2002">
        <v>144</v>
      </c>
      <c r="D2002">
        <v>17</v>
      </c>
      <c r="E2002">
        <v>16801</v>
      </c>
      <c r="F2002">
        <v>95768</v>
      </c>
      <c r="G2002" s="3">
        <f t="shared" si="93"/>
        <v>53</v>
      </c>
      <c r="H2002" s="4">
        <f t="shared" si="94"/>
        <v>5.5342076685327424E-4</v>
      </c>
      <c r="I2002" s="1">
        <f t="shared" si="95"/>
        <v>0</v>
      </c>
    </row>
    <row r="2003" spans="1:9" hidden="1" x14ac:dyDescent="0.2">
      <c r="A2003" s="6">
        <v>44037.708333333336</v>
      </c>
      <c r="B2003" s="1" t="s">
        <v>13</v>
      </c>
      <c r="C2003">
        <v>148</v>
      </c>
      <c r="D2003">
        <v>13</v>
      </c>
      <c r="E2003">
        <v>16801</v>
      </c>
      <c r="F2003">
        <v>95847</v>
      </c>
      <c r="G2003" s="3">
        <f t="shared" si="93"/>
        <v>79</v>
      </c>
      <c r="H2003" s="4">
        <f t="shared" si="94"/>
        <v>8.2423028368128204E-4</v>
      </c>
      <c r="I2003" s="1">
        <f t="shared" si="95"/>
        <v>0</v>
      </c>
    </row>
    <row r="2004" spans="1:9" hidden="1" x14ac:dyDescent="0.2">
      <c r="A2004" s="6">
        <v>44038.708333333336</v>
      </c>
      <c r="B2004" s="1" t="s">
        <v>13</v>
      </c>
      <c r="C2004">
        <v>139</v>
      </c>
      <c r="D2004">
        <v>13</v>
      </c>
      <c r="E2004">
        <v>16801</v>
      </c>
      <c r="F2004">
        <v>95921</v>
      </c>
      <c r="G2004" s="3">
        <f t="shared" si="93"/>
        <v>74</v>
      </c>
      <c r="H2004" s="4">
        <f t="shared" si="94"/>
        <v>7.7146818736251177E-4</v>
      </c>
      <c r="I2004" s="1">
        <f t="shared" si="95"/>
        <v>0</v>
      </c>
    </row>
    <row r="2005" spans="1:9" hidden="1" x14ac:dyDescent="0.2">
      <c r="A2005" s="6">
        <v>44039.708333333336</v>
      </c>
      <c r="B2005" s="1" t="s">
        <v>13</v>
      </c>
      <c r="C2005">
        <v>137</v>
      </c>
      <c r="D2005">
        <v>14</v>
      </c>
      <c r="E2005">
        <v>16801</v>
      </c>
      <c r="F2005">
        <v>95955</v>
      </c>
      <c r="G2005" s="3">
        <f t="shared" si="93"/>
        <v>34</v>
      </c>
      <c r="H2005" s="4">
        <f t="shared" si="94"/>
        <v>3.5433276014795734E-4</v>
      </c>
      <c r="I2005" s="1">
        <f t="shared" si="95"/>
        <v>0</v>
      </c>
    </row>
    <row r="2006" spans="1:9" hidden="1" x14ac:dyDescent="0.2">
      <c r="A2006" s="6">
        <v>44040.708333333336</v>
      </c>
      <c r="B2006" s="1" t="s">
        <v>13</v>
      </c>
      <c r="C2006">
        <v>151</v>
      </c>
      <c r="D2006">
        <v>13</v>
      </c>
      <c r="E2006">
        <v>16802</v>
      </c>
      <c r="F2006">
        <v>96008</v>
      </c>
      <c r="G2006" s="3">
        <f t="shared" si="93"/>
        <v>53</v>
      </c>
      <c r="H2006" s="4">
        <f t="shared" si="94"/>
        <v>5.5203733022246571E-4</v>
      </c>
      <c r="I2006" s="1">
        <f t="shared" si="95"/>
        <v>1</v>
      </c>
    </row>
    <row r="2007" spans="1:9" hidden="1" x14ac:dyDescent="0.2">
      <c r="A2007" s="6">
        <v>44041.708333333336</v>
      </c>
      <c r="B2007" s="1" t="s">
        <v>13</v>
      </c>
      <c r="C2007">
        <v>154</v>
      </c>
      <c r="D2007">
        <v>13</v>
      </c>
      <c r="E2007">
        <v>16802</v>
      </c>
      <c r="F2007">
        <v>96054</v>
      </c>
      <c r="G2007" s="3">
        <f t="shared" si="93"/>
        <v>46</v>
      </c>
      <c r="H2007" s="4">
        <f t="shared" si="94"/>
        <v>4.7889728694272549E-4</v>
      </c>
      <c r="I2007" s="1">
        <f t="shared" si="95"/>
        <v>0</v>
      </c>
    </row>
    <row r="2008" spans="1:9" hidden="1" x14ac:dyDescent="0.2">
      <c r="A2008" s="6">
        <v>44042.708333333336</v>
      </c>
      <c r="B2008" s="1" t="s">
        <v>13</v>
      </c>
      <c r="C2008">
        <v>151</v>
      </c>
      <c r="D2008">
        <v>13</v>
      </c>
      <c r="E2008">
        <v>16802</v>
      </c>
      <c r="F2008">
        <v>96142</v>
      </c>
      <c r="G2008" s="3">
        <f t="shared" si="93"/>
        <v>88</v>
      </c>
      <c r="H2008" s="4">
        <f t="shared" si="94"/>
        <v>9.1531276653278315E-4</v>
      </c>
      <c r="I2008" s="1">
        <f t="shared" si="95"/>
        <v>0</v>
      </c>
    </row>
    <row r="2009" spans="1:9" hidden="1" x14ac:dyDescent="0.2">
      <c r="A2009" s="6">
        <v>44043.708333333336</v>
      </c>
      <c r="B2009" s="1" t="s">
        <v>13</v>
      </c>
      <c r="C2009">
        <v>148</v>
      </c>
      <c r="D2009">
        <v>7</v>
      </c>
      <c r="E2009">
        <v>16806</v>
      </c>
      <c r="F2009">
        <v>96219</v>
      </c>
      <c r="G2009" s="3">
        <f t="shared" si="93"/>
        <v>77</v>
      </c>
      <c r="H2009" s="4">
        <f t="shared" si="94"/>
        <v>8.002577453517512E-4</v>
      </c>
      <c r="I2009" s="1">
        <f t="shared" si="95"/>
        <v>4</v>
      </c>
    </row>
    <row r="2010" spans="1:9" hidden="1" x14ac:dyDescent="0.2">
      <c r="A2010" s="6">
        <v>44044.708333333336</v>
      </c>
      <c r="B2010" s="1" t="s">
        <v>13</v>
      </c>
      <c r="C2010">
        <v>158</v>
      </c>
      <c r="D2010">
        <v>9</v>
      </c>
      <c r="E2010">
        <v>16807</v>
      </c>
      <c r="F2010">
        <v>96274</v>
      </c>
      <c r="G2010" s="3">
        <f t="shared" si="93"/>
        <v>55</v>
      </c>
      <c r="H2010" s="4">
        <f t="shared" si="94"/>
        <v>5.7128612086332353E-4</v>
      </c>
      <c r="I2010" s="1">
        <f t="shared" si="95"/>
        <v>1</v>
      </c>
    </row>
    <row r="2011" spans="1:9" hidden="1" x14ac:dyDescent="0.2">
      <c r="A2011" s="6">
        <v>44045.708333333336</v>
      </c>
      <c r="B2011" s="1" t="s">
        <v>13</v>
      </c>
      <c r="C2011">
        <v>153</v>
      </c>
      <c r="D2011">
        <v>9</v>
      </c>
      <c r="E2011">
        <v>16815</v>
      </c>
      <c r="F2011">
        <v>96312</v>
      </c>
      <c r="G2011" s="3">
        <f t="shared" si="93"/>
        <v>38</v>
      </c>
      <c r="H2011" s="4">
        <f t="shared" si="94"/>
        <v>3.9455104244534578E-4</v>
      </c>
      <c r="I2011" s="1">
        <f t="shared" si="95"/>
        <v>8</v>
      </c>
    </row>
    <row r="2012" spans="1:9" hidden="1" x14ac:dyDescent="0.2">
      <c r="A2012" s="6">
        <v>44046.708333333336</v>
      </c>
      <c r="B2012" s="1" t="s">
        <v>13</v>
      </c>
      <c r="C2012">
        <v>162</v>
      </c>
      <c r="D2012">
        <v>9</v>
      </c>
      <c r="E2012">
        <v>16818</v>
      </c>
      <c r="F2012">
        <v>96337</v>
      </c>
      <c r="G2012" s="3">
        <f t="shared" si="93"/>
        <v>25</v>
      </c>
      <c r="H2012" s="4">
        <f t="shared" si="94"/>
        <v>2.5950569355492892E-4</v>
      </c>
      <c r="I2012" s="1">
        <f t="shared" si="95"/>
        <v>3</v>
      </c>
    </row>
    <row r="2013" spans="1:9" hidden="1" x14ac:dyDescent="0.2">
      <c r="A2013" s="6">
        <v>44047.708333333336</v>
      </c>
      <c r="B2013" s="1" t="s">
        <v>13</v>
      </c>
      <c r="C2013">
        <v>160</v>
      </c>
      <c r="D2013">
        <v>9</v>
      </c>
      <c r="E2013">
        <v>16819</v>
      </c>
      <c r="F2013">
        <v>96381</v>
      </c>
      <c r="G2013" s="3">
        <f t="shared" si="93"/>
        <v>44</v>
      </c>
      <c r="H2013" s="4">
        <f t="shared" si="94"/>
        <v>4.5652151357633564E-4</v>
      </c>
      <c r="I2013" s="1">
        <f t="shared" si="95"/>
        <v>1</v>
      </c>
    </row>
    <row r="2014" spans="1:9" hidden="1" x14ac:dyDescent="0.2">
      <c r="A2014" s="6">
        <v>44048.708333333336</v>
      </c>
      <c r="B2014" s="1" t="s">
        <v>13</v>
      </c>
      <c r="C2014">
        <v>164</v>
      </c>
      <c r="D2014">
        <v>11</v>
      </c>
      <c r="E2014">
        <v>16824</v>
      </c>
      <c r="F2014">
        <v>96519</v>
      </c>
      <c r="G2014" s="3">
        <f t="shared" si="93"/>
        <v>138</v>
      </c>
      <c r="H2014" s="4">
        <f t="shared" si="94"/>
        <v>1.429770304292366E-3</v>
      </c>
      <c r="I2014" s="1">
        <f t="shared" si="95"/>
        <v>5</v>
      </c>
    </row>
    <row r="2015" spans="1:9" hidden="1" x14ac:dyDescent="0.2">
      <c r="A2015" s="6">
        <v>44049.708333333336</v>
      </c>
      <c r="B2015" s="1" t="s">
        <v>13</v>
      </c>
      <c r="C2015">
        <v>168</v>
      </c>
      <c r="D2015">
        <v>11</v>
      </c>
      <c r="E2015">
        <v>16829</v>
      </c>
      <c r="F2015">
        <v>96637</v>
      </c>
      <c r="G2015" s="3">
        <f t="shared" si="93"/>
        <v>118</v>
      </c>
      <c r="H2015" s="4">
        <f t="shared" si="94"/>
        <v>1.2210643956248601E-3</v>
      </c>
      <c r="I2015" s="1">
        <f t="shared" si="95"/>
        <v>5</v>
      </c>
    </row>
    <row r="2016" spans="1:9" hidden="1" x14ac:dyDescent="0.2">
      <c r="A2016" s="6">
        <v>44050.708333333336</v>
      </c>
      <c r="B2016" s="1" t="s">
        <v>13</v>
      </c>
      <c r="C2016">
        <v>170</v>
      </c>
      <c r="D2016">
        <v>9</v>
      </c>
      <c r="E2016">
        <v>16829</v>
      </c>
      <c r="F2016">
        <v>96706</v>
      </c>
      <c r="G2016" s="3">
        <f t="shared" si="93"/>
        <v>69</v>
      </c>
      <c r="H2016" s="4">
        <f t="shared" si="94"/>
        <v>7.135027816267403E-4</v>
      </c>
      <c r="I2016" s="1">
        <f t="shared" si="95"/>
        <v>0</v>
      </c>
    </row>
    <row r="2017" spans="1:9" hidden="1" x14ac:dyDescent="0.2">
      <c r="A2017" s="6">
        <v>44051.708333333336</v>
      </c>
      <c r="B2017" s="1" t="s">
        <v>13</v>
      </c>
      <c r="C2017">
        <v>162</v>
      </c>
      <c r="D2017">
        <v>9</v>
      </c>
      <c r="E2017">
        <v>16832</v>
      </c>
      <c r="F2017">
        <v>96782</v>
      </c>
      <c r="G2017" s="3">
        <f t="shared" si="93"/>
        <v>76</v>
      </c>
      <c r="H2017" s="4">
        <f t="shared" si="94"/>
        <v>7.8526998822092686E-4</v>
      </c>
      <c r="I2017" s="1">
        <f t="shared" si="95"/>
        <v>3</v>
      </c>
    </row>
    <row r="2018" spans="1:9" hidden="1" x14ac:dyDescent="0.2">
      <c r="A2018" s="6">
        <v>44052.708333333336</v>
      </c>
      <c r="B2018" s="1" t="s">
        <v>13</v>
      </c>
      <c r="C2018">
        <v>155</v>
      </c>
      <c r="D2018">
        <v>9</v>
      </c>
      <c r="E2018">
        <v>16833</v>
      </c>
      <c r="F2018">
        <v>96853</v>
      </c>
      <c r="G2018" s="3">
        <f t="shared" si="93"/>
        <v>71</v>
      </c>
      <c r="H2018" s="4">
        <f t="shared" si="94"/>
        <v>7.3306970357134293E-4</v>
      </c>
      <c r="I2018" s="1">
        <f t="shared" si="95"/>
        <v>1</v>
      </c>
    </row>
    <row r="2019" spans="1:9" hidden="1" x14ac:dyDescent="0.2">
      <c r="A2019" s="6">
        <v>44053.708333333336</v>
      </c>
      <c r="B2019" s="1" t="s">
        <v>13</v>
      </c>
      <c r="C2019">
        <v>150</v>
      </c>
      <c r="D2019">
        <v>9</v>
      </c>
      <c r="E2019">
        <v>16833</v>
      </c>
      <c r="F2019">
        <v>96884</v>
      </c>
      <c r="G2019" s="3">
        <f t="shared" si="93"/>
        <v>31</v>
      </c>
      <c r="H2019" s="4">
        <f t="shared" si="94"/>
        <v>3.1997027372943077E-4</v>
      </c>
      <c r="I2019" s="1">
        <f t="shared" si="95"/>
        <v>0</v>
      </c>
    </row>
    <row r="2020" spans="1:9" hidden="1" x14ac:dyDescent="0.2">
      <c r="A2020" s="6">
        <v>44054.708333333336</v>
      </c>
      <c r="B2020" s="1" t="s">
        <v>13</v>
      </c>
      <c r="C2020">
        <v>160</v>
      </c>
      <c r="D2020">
        <v>10</v>
      </c>
      <c r="E2020">
        <v>16833</v>
      </c>
      <c r="F2020">
        <v>96952</v>
      </c>
      <c r="G2020" s="3">
        <f t="shared" si="93"/>
        <v>68</v>
      </c>
      <c r="H2020" s="4">
        <f t="shared" si="94"/>
        <v>7.0137800148528662E-4</v>
      </c>
      <c r="I2020" s="1">
        <f t="shared" si="95"/>
        <v>0</v>
      </c>
    </row>
    <row r="2021" spans="1:9" hidden="1" x14ac:dyDescent="0.2">
      <c r="A2021" s="6">
        <v>44055.708333333336</v>
      </c>
      <c r="B2021" s="1" t="s">
        <v>13</v>
      </c>
      <c r="C2021">
        <v>165</v>
      </c>
      <c r="D2021">
        <v>10</v>
      </c>
      <c r="E2021">
        <v>16833</v>
      </c>
      <c r="F2021">
        <v>97054</v>
      </c>
      <c r="G2021" s="3">
        <f t="shared" si="93"/>
        <v>102</v>
      </c>
      <c r="H2021" s="4">
        <f t="shared" si="94"/>
        <v>1.0509613205019752E-3</v>
      </c>
      <c r="I2021" s="1">
        <f t="shared" si="95"/>
        <v>0</v>
      </c>
    </row>
    <row r="2022" spans="1:9" hidden="1" x14ac:dyDescent="0.2">
      <c r="A2022" s="6">
        <v>44056.708333333336</v>
      </c>
      <c r="B2022" s="1" t="s">
        <v>13</v>
      </c>
      <c r="C2022">
        <v>170</v>
      </c>
      <c r="D2022">
        <v>11</v>
      </c>
      <c r="E2022">
        <v>16835</v>
      </c>
      <c r="F2022">
        <v>97128</v>
      </c>
      <c r="G2022" s="3">
        <f t="shared" si="93"/>
        <v>74</v>
      </c>
      <c r="H2022" s="4">
        <f t="shared" si="94"/>
        <v>7.6188122889386811E-4</v>
      </c>
      <c r="I2022" s="1">
        <f t="shared" si="95"/>
        <v>2</v>
      </c>
    </row>
    <row r="2023" spans="1:9" hidden="1" x14ac:dyDescent="0.2">
      <c r="A2023" s="6">
        <v>44057.708333333336</v>
      </c>
      <c r="B2023" s="1" t="s">
        <v>13</v>
      </c>
      <c r="C2023">
        <v>153</v>
      </c>
      <c r="D2023">
        <v>12</v>
      </c>
      <c r="E2023">
        <v>16836</v>
      </c>
      <c r="F2023">
        <v>97225</v>
      </c>
      <c r="G2023" s="3">
        <f t="shared" si="93"/>
        <v>97</v>
      </c>
      <c r="H2023" s="4">
        <f t="shared" si="94"/>
        <v>9.9768578040626554E-4</v>
      </c>
      <c r="I2023" s="1">
        <f t="shared" si="95"/>
        <v>1</v>
      </c>
    </row>
    <row r="2024" spans="1:9" hidden="1" x14ac:dyDescent="0.2">
      <c r="A2024" s="6">
        <v>44058.708333333336</v>
      </c>
      <c r="B2024" s="1" t="s">
        <v>13</v>
      </c>
      <c r="C2024">
        <v>149</v>
      </c>
      <c r="D2024">
        <v>12</v>
      </c>
      <c r="E2024">
        <v>16837</v>
      </c>
      <c r="F2024">
        <v>97319</v>
      </c>
      <c r="G2024" s="3">
        <f t="shared" si="93"/>
        <v>94</v>
      </c>
      <c r="H2024" s="4">
        <f t="shared" si="94"/>
        <v>9.6589566271743088E-4</v>
      </c>
      <c r="I2024" s="1">
        <f t="shared" si="95"/>
        <v>1</v>
      </c>
    </row>
    <row r="2025" spans="1:9" hidden="1" x14ac:dyDescent="0.2">
      <c r="A2025" s="6">
        <v>44059.708333333336</v>
      </c>
      <c r="B2025" s="1" t="s">
        <v>13</v>
      </c>
      <c r="C2025">
        <v>147</v>
      </c>
      <c r="D2025">
        <v>13</v>
      </c>
      <c r="E2025">
        <v>16840</v>
      </c>
      <c r="F2025">
        <v>97380</v>
      </c>
      <c r="G2025" s="3">
        <f t="shared" si="93"/>
        <v>61</v>
      </c>
      <c r="H2025" s="4">
        <f t="shared" si="94"/>
        <v>6.264119942492874E-4</v>
      </c>
      <c r="I2025" s="1">
        <f t="shared" si="95"/>
        <v>3</v>
      </c>
    </row>
    <row r="2026" spans="1:9" hidden="1" x14ac:dyDescent="0.2">
      <c r="A2026" s="6">
        <v>44060.708333333336</v>
      </c>
      <c r="B2026" s="1" t="s">
        <v>13</v>
      </c>
      <c r="C2026">
        <v>147</v>
      </c>
      <c r="D2026">
        <v>14</v>
      </c>
      <c r="E2026">
        <v>16840</v>
      </c>
      <c r="F2026">
        <v>97423</v>
      </c>
      <c r="G2026" s="3">
        <f t="shared" si="93"/>
        <v>43</v>
      </c>
      <c r="H2026" s="4">
        <f t="shared" si="94"/>
        <v>4.4137421348144912E-4</v>
      </c>
      <c r="I2026" s="1">
        <f t="shared" si="95"/>
        <v>0</v>
      </c>
    </row>
    <row r="2027" spans="1:9" hidden="1" x14ac:dyDescent="0.2">
      <c r="A2027" s="6">
        <v>44061.708333333336</v>
      </c>
      <c r="B2027" s="1" t="s">
        <v>13</v>
      </c>
      <c r="C2027">
        <v>150</v>
      </c>
      <c r="D2027">
        <v>14</v>
      </c>
      <c r="E2027">
        <v>16840</v>
      </c>
      <c r="F2027">
        <v>97473</v>
      </c>
      <c r="G2027" s="3">
        <f t="shared" si="93"/>
        <v>50</v>
      </c>
      <c r="H2027" s="4">
        <f t="shared" si="94"/>
        <v>5.1296256399202544E-4</v>
      </c>
      <c r="I2027" s="1">
        <f t="shared" si="95"/>
        <v>0</v>
      </c>
    </row>
    <row r="2028" spans="1:9" hidden="1" x14ac:dyDescent="0.2">
      <c r="A2028" s="6">
        <v>44062.708333333336</v>
      </c>
      <c r="B2028" s="1" t="s">
        <v>13</v>
      </c>
      <c r="C2028">
        <v>151</v>
      </c>
      <c r="D2028">
        <v>14</v>
      </c>
      <c r="E2028">
        <v>16844</v>
      </c>
      <c r="F2028">
        <v>97564</v>
      </c>
      <c r="G2028" s="3">
        <f t="shared" si="93"/>
        <v>91</v>
      </c>
      <c r="H2028" s="4">
        <f t="shared" si="94"/>
        <v>9.3272108564634859E-4</v>
      </c>
      <c r="I2028" s="1">
        <f t="shared" si="95"/>
        <v>4</v>
      </c>
    </row>
    <row r="2029" spans="1:9" hidden="1" x14ac:dyDescent="0.2">
      <c r="A2029" s="6">
        <v>44063.708333333336</v>
      </c>
      <c r="B2029" s="1" t="s">
        <v>13</v>
      </c>
      <c r="C2029">
        <v>155</v>
      </c>
      <c r="D2029">
        <v>16</v>
      </c>
      <c r="E2029">
        <v>16846</v>
      </c>
      <c r="F2029">
        <v>97718</v>
      </c>
      <c r="G2029" s="3">
        <f t="shared" si="93"/>
        <v>154</v>
      </c>
      <c r="H2029" s="4">
        <f t="shared" si="94"/>
        <v>1.5759634867680283E-3</v>
      </c>
      <c r="I2029" s="1">
        <f t="shared" si="95"/>
        <v>2</v>
      </c>
    </row>
    <row r="2030" spans="1:9" hidden="1" x14ac:dyDescent="0.2">
      <c r="A2030" s="6">
        <v>44064.708333333336</v>
      </c>
      <c r="B2030" s="1" t="s">
        <v>13</v>
      </c>
      <c r="C2030">
        <v>149</v>
      </c>
      <c r="D2030">
        <v>17</v>
      </c>
      <c r="E2030">
        <v>16852</v>
      </c>
      <c r="F2030">
        <v>97892</v>
      </c>
      <c r="G2030" s="3">
        <f t="shared" si="93"/>
        <v>174</v>
      </c>
      <c r="H2030" s="4">
        <f t="shared" si="94"/>
        <v>1.7774690475217403E-3</v>
      </c>
      <c r="I2030" s="1">
        <f t="shared" si="95"/>
        <v>6</v>
      </c>
    </row>
    <row r="2031" spans="1:9" hidden="1" x14ac:dyDescent="0.2">
      <c r="A2031" s="6">
        <v>44065.708333333336</v>
      </c>
      <c r="B2031" s="1" t="s">
        <v>13</v>
      </c>
      <c r="C2031">
        <v>148</v>
      </c>
      <c r="D2031">
        <v>14</v>
      </c>
      <c r="E2031">
        <v>16852</v>
      </c>
      <c r="F2031">
        <v>98077</v>
      </c>
      <c r="G2031" s="3">
        <f t="shared" si="93"/>
        <v>185</v>
      </c>
      <c r="H2031" s="4">
        <f t="shared" si="94"/>
        <v>1.8862730303741415E-3</v>
      </c>
      <c r="I2031" s="1">
        <f t="shared" si="95"/>
        <v>0</v>
      </c>
    </row>
    <row r="2032" spans="1:9" hidden="1" x14ac:dyDescent="0.2">
      <c r="A2032" s="6">
        <v>44066.708333333336</v>
      </c>
      <c r="B2032" s="1" t="s">
        <v>13</v>
      </c>
      <c r="C2032">
        <v>148</v>
      </c>
      <c r="D2032">
        <v>14</v>
      </c>
      <c r="E2032">
        <v>16856</v>
      </c>
      <c r="F2032">
        <v>98316</v>
      </c>
      <c r="G2032" s="3">
        <f t="shared" si="93"/>
        <v>239</v>
      </c>
      <c r="H2032" s="4">
        <f t="shared" si="94"/>
        <v>2.4309369787216539E-3</v>
      </c>
      <c r="I2032" s="1">
        <f t="shared" si="95"/>
        <v>4</v>
      </c>
    </row>
    <row r="2033" spans="1:9" hidden="1" x14ac:dyDescent="0.2">
      <c r="A2033" s="6">
        <v>44067.708333333336</v>
      </c>
      <c r="B2033" s="1" t="s">
        <v>13</v>
      </c>
      <c r="C2033">
        <v>153</v>
      </c>
      <c r="D2033">
        <v>15</v>
      </c>
      <c r="E2033">
        <v>16857</v>
      </c>
      <c r="F2033">
        <v>98426</v>
      </c>
      <c r="G2033" s="3">
        <f t="shared" si="93"/>
        <v>110</v>
      </c>
      <c r="H2033" s="4">
        <f t="shared" si="94"/>
        <v>1.1175908804583745E-3</v>
      </c>
      <c r="I2033" s="1">
        <f t="shared" si="95"/>
        <v>1</v>
      </c>
    </row>
    <row r="2034" spans="1:9" hidden="1" x14ac:dyDescent="0.2">
      <c r="A2034" s="6">
        <v>44068.708333333336</v>
      </c>
      <c r="B2034" s="1" t="s">
        <v>13</v>
      </c>
      <c r="C2034">
        <v>158</v>
      </c>
      <c r="D2034">
        <v>15</v>
      </c>
      <c r="E2034">
        <v>16857</v>
      </c>
      <c r="F2034">
        <v>98545</v>
      </c>
      <c r="G2034" s="3">
        <f t="shared" si="93"/>
        <v>119</v>
      </c>
      <c r="H2034" s="4">
        <f t="shared" si="94"/>
        <v>1.207570145618786E-3</v>
      </c>
      <c r="I2034" s="1">
        <f t="shared" si="95"/>
        <v>0</v>
      </c>
    </row>
    <row r="2035" spans="1:9" hidden="1" x14ac:dyDescent="0.2">
      <c r="A2035" s="6">
        <v>44069.708333333336</v>
      </c>
      <c r="B2035" s="1" t="s">
        <v>13</v>
      </c>
      <c r="C2035">
        <v>158</v>
      </c>
      <c r="D2035">
        <v>17</v>
      </c>
      <c r="E2035">
        <v>16857</v>
      </c>
      <c r="F2035">
        <v>98814</v>
      </c>
      <c r="G2035" s="3">
        <f t="shared" si="93"/>
        <v>269</v>
      </c>
      <c r="H2035" s="4">
        <f t="shared" si="94"/>
        <v>2.7222863157042587E-3</v>
      </c>
      <c r="I2035" s="1">
        <f t="shared" si="95"/>
        <v>0</v>
      </c>
    </row>
    <row r="2036" spans="1:9" hidden="1" x14ac:dyDescent="0.2">
      <c r="A2036" s="6">
        <v>44070.708333333336</v>
      </c>
      <c r="B2036" s="1" t="s">
        <v>13</v>
      </c>
      <c r="C2036">
        <v>173</v>
      </c>
      <c r="D2036">
        <v>14</v>
      </c>
      <c r="E2036">
        <v>16857</v>
      </c>
      <c r="F2036">
        <v>99100</v>
      </c>
      <c r="G2036" s="3">
        <f t="shared" si="93"/>
        <v>286</v>
      </c>
      <c r="H2036" s="4">
        <f t="shared" si="94"/>
        <v>2.8859737638748939E-3</v>
      </c>
      <c r="I2036" s="1">
        <f t="shared" si="95"/>
        <v>0</v>
      </c>
    </row>
    <row r="2037" spans="1:9" hidden="1" x14ac:dyDescent="0.2">
      <c r="A2037" s="6">
        <v>44071.708333333336</v>
      </c>
      <c r="B2037" s="1" t="s">
        <v>13</v>
      </c>
      <c r="C2037">
        <v>172</v>
      </c>
      <c r="D2037">
        <v>17</v>
      </c>
      <c r="E2037">
        <v>16860</v>
      </c>
      <c r="F2037">
        <v>99416</v>
      </c>
      <c r="G2037" s="3">
        <f t="shared" si="93"/>
        <v>316</v>
      </c>
      <c r="H2037" s="4">
        <f t="shared" si="94"/>
        <v>3.1785628067916294E-3</v>
      </c>
      <c r="I2037" s="1">
        <f t="shared" si="95"/>
        <v>3</v>
      </c>
    </row>
    <row r="2038" spans="1:9" hidden="1" x14ac:dyDescent="0.2">
      <c r="A2038" s="6">
        <v>44072.708333333336</v>
      </c>
      <c r="B2038" s="1" t="s">
        <v>13</v>
      </c>
      <c r="C2038">
        <v>185</v>
      </c>
      <c r="D2038">
        <v>18</v>
      </c>
      <c r="E2038">
        <v>16860</v>
      </c>
      <c r="F2038">
        <v>99705</v>
      </c>
      <c r="G2038" s="3">
        <f t="shared" si="93"/>
        <v>289</v>
      </c>
      <c r="H2038" s="4">
        <f t="shared" si="94"/>
        <v>2.8985507246376274E-3</v>
      </c>
      <c r="I2038" s="1">
        <f t="shared" si="95"/>
        <v>0</v>
      </c>
    </row>
    <row r="2039" spans="1:9" hidden="1" x14ac:dyDescent="0.2">
      <c r="A2039" s="6">
        <v>44073.708333333336</v>
      </c>
      <c r="B2039" s="1" t="s">
        <v>13</v>
      </c>
      <c r="C2039">
        <v>194</v>
      </c>
      <c r="D2039">
        <v>20</v>
      </c>
      <c r="E2039">
        <v>16863</v>
      </c>
      <c r="F2039">
        <v>99940</v>
      </c>
      <c r="G2039" s="3">
        <f t="shared" si="93"/>
        <v>235</v>
      </c>
      <c r="H2039" s="4">
        <f t="shared" si="94"/>
        <v>2.3514108465079175E-3</v>
      </c>
      <c r="I2039" s="1">
        <f t="shared" si="95"/>
        <v>3</v>
      </c>
    </row>
    <row r="2040" spans="1:9" hidden="1" x14ac:dyDescent="0.2">
      <c r="A2040" s="6">
        <v>44074.708333333336</v>
      </c>
      <c r="B2040" s="1" t="s">
        <v>13</v>
      </c>
      <c r="C2040">
        <v>195</v>
      </c>
      <c r="D2040">
        <v>22</v>
      </c>
      <c r="E2040">
        <v>16865</v>
      </c>
      <c r="F2040">
        <v>100075</v>
      </c>
      <c r="G2040" s="3">
        <f t="shared" si="93"/>
        <v>135</v>
      </c>
      <c r="H2040" s="4">
        <f t="shared" si="94"/>
        <v>1.3489882588059166E-3</v>
      </c>
      <c r="I2040" s="1">
        <f t="shared" si="95"/>
        <v>2</v>
      </c>
    </row>
    <row r="2041" spans="1:9" hidden="1" x14ac:dyDescent="0.2">
      <c r="A2041" s="6">
        <v>44075.708333333336</v>
      </c>
      <c r="B2041" s="1" t="s">
        <v>13</v>
      </c>
      <c r="C2041">
        <v>212</v>
      </c>
      <c r="D2041">
        <v>21</v>
      </c>
      <c r="E2041">
        <v>16867</v>
      </c>
      <c r="F2041">
        <v>100317</v>
      </c>
      <c r="G2041" s="3">
        <f t="shared" si="93"/>
        <v>242</v>
      </c>
      <c r="H2041" s="4">
        <f t="shared" si="94"/>
        <v>2.4123528414924378E-3</v>
      </c>
      <c r="I2041" s="1">
        <f t="shared" si="95"/>
        <v>2</v>
      </c>
    </row>
    <row r="2042" spans="1:9" hidden="1" x14ac:dyDescent="0.2">
      <c r="A2042" s="6">
        <v>44076.708333333336</v>
      </c>
      <c r="B2042" s="1" t="s">
        <v>13</v>
      </c>
      <c r="C2042">
        <v>220</v>
      </c>
      <c r="D2042">
        <v>22</v>
      </c>
      <c r="E2042">
        <v>16869</v>
      </c>
      <c r="F2042">
        <v>100554</v>
      </c>
      <c r="G2042" s="3">
        <f t="shared" si="93"/>
        <v>237</v>
      </c>
      <c r="H2042" s="4">
        <f t="shared" si="94"/>
        <v>2.3569425383376252E-3</v>
      </c>
      <c r="I2042" s="1">
        <f t="shared" si="95"/>
        <v>2</v>
      </c>
    </row>
    <row r="2043" spans="1:9" hidden="1" x14ac:dyDescent="0.2">
      <c r="A2043" s="6">
        <v>44077.708333333336</v>
      </c>
      <c r="B2043" s="1" t="s">
        <v>13</v>
      </c>
      <c r="C2043">
        <v>225</v>
      </c>
      <c r="D2043">
        <v>27</v>
      </c>
      <c r="E2043">
        <v>16870</v>
      </c>
      <c r="F2043">
        <v>100782</v>
      </c>
      <c r="G2043" s="3">
        <f t="shared" si="93"/>
        <v>228</v>
      </c>
      <c r="H2043" s="4">
        <f t="shared" si="94"/>
        <v>2.2623087456092872E-3</v>
      </c>
      <c r="I2043" s="1">
        <f t="shared" si="95"/>
        <v>1</v>
      </c>
    </row>
    <row r="2044" spans="1:9" hidden="1" x14ac:dyDescent="0.2">
      <c r="A2044" s="6">
        <v>44078.708333333336</v>
      </c>
      <c r="B2044" s="1" t="s">
        <v>13</v>
      </c>
      <c r="C2044">
        <v>244</v>
      </c>
      <c r="D2044">
        <v>26</v>
      </c>
      <c r="E2044">
        <v>16876</v>
      </c>
      <c r="F2044">
        <v>101119</v>
      </c>
      <c r="G2044" s="3">
        <f t="shared" si="93"/>
        <v>337</v>
      </c>
      <c r="H2044" s="4">
        <f t="shared" si="94"/>
        <v>3.3327070085740207E-3</v>
      </c>
      <c r="I2044" s="1">
        <f t="shared" si="95"/>
        <v>6</v>
      </c>
    </row>
    <row r="2045" spans="1:9" hidden="1" x14ac:dyDescent="0.2">
      <c r="A2045" s="6">
        <v>44079.708333333336</v>
      </c>
      <c r="B2045" s="1" t="s">
        <v>13</v>
      </c>
      <c r="C2045">
        <v>245</v>
      </c>
      <c r="D2045">
        <v>23</v>
      </c>
      <c r="E2045">
        <v>16877</v>
      </c>
      <c r="F2045">
        <v>101507</v>
      </c>
      <c r="G2045" s="3">
        <f t="shared" si="93"/>
        <v>388</v>
      </c>
      <c r="H2045" s="4">
        <f t="shared" si="94"/>
        <v>3.8223964849715131E-3</v>
      </c>
      <c r="I2045" s="1">
        <f t="shared" si="95"/>
        <v>1</v>
      </c>
    </row>
    <row r="2046" spans="1:9" hidden="1" x14ac:dyDescent="0.2">
      <c r="A2046" s="6">
        <v>44080.708333333336</v>
      </c>
      <c r="B2046" s="1" t="s">
        <v>13</v>
      </c>
      <c r="C2046">
        <v>248</v>
      </c>
      <c r="D2046">
        <v>25</v>
      </c>
      <c r="E2046">
        <v>16880</v>
      </c>
      <c r="F2046">
        <v>101705</v>
      </c>
      <c r="G2046" s="3">
        <f t="shared" si="93"/>
        <v>198</v>
      </c>
      <c r="H2046" s="4">
        <f t="shared" si="94"/>
        <v>1.9468069416449518E-3</v>
      </c>
      <c r="I2046" s="1">
        <f t="shared" si="95"/>
        <v>3</v>
      </c>
    </row>
    <row r="2047" spans="1:9" hidden="1" x14ac:dyDescent="0.2">
      <c r="A2047" s="6">
        <v>44081.708333333336</v>
      </c>
      <c r="B2047" s="1" t="s">
        <v>13</v>
      </c>
      <c r="C2047">
        <v>242</v>
      </c>
      <c r="D2047">
        <v>26</v>
      </c>
      <c r="E2047">
        <v>16886</v>
      </c>
      <c r="F2047">
        <v>101814</v>
      </c>
      <c r="G2047" s="3">
        <f t="shared" si="93"/>
        <v>109</v>
      </c>
      <c r="H2047" s="4">
        <f t="shared" si="94"/>
        <v>1.0705796845227322E-3</v>
      </c>
      <c r="I2047" s="1">
        <f t="shared" si="95"/>
        <v>6</v>
      </c>
    </row>
    <row r="2048" spans="1:9" hidden="1" x14ac:dyDescent="0.2">
      <c r="A2048" s="6">
        <v>44082.708333333336</v>
      </c>
      <c r="B2048" s="1" t="s">
        <v>13</v>
      </c>
      <c r="C2048">
        <v>248</v>
      </c>
      <c r="D2048">
        <v>27</v>
      </c>
      <c r="E2048">
        <v>16888</v>
      </c>
      <c r="F2048">
        <v>102085</v>
      </c>
      <c r="G2048" s="3">
        <f t="shared" si="93"/>
        <v>271</v>
      </c>
      <c r="H2048" s="4">
        <f t="shared" si="94"/>
        <v>2.6546505363177486E-3</v>
      </c>
      <c r="I2048" s="1">
        <f t="shared" si="95"/>
        <v>2</v>
      </c>
    </row>
    <row r="2049" spans="1:9" hidden="1" x14ac:dyDescent="0.2">
      <c r="A2049" s="6">
        <v>44083.708333333336</v>
      </c>
      <c r="B2049" s="1" t="s">
        <v>13</v>
      </c>
      <c r="C2049">
        <v>252</v>
      </c>
      <c r="D2049">
        <v>27</v>
      </c>
      <c r="E2049">
        <v>16891</v>
      </c>
      <c r="F2049">
        <v>102303</v>
      </c>
      <c r="G2049" s="3">
        <f t="shared" si="93"/>
        <v>218</v>
      </c>
      <c r="H2049" s="4">
        <f t="shared" si="94"/>
        <v>2.1309248018142046E-3</v>
      </c>
      <c r="I2049" s="1">
        <f t="shared" si="95"/>
        <v>3</v>
      </c>
    </row>
    <row r="2050" spans="1:9" hidden="1" x14ac:dyDescent="0.2">
      <c r="A2050" s="6">
        <v>44084.708333333336</v>
      </c>
      <c r="B2050" s="1" t="s">
        <v>13</v>
      </c>
      <c r="C2050">
        <v>256</v>
      </c>
      <c r="D2050">
        <v>30</v>
      </c>
      <c r="E2050">
        <v>16892</v>
      </c>
      <c r="F2050">
        <v>102548</v>
      </c>
      <c r="G2050" s="3">
        <f t="shared" si="93"/>
        <v>245</v>
      </c>
      <c r="H2050" s="4">
        <f t="shared" si="94"/>
        <v>2.3891250926395546E-3</v>
      </c>
      <c r="I2050" s="1">
        <f t="shared" si="95"/>
        <v>1</v>
      </c>
    </row>
    <row r="2051" spans="1:9" hidden="1" x14ac:dyDescent="0.2">
      <c r="A2051" s="6">
        <v>44085.708333333336</v>
      </c>
      <c r="B2051" s="1" t="s">
        <v>13</v>
      </c>
      <c r="C2051">
        <v>246</v>
      </c>
      <c r="D2051">
        <v>27</v>
      </c>
      <c r="E2051">
        <v>16896</v>
      </c>
      <c r="F2051">
        <v>102805</v>
      </c>
      <c r="G2051" s="3">
        <f t="shared" ref="G2051:G2114" si="96">IF(AND(F2051&gt;0,AND(B2051=B2050,F2051&gt;0)),F2051-F2050,0)</f>
        <v>257</v>
      </c>
      <c r="H2051" s="4">
        <f t="shared" ref="H2051:H2114" si="97">IF(AND(F2050&gt;0,AND(B2051=B2050,F2050&gt;0)),1-(F2050/F2051),0)</f>
        <v>2.4998784105831895E-3</v>
      </c>
      <c r="I2051" s="1">
        <f t="shared" ref="I2051:I2114" si="98">IF(AND(E2051&gt;0,AND(B2051=B2050,E2051&gt;0)),E2051-E2050,0)</f>
        <v>4</v>
      </c>
    </row>
    <row r="2052" spans="1:9" hidden="1" x14ac:dyDescent="0.2">
      <c r="A2052" s="6">
        <v>44086.708333333336</v>
      </c>
      <c r="B2052" s="1" t="s">
        <v>13</v>
      </c>
      <c r="C2052">
        <v>251</v>
      </c>
      <c r="D2052">
        <v>27</v>
      </c>
      <c r="E2052">
        <v>16896</v>
      </c>
      <c r="F2052">
        <v>103074</v>
      </c>
      <c r="G2052" s="3">
        <f t="shared" si="96"/>
        <v>269</v>
      </c>
      <c r="H2052" s="4">
        <f t="shared" si="97"/>
        <v>2.609775501096312E-3</v>
      </c>
      <c r="I2052" s="1">
        <f t="shared" si="98"/>
        <v>0</v>
      </c>
    </row>
    <row r="2053" spans="1:9" hidden="1" x14ac:dyDescent="0.2">
      <c r="A2053" s="6">
        <v>44087.708333333336</v>
      </c>
      <c r="B2053" s="1" t="s">
        <v>13</v>
      </c>
      <c r="C2053">
        <v>252</v>
      </c>
      <c r="D2053">
        <v>28</v>
      </c>
      <c r="E2053">
        <v>16899</v>
      </c>
      <c r="F2053">
        <v>103339</v>
      </c>
      <c r="G2053" s="3">
        <f t="shared" si="96"/>
        <v>265</v>
      </c>
      <c r="H2053" s="4">
        <f t="shared" si="97"/>
        <v>2.564375501988625E-3</v>
      </c>
      <c r="I2053" s="1">
        <f t="shared" si="98"/>
        <v>3</v>
      </c>
    </row>
    <row r="2054" spans="1:9" hidden="1" x14ac:dyDescent="0.2">
      <c r="A2054" s="6">
        <v>44088.708333333336</v>
      </c>
      <c r="B2054" s="1" t="s">
        <v>13</v>
      </c>
      <c r="C2054">
        <v>262</v>
      </c>
      <c r="D2054">
        <v>28</v>
      </c>
      <c r="E2054">
        <v>16901</v>
      </c>
      <c r="F2054">
        <v>103464</v>
      </c>
      <c r="G2054" s="3">
        <f t="shared" si="96"/>
        <v>125</v>
      </c>
      <c r="H2054" s="4">
        <f t="shared" si="97"/>
        <v>1.2081496945797188E-3</v>
      </c>
      <c r="I2054" s="1">
        <f t="shared" si="98"/>
        <v>2</v>
      </c>
    </row>
    <row r="2055" spans="1:9" hidden="1" x14ac:dyDescent="0.2">
      <c r="A2055" s="6">
        <v>44089.708333333336</v>
      </c>
      <c r="B2055" s="1" t="s">
        <v>13</v>
      </c>
      <c r="C2055">
        <v>263</v>
      </c>
      <c r="D2055">
        <v>29</v>
      </c>
      <c r="E2055">
        <v>16903</v>
      </c>
      <c r="F2055">
        <v>103640</v>
      </c>
      <c r="G2055" s="3">
        <f t="shared" si="96"/>
        <v>176</v>
      </c>
      <c r="H2055" s="4">
        <f t="shared" si="97"/>
        <v>1.6981860285604222E-3</v>
      </c>
      <c r="I2055" s="1">
        <f t="shared" si="98"/>
        <v>2</v>
      </c>
    </row>
    <row r="2056" spans="1:9" hidden="1" x14ac:dyDescent="0.2">
      <c r="A2056" s="6">
        <v>44090.708333333336</v>
      </c>
      <c r="B2056" s="1" t="s">
        <v>13</v>
      </c>
      <c r="C2056">
        <v>264</v>
      </c>
      <c r="D2056">
        <v>30</v>
      </c>
      <c r="E2056">
        <v>16905</v>
      </c>
      <c r="F2056">
        <v>103799</v>
      </c>
      <c r="G2056" s="3">
        <f t="shared" si="96"/>
        <v>159</v>
      </c>
      <c r="H2056" s="4">
        <f t="shared" si="97"/>
        <v>1.5318066648041251E-3</v>
      </c>
      <c r="I2056" s="1">
        <f t="shared" si="98"/>
        <v>2</v>
      </c>
    </row>
    <row r="2057" spans="1:9" hidden="1" x14ac:dyDescent="0.2">
      <c r="A2057" s="6">
        <v>44091.708333333336</v>
      </c>
      <c r="B2057" s="1" t="s">
        <v>13</v>
      </c>
      <c r="C2057">
        <v>272</v>
      </c>
      <c r="D2057">
        <v>32</v>
      </c>
      <c r="E2057">
        <v>16906</v>
      </c>
      <c r="F2057">
        <v>104080</v>
      </c>
      <c r="G2057" s="3">
        <f t="shared" si="96"/>
        <v>281</v>
      </c>
      <c r="H2057" s="4">
        <f t="shared" si="97"/>
        <v>2.6998462720984051E-3</v>
      </c>
      <c r="I2057" s="1">
        <f t="shared" si="98"/>
        <v>1</v>
      </c>
    </row>
    <row r="2058" spans="1:9" hidden="1" x14ac:dyDescent="0.2">
      <c r="A2058" s="6">
        <v>44092.708333333336</v>
      </c>
      <c r="B2058" s="1" t="s">
        <v>13</v>
      </c>
      <c r="C2058">
        <v>284</v>
      </c>
      <c r="D2058">
        <v>32</v>
      </c>
      <c r="E2058">
        <v>16908</v>
      </c>
      <c r="F2058">
        <v>104304</v>
      </c>
      <c r="G2058" s="3">
        <f t="shared" si="96"/>
        <v>224</v>
      </c>
      <c r="H2058" s="4">
        <f t="shared" si="97"/>
        <v>2.1475686454978105E-3</v>
      </c>
      <c r="I2058" s="1">
        <f t="shared" si="98"/>
        <v>2</v>
      </c>
    </row>
    <row r="2059" spans="1:9" hidden="1" x14ac:dyDescent="0.2">
      <c r="A2059" s="6">
        <v>44093.708333333336</v>
      </c>
      <c r="B2059" s="1" t="s">
        <v>13</v>
      </c>
      <c r="C2059">
        <v>271</v>
      </c>
      <c r="D2059">
        <v>36</v>
      </c>
      <c r="E2059">
        <v>16917</v>
      </c>
      <c r="F2059">
        <v>104547</v>
      </c>
      <c r="G2059" s="3">
        <f t="shared" si="96"/>
        <v>243</v>
      </c>
      <c r="H2059" s="4">
        <f t="shared" si="97"/>
        <v>2.3243134666705023E-3</v>
      </c>
      <c r="I2059" s="1">
        <f t="shared" si="98"/>
        <v>9</v>
      </c>
    </row>
    <row r="2060" spans="1:9" hidden="1" x14ac:dyDescent="0.2">
      <c r="A2060" s="6">
        <v>44094.708333333336</v>
      </c>
      <c r="B2060" s="1" t="s">
        <v>13</v>
      </c>
      <c r="C2060">
        <v>264</v>
      </c>
      <c r="D2060">
        <v>38</v>
      </c>
      <c r="E2060">
        <v>16922</v>
      </c>
      <c r="F2060">
        <v>104758</v>
      </c>
      <c r="G2060" s="3">
        <f t="shared" si="96"/>
        <v>211</v>
      </c>
      <c r="H2060" s="4">
        <f t="shared" si="97"/>
        <v>2.0141659825502201E-3</v>
      </c>
      <c r="I2060" s="1">
        <f t="shared" si="98"/>
        <v>5</v>
      </c>
    </row>
    <row r="2061" spans="1:9" hidden="1" x14ac:dyDescent="0.2">
      <c r="A2061" s="6">
        <v>44095.708333333336</v>
      </c>
      <c r="B2061" s="1" t="s">
        <v>13</v>
      </c>
      <c r="C2061">
        <v>283</v>
      </c>
      <c r="D2061">
        <v>36</v>
      </c>
      <c r="E2061">
        <v>16923</v>
      </c>
      <c r="F2061">
        <v>104848</v>
      </c>
      <c r="G2061" s="3">
        <f t="shared" si="96"/>
        <v>90</v>
      </c>
      <c r="H2061" s="4">
        <f t="shared" si="97"/>
        <v>8.5838547230276951E-4</v>
      </c>
      <c r="I2061" s="1">
        <f t="shared" si="98"/>
        <v>1</v>
      </c>
    </row>
    <row r="2062" spans="1:9" hidden="1" x14ac:dyDescent="0.2">
      <c r="A2062" s="6">
        <v>44096.708333333336</v>
      </c>
      <c r="B2062" s="1" t="s">
        <v>13</v>
      </c>
      <c r="C2062">
        <v>294</v>
      </c>
      <c r="D2062">
        <v>34</v>
      </c>
      <c r="E2062">
        <v>16925</v>
      </c>
      <c r="F2062">
        <v>105030</v>
      </c>
      <c r="G2062" s="3">
        <f t="shared" si="96"/>
        <v>182</v>
      </c>
      <c r="H2062" s="4">
        <f t="shared" si="97"/>
        <v>1.7328382366942341E-3</v>
      </c>
      <c r="I2062" s="1">
        <f t="shared" si="98"/>
        <v>2</v>
      </c>
    </row>
    <row r="2063" spans="1:9" hidden="1" x14ac:dyDescent="0.2">
      <c r="A2063" s="6">
        <v>44097.708333333336</v>
      </c>
      <c r="B2063" s="1" t="s">
        <v>13</v>
      </c>
      <c r="C2063">
        <v>308</v>
      </c>
      <c r="D2063">
        <v>33</v>
      </c>
      <c r="E2063">
        <v>16925</v>
      </c>
      <c r="F2063">
        <v>105226</v>
      </c>
      <c r="G2063" s="3">
        <f t="shared" si="96"/>
        <v>196</v>
      </c>
      <c r="H2063" s="4">
        <f t="shared" si="97"/>
        <v>1.8626575181038829E-3</v>
      </c>
      <c r="I2063" s="1">
        <f t="shared" si="98"/>
        <v>0</v>
      </c>
    </row>
    <row r="2064" spans="1:9" hidden="1" x14ac:dyDescent="0.2">
      <c r="A2064" s="6">
        <v>44098.708333333336</v>
      </c>
      <c r="B2064" s="1" t="s">
        <v>13</v>
      </c>
      <c r="C2064">
        <v>303</v>
      </c>
      <c r="D2064">
        <v>31</v>
      </c>
      <c r="E2064">
        <v>16935</v>
      </c>
      <c r="F2064">
        <v>105455</v>
      </c>
      <c r="G2064" s="3">
        <f t="shared" si="96"/>
        <v>229</v>
      </c>
      <c r="H2064" s="4">
        <f t="shared" si="97"/>
        <v>2.1715423640414899E-3</v>
      </c>
      <c r="I2064" s="1">
        <f t="shared" si="98"/>
        <v>10</v>
      </c>
    </row>
    <row r="2065" spans="1:9" hidden="1" x14ac:dyDescent="0.2">
      <c r="A2065" s="6">
        <v>44099.708333333336</v>
      </c>
      <c r="B2065" s="1" t="s">
        <v>13</v>
      </c>
      <c r="C2065">
        <v>300</v>
      </c>
      <c r="D2065">
        <v>30</v>
      </c>
      <c r="E2065">
        <v>16937</v>
      </c>
      <c r="F2065">
        <v>105732</v>
      </c>
      <c r="G2065" s="3">
        <f t="shared" si="96"/>
        <v>277</v>
      </c>
      <c r="H2065" s="4">
        <f t="shared" si="97"/>
        <v>2.6198312715166594E-3</v>
      </c>
      <c r="I2065" s="1">
        <f t="shared" si="98"/>
        <v>2</v>
      </c>
    </row>
    <row r="2066" spans="1:9" hidden="1" x14ac:dyDescent="0.2">
      <c r="A2066" s="6">
        <v>44100.708333333336</v>
      </c>
      <c r="B2066" s="1" t="s">
        <v>13</v>
      </c>
      <c r="C2066">
        <v>312</v>
      </c>
      <c r="D2066">
        <v>30</v>
      </c>
      <c r="E2066">
        <v>16941</v>
      </c>
      <c r="F2066">
        <v>105988</v>
      </c>
      <c r="G2066" s="3">
        <f t="shared" si="96"/>
        <v>256</v>
      </c>
      <c r="H2066" s="4">
        <f t="shared" si="97"/>
        <v>2.4153677774841897E-3</v>
      </c>
      <c r="I2066" s="1">
        <f t="shared" si="98"/>
        <v>4</v>
      </c>
    </row>
    <row r="2067" spans="1:9" hidden="1" x14ac:dyDescent="0.2">
      <c r="A2067" s="6">
        <v>44101.708333333336</v>
      </c>
      <c r="B2067" s="1" t="s">
        <v>13</v>
      </c>
      <c r="C2067">
        <v>302</v>
      </c>
      <c r="D2067">
        <v>31</v>
      </c>
      <c r="E2067">
        <v>16946</v>
      </c>
      <c r="F2067">
        <v>106204</v>
      </c>
      <c r="G2067" s="3">
        <f t="shared" si="96"/>
        <v>216</v>
      </c>
      <c r="H2067" s="4">
        <f t="shared" si="97"/>
        <v>2.0338217016308002E-3</v>
      </c>
      <c r="I2067" s="1">
        <f t="shared" si="98"/>
        <v>5</v>
      </c>
    </row>
    <row r="2068" spans="1:9" hidden="1" x14ac:dyDescent="0.2">
      <c r="A2068" s="6">
        <v>44102.708333333336</v>
      </c>
      <c r="B2068" s="1" t="s">
        <v>13</v>
      </c>
      <c r="C2068">
        <v>306</v>
      </c>
      <c r="D2068">
        <v>31</v>
      </c>
      <c r="E2068">
        <v>16948</v>
      </c>
      <c r="F2068">
        <v>106323</v>
      </c>
      <c r="G2068" s="3">
        <f t="shared" si="96"/>
        <v>119</v>
      </c>
      <c r="H2068" s="4">
        <f t="shared" si="97"/>
        <v>1.1192310224504842E-3</v>
      </c>
      <c r="I2068" s="1">
        <f t="shared" si="98"/>
        <v>2</v>
      </c>
    </row>
    <row r="2069" spans="1:9" hidden="1" x14ac:dyDescent="0.2">
      <c r="A2069" s="6">
        <v>44103.708333333336</v>
      </c>
      <c r="B2069" s="1" t="s">
        <v>13</v>
      </c>
      <c r="C2069">
        <v>315</v>
      </c>
      <c r="D2069">
        <v>33</v>
      </c>
      <c r="E2069">
        <v>16951</v>
      </c>
      <c r="F2069">
        <v>106526</v>
      </c>
      <c r="G2069" s="3">
        <f t="shared" si="96"/>
        <v>203</v>
      </c>
      <c r="H2069" s="4">
        <f t="shared" si="97"/>
        <v>1.9056380601918388E-3</v>
      </c>
      <c r="I2069" s="1">
        <f t="shared" si="98"/>
        <v>3</v>
      </c>
    </row>
    <row r="2070" spans="1:9" hidden="1" x14ac:dyDescent="0.2">
      <c r="A2070" s="6">
        <v>44104.708333333336</v>
      </c>
      <c r="B2070" s="1" t="s">
        <v>13</v>
      </c>
      <c r="C2070">
        <v>306</v>
      </c>
      <c r="D2070">
        <v>34</v>
      </c>
      <c r="E2070">
        <v>16955</v>
      </c>
      <c r="F2070">
        <v>106727</v>
      </c>
      <c r="G2070" s="3">
        <f t="shared" si="96"/>
        <v>201</v>
      </c>
      <c r="H2070" s="4">
        <f t="shared" si="97"/>
        <v>1.8833097529210585E-3</v>
      </c>
      <c r="I2070" s="1">
        <f t="shared" si="98"/>
        <v>4</v>
      </c>
    </row>
    <row r="2071" spans="1:9" hidden="1" x14ac:dyDescent="0.2">
      <c r="A2071" s="6">
        <v>44105.708333333336</v>
      </c>
      <c r="B2071" s="1" t="s">
        <v>13</v>
      </c>
      <c r="C2071">
        <v>298</v>
      </c>
      <c r="D2071">
        <v>35</v>
      </c>
      <c r="E2071">
        <v>16960</v>
      </c>
      <c r="F2071">
        <v>107051</v>
      </c>
      <c r="G2071" s="3">
        <f t="shared" si="96"/>
        <v>324</v>
      </c>
      <c r="H2071" s="4">
        <f t="shared" si="97"/>
        <v>3.0265948006090726E-3</v>
      </c>
      <c r="I2071" s="1">
        <f t="shared" si="98"/>
        <v>5</v>
      </c>
    </row>
    <row r="2072" spans="1:9" hidden="1" x14ac:dyDescent="0.2">
      <c r="A2072" s="6">
        <v>44106.708333333336</v>
      </c>
      <c r="B2072" s="1" t="s">
        <v>13</v>
      </c>
      <c r="C2072">
        <v>302</v>
      </c>
      <c r="D2072">
        <v>39</v>
      </c>
      <c r="E2072">
        <v>16964</v>
      </c>
      <c r="F2072">
        <v>107358</v>
      </c>
      <c r="G2072" s="3">
        <f t="shared" si="96"/>
        <v>307</v>
      </c>
      <c r="H2072" s="4">
        <f t="shared" si="97"/>
        <v>2.8595912740549956E-3</v>
      </c>
      <c r="I2072" s="1">
        <f t="shared" si="98"/>
        <v>4</v>
      </c>
    </row>
    <row r="2073" spans="1:9" hidden="1" x14ac:dyDescent="0.2">
      <c r="A2073" s="6">
        <v>44107.708333333336</v>
      </c>
      <c r="B2073" s="1" t="s">
        <v>13</v>
      </c>
      <c r="C2073">
        <v>293</v>
      </c>
      <c r="D2073">
        <v>42</v>
      </c>
      <c r="E2073">
        <v>16969</v>
      </c>
      <c r="F2073">
        <v>107751</v>
      </c>
      <c r="G2073" s="3">
        <f t="shared" si="96"/>
        <v>393</v>
      </c>
      <c r="H2073" s="4">
        <f t="shared" si="97"/>
        <v>3.6472979369100988E-3</v>
      </c>
      <c r="I2073" s="1">
        <f t="shared" si="98"/>
        <v>5</v>
      </c>
    </row>
    <row r="2074" spans="1:9" hidden="1" x14ac:dyDescent="0.2">
      <c r="A2074" s="6">
        <v>44108.708333333336</v>
      </c>
      <c r="B2074" s="1" t="s">
        <v>13</v>
      </c>
      <c r="C2074">
        <v>296</v>
      </c>
      <c r="D2074">
        <v>39</v>
      </c>
      <c r="E2074">
        <v>16971</v>
      </c>
      <c r="F2074">
        <v>108065</v>
      </c>
      <c r="G2074" s="3">
        <f t="shared" si="96"/>
        <v>314</v>
      </c>
      <c r="H2074" s="4">
        <f t="shared" si="97"/>
        <v>2.9056586313792598E-3</v>
      </c>
      <c r="I2074" s="1">
        <f t="shared" si="98"/>
        <v>2</v>
      </c>
    </row>
    <row r="2075" spans="1:9" hidden="1" x14ac:dyDescent="0.2">
      <c r="A2075" s="6">
        <v>44109.708333333336</v>
      </c>
      <c r="B2075" s="1" t="s">
        <v>13</v>
      </c>
      <c r="C2075">
        <v>305</v>
      </c>
      <c r="D2075">
        <v>41</v>
      </c>
      <c r="E2075">
        <v>16973</v>
      </c>
      <c r="F2075">
        <v>108316</v>
      </c>
      <c r="G2075" s="3">
        <f t="shared" si="96"/>
        <v>251</v>
      </c>
      <c r="H2075" s="4">
        <f t="shared" si="97"/>
        <v>2.3172938439380841E-3</v>
      </c>
      <c r="I2075" s="1">
        <f t="shared" si="98"/>
        <v>2</v>
      </c>
    </row>
    <row r="2076" spans="1:9" hidden="1" x14ac:dyDescent="0.2">
      <c r="A2076" s="6">
        <v>44110.708333333336</v>
      </c>
      <c r="B2076" s="1" t="s">
        <v>13</v>
      </c>
      <c r="C2076">
        <v>320</v>
      </c>
      <c r="D2076">
        <v>40</v>
      </c>
      <c r="E2076">
        <v>16973</v>
      </c>
      <c r="F2076">
        <v>108666</v>
      </c>
      <c r="G2076" s="3">
        <f t="shared" si="96"/>
        <v>350</v>
      </c>
      <c r="H2076" s="4">
        <f t="shared" si="97"/>
        <v>3.2208786556973124E-3</v>
      </c>
      <c r="I2076" s="1">
        <f t="shared" si="98"/>
        <v>0</v>
      </c>
    </row>
    <row r="2077" spans="1:9" hidden="1" x14ac:dyDescent="0.2">
      <c r="A2077" s="6">
        <v>44111.708333333336</v>
      </c>
      <c r="B2077" s="1" t="s">
        <v>13</v>
      </c>
      <c r="C2077">
        <v>339</v>
      </c>
      <c r="D2077">
        <v>40</v>
      </c>
      <c r="E2077">
        <v>16978</v>
      </c>
      <c r="F2077">
        <v>109186</v>
      </c>
      <c r="G2077" s="3">
        <f t="shared" si="96"/>
        <v>520</v>
      </c>
      <c r="H2077" s="4">
        <f t="shared" si="97"/>
        <v>4.7625153407946375E-3</v>
      </c>
      <c r="I2077" s="1">
        <f t="shared" si="98"/>
        <v>5</v>
      </c>
    </row>
    <row r="2078" spans="1:9" hidden="1" x14ac:dyDescent="0.2">
      <c r="A2078" s="6">
        <v>44112.708333333336</v>
      </c>
      <c r="B2078" s="1" t="s">
        <v>13</v>
      </c>
      <c r="C2078">
        <v>361</v>
      </c>
      <c r="D2078">
        <v>41</v>
      </c>
      <c r="E2078">
        <v>16979</v>
      </c>
      <c r="F2078">
        <v>109869</v>
      </c>
      <c r="G2078" s="3">
        <f t="shared" si="96"/>
        <v>683</v>
      </c>
      <c r="H2078" s="4">
        <f t="shared" si="97"/>
        <v>6.21649418853365E-3</v>
      </c>
      <c r="I2078" s="1">
        <f t="shared" si="98"/>
        <v>1</v>
      </c>
    </row>
    <row r="2079" spans="1:9" hidden="1" x14ac:dyDescent="0.2">
      <c r="A2079" s="6">
        <v>44113.708333333336</v>
      </c>
      <c r="B2079" s="1" t="s">
        <v>13</v>
      </c>
      <c r="C2079">
        <v>371</v>
      </c>
      <c r="D2079">
        <v>44</v>
      </c>
      <c r="E2079">
        <v>16980</v>
      </c>
      <c r="F2079">
        <v>110852</v>
      </c>
      <c r="G2079" s="3">
        <f t="shared" si="96"/>
        <v>983</v>
      </c>
      <c r="H2079" s="4">
        <f t="shared" si="97"/>
        <v>8.8676794284271443E-3</v>
      </c>
      <c r="I2079" s="1">
        <f t="shared" si="98"/>
        <v>1</v>
      </c>
    </row>
    <row r="2080" spans="1:9" hidden="1" x14ac:dyDescent="0.2">
      <c r="A2080" s="6">
        <v>44114.708333333336</v>
      </c>
      <c r="B2080" s="1" t="s">
        <v>13</v>
      </c>
      <c r="C2080">
        <v>408</v>
      </c>
      <c r="D2080">
        <v>44</v>
      </c>
      <c r="E2080">
        <v>16982</v>
      </c>
      <c r="F2080">
        <v>111992</v>
      </c>
      <c r="G2080" s="3">
        <f t="shared" si="96"/>
        <v>1140</v>
      </c>
      <c r="H2080" s="4">
        <f t="shared" si="97"/>
        <v>1.0179298521322933E-2</v>
      </c>
      <c r="I2080" s="1">
        <f t="shared" si="98"/>
        <v>2</v>
      </c>
    </row>
    <row r="2081" spans="1:9" hidden="1" x14ac:dyDescent="0.2">
      <c r="A2081" s="6">
        <v>44115.708333333336</v>
      </c>
      <c r="B2081" s="1" t="s">
        <v>13</v>
      </c>
      <c r="C2081">
        <v>433</v>
      </c>
      <c r="D2081">
        <v>48</v>
      </c>
      <c r="E2081">
        <v>16985</v>
      </c>
      <c r="F2081">
        <v>113024</v>
      </c>
      <c r="G2081" s="3">
        <f t="shared" si="96"/>
        <v>1032</v>
      </c>
      <c r="H2081" s="4">
        <f t="shared" si="97"/>
        <v>9.1308040770101684E-3</v>
      </c>
      <c r="I2081" s="1">
        <f t="shared" si="98"/>
        <v>3</v>
      </c>
    </row>
    <row r="2082" spans="1:9" hidden="1" x14ac:dyDescent="0.2">
      <c r="A2082" s="6">
        <v>43885.75</v>
      </c>
      <c r="B2082" s="1" t="s">
        <v>14</v>
      </c>
      <c r="C2082">
        <v>0</v>
      </c>
      <c r="D2082">
        <v>0</v>
      </c>
      <c r="E2082">
        <v>0</v>
      </c>
      <c r="F2082">
        <v>0</v>
      </c>
      <c r="G2082" s="3">
        <f t="shared" si="96"/>
        <v>0</v>
      </c>
      <c r="H2082" s="4">
        <f t="shared" si="97"/>
        <v>0</v>
      </c>
      <c r="I2082" s="1">
        <f t="shared" si="98"/>
        <v>0</v>
      </c>
    </row>
    <row r="2083" spans="1:9" hidden="1" x14ac:dyDescent="0.2">
      <c r="A2083" s="6">
        <v>43886.75</v>
      </c>
      <c r="B2083" s="1" t="s">
        <v>14</v>
      </c>
      <c r="C2083">
        <v>0</v>
      </c>
      <c r="D2083">
        <v>0</v>
      </c>
      <c r="E2083">
        <v>0</v>
      </c>
      <c r="F2083">
        <v>0</v>
      </c>
      <c r="G2083" s="3">
        <f t="shared" si="96"/>
        <v>0</v>
      </c>
      <c r="H2083" s="4">
        <f t="shared" si="97"/>
        <v>0</v>
      </c>
      <c r="I2083" s="1">
        <f t="shared" si="98"/>
        <v>0</v>
      </c>
    </row>
    <row r="2084" spans="1:9" hidden="1" x14ac:dyDescent="0.2">
      <c r="A2084" s="6">
        <v>43887.75</v>
      </c>
      <c r="B2084" s="1" t="s">
        <v>14</v>
      </c>
      <c r="C2084">
        <v>1</v>
      </c>
      <c r="D2084">
        <v>0</v>
      </c>
      <c r="E2084">
        <v>0</v>
      </c>
      <c r="F2084">
        <v>1</v>
      </c>
      <c r="G2084" s="3">
        <f t="shared" si="96"/>
        <v>1</v>
      </c>
      <c r="H2084" s="4">
        <f t="shared" si="97"/>
        <v>0</v>
      </c>
      <c r="I2084" s="1">
        <f t="shared" si="98"/>
        <v>0</v>
      </c>
    </row>
    <row r="2085" spans="1:9" hidden="1" x14ac:dyDescent="0.2">
      <c r="A2085" s="6">
        <v>43888.75</v>
      </c>
      <c r="B2085" s="1" t="s">
        <v>14</v>
      </c>
      <c r="C2085">
        <v>2</v>
      </c>
      <c r="D2085">
        <v>1</v>
      </c>
      <c r="E2085">
        <v>0</v>
      </c>
      <c r="F2085">
        <v>3</v>
      </c>
      <c r="G2085" s="3">
        <f t="shared" si="96"/>
        <v>2</v>
      </c>
      <c r="H2085" s="4">
        <f t="shared" si="97"/>
        <v>0.66666666666666674</v>
      </c>
      <c r="I2085" s="1">
        <f t="shared" si="98"/>
        <v>0</v>
      </c>
    </row>
    <row r="2086" spans="1:9" hidden="1" x14ac:dyDescent="0.2">
      <c r="A2086" s="6">
        <v>43889.75</v>
      </c>
      <c r="B2086" s="1" t="s">
        <v>14</v>
      </c>
      <c r="C2086">
        <v>3</v>
      </c>
      <c r="D2086">
        <v>2</v>
      </c>
      <c r="E2086">
        <v>0</v>
      </c>
      <c r="F2086">
        <v>6</v>
      </c>
      <c r="G2086" s="3">
        <f t="shared" si="96"/>
        <v>3</v>
      </c>
      <c r="H2086" s="4">
        <f t="shared" si="97"/>
        <v>0.5</v>
      </c>
      <c r="I2086" s="1">
        <f t="shared" si="98"/>
        <v>0</v>
      </c>
    </row>
    <row r="2087" spans="1:9" hidden="1" x14ac:dyDescent="0.2">
      <c r="A2087" s="6">
        <v>43890.708333333336</v>
      </c>
      <c r="B2087" s="1" t="s">
        <v>14</v>
      </c>
      <c r="C2087">
        <v>6</v>
      </c>
      <c r="D2087">
        <v>2</v>
      </c>
      <c r="E2087">
        <v>0</v>
      </c>
      <c r="F2087">
        <v>11</v>
      </c>
      <c r="G2087" s="3">
        <f t="shared" si="96"/>
        <v>5</v>
      </c>
      <c r="H2087" s="4">
        <f t="shared" si="97"/>
        <v>0.45454545454545459</v>
      </c>
      <c r="I2087" s="1">
        <f t="shared" si="98"/>
        <v>0</v>
      </c>
    </row>
    <row r="2088" spans="1:9" hidden="1" x14ac:dyDescent="0.2">
      <c r="A2088" s="6">
        <v>43891.708333333336</v>
      </c>
      <c r="B2088" s="1" t="s">
        <v>14</v>
      </c>
      <c r="C2088">
        <v>12</v>
      </c>
      <c r="D2088">
        <v>5</v>
      </c>
      <c r="E2088">
        <v>0</v>
      </c>
      <c r="F2088">
        <v>25</v>
      </c>
      <c r="G2088" s="3">
        <f t="shared" si="96"/>
        <v>14</v>
      </c>
      <c r="H2088" s="4">
        <f t="shared" si="97"/>
        <v>0.56000000000000005</v>
      </c>
      <c r="I2088" s="1">
        <f t="shared" si="98"/>
        <v>0</v>
      </c>
    </row>
    <row r="2089" spans="1:9" hidden="1" x14ac:dyDescent="0.2">
      <c r="A2089" s="6">
        <v>43892.75</v>
      </c>
      <c r="B2089" s="1" t="s">
        <v>14</v>
      </c>
      <c r="C2089">
        <v>17</v>
      </c>
      <c r="D2089">
        <v>6</v>
      </c>
      <c r="E2089">
        <v>1</v>
      </c>
      <c r="F2089">
        <v>35</v>
      </c>
      <c r="G2089" s="3">
        <f t="shared" si="96"/>
        <v>10</v>
      </c>
      <c r="H2089" s="4">
        <f t="shared" si="97"/>
        <v>0.2857142857142857</v>
      </c>
      <c r="I2089" s="1">
        <f t="shared" si="98"/>
        <v>1</v>
      </c>
    </row>
    <row r="2090" spans="1:9" hidden="1" x14ac:dyDescent="0.2">
      <c r="A2090" s="6">
        <v>43893.75</v>
      </c>
      <c r="B2090" s="1" t="s">
        <v>14</v>
      </c>
      <c r="C2090">
        <v>27</v>
      </c>
      <c r="D2090">
        <v>13</v>
      </c>
      <c r="E2090">
        <v>2</v>
      </c>
      <c r="F2090">
        <v>61</v>
      </c>
      <c r="G2090" s="3">
        <f t="shared" si="96"/>
        <v>26</v>
      </c>
      <c r="H2090" s="4">
        <f t="shared" si="97"/>
        <v>0.42622950819672134</v>
      </c>
      <c r="I2090" s="1">
        <f t="shared" si="98"/>
        <v>1</v>
      </c>
    </row>
    <row r="2091" spans="1:9" hidden="1" x14ac:dyDescent="0.2">
      <c r="A2091" s="6">
        <v>43894.708333333336</v>
      </c>
      <c r="B2091" s="1" t="s">
        <v>14</v>
      </c>
      <c r="C2091">
        <v>34</v>
      </c>
      <c r="D2091">
        <v>15</v>
      </c>
      <c r="E2091">
        <v>4</v>
      </c>
      <c r="F2091">
        <v>84</v>
      </c>
      <c r="G2091" s="3">
        <f t="shared" si="96"/>
        <v>23</v>
      </c>
      <c r="H2091" s="4">
        <f t="shared" si="97"/>
        <v>0.27380952380952384</v>
      </c>
      <c r="I2091" s="1">
        <f t="shared" si="98"/>
        <v>2</v>
      </c>
    </row>
    <row r="2092" spans="1:9" hidden="1" x14ac:dyDescent="0.2">
      <c r="A2092" s="6">
        <v>43895.708333333336</v>
      </c>
      <c r="B2092" s="1" t="s">
        <v>14</v>
      </c>
      <c r="C2092">
        <v>57</v>
      </c>
      <c r="D2092">
        <v>19</v>
      </c>
      <c r="E2092">
        <v>4</v>
      </c>
      <c r="F2092">
        <v>124</v>
      </c>
      <c r="G2092" s="3">
        <f t="shared" si="96"/>
        <v>40</v>
      </c>
      <c r="H2092" s="4">
        <f t="shared" si="97"/>
        <v>0.32258064516129037</v>
      </c>
      <c r="I2092" s="1">
        <f t="shared" si="98"/>
        <v>0</v>
      </c>
    </row>
    <row r="2093" spans="1:9" hidden="1" x14ac:dyDescent="0.2">
      <c r="A2093" s="6">
        <v>43896.708333333336</v>
      </c>
      <c r="B2093" s="1" t="s">
        <v>14</v>
      </c>
      <c r="C2093">
        <v>73</v>
      </c>
      <c r="D2093">
        <v>20</v>
      </c>
      <c r="E2093">
        <v>4</v>
      </c>
      <c r="F2093">
        <v>159</v>
      </c>
      <c r="G2093" s="3">
        <f t="shared" si="96"/>
        <v>35</v>
      </c>
      <c r="H2093" s="4">
        <f t="shared" si="97"/>
        <v>0.22012578616352196</v>
      </c>
      <c r="I2093" s="1">
        <f t="shared" si="98"/>
        <v>0</v>
      </c>
    </row>
    <row r="2094" spans="1:9" hidden="1" x14ac:dyDescent="0.2">
      <c r="A2094" s="6">
        <v>43897.75</v>
      </c>
      <c r="B2094" s="1" t="s">
        <v>14</v>
      </c>
      <c r="C2094">
        <v>94</v>
      </c>
      <c r="D2094">
        <v>36</v>
      </c>
      <c r="E2094">
        <v>6</v>
      </c>
      <c r="F2094">
        <v>207</v>
      </c>
      <c r="G2094" s="3">
        <f t="shared" si="96"/>
        <v>48</v>
      </c>
      <c r="H2094" s="4">
        <f t="shared" si="97"/>
        <v>0.23188405797101452</v>
      </c>
      <c r="I2094" s="1">
        <f t="shared" si="98"/>
        <v>2</v>
      </c>
    </row>
    <row r="2095" spans="1:9" hidden="1" x14ac:dyDescent="0.2">
      <c r="A2095" s="6">
        <v>43898.75</v>
      </c>
      <c r="B2095" s="1" t="s">
        <v>14</v>
      </c>
      <c r="C2095">
        <v>110</v>
      </c>
      <c r="D2095">
        <v>41</v>
      </c>
      <c r="E2095">
        <v>7</v>
      </c>
      <c r="F2095">
        <v>272</v>
      </c>
      <c r="G2095" s="3">
        <f t="shared" si="96"/>
        <v>65</v>
      </c>
      <c r="H2095" s="4">
        <f t="shared" si="97"/>
        <v>0.23897058823529416</v>
      </c>
      <c r="I2095" s="1">
        <f t="shared" si="98"/>
        <v>1</v>
      </c>
    </row>
    <row r="2096" spans="1:9" hidden="1" x14ac:dyDescent="0.2">
      <c r="A2096" s="6">
        <v>43899.75</v>
      </c>
      <c r="B2096" s="1" t="s">
        <v>14</v>
      </c>
      <c r="C2096">
        <v>136</v>
      </c>
      <c r="D2096">
        <v>47</v>
      </c>
      <c r="E2096">
        <v>10</v>
      </c>
      <c r="F2096">
        <v>323</v>
      </c>
      <c r="G2096" s="3">
        <f t="shared" si="96"/>
        <v>51</v>
      </c>
      <c r="H2096" s="4">
        <f t="shared" si="97"/>
        <v>0.15789473684210531</v>
      </c>
      <c r="I2096" s="1">
        <f t="shared" si="98"/>
        <v>3</v>
      </c>
    </row>
    <row r="2097" spans="1:9" hidden="1" x14ac:dyDescent="0.2">
      <c r="A2097" s="6">
        <v>43900.75</v>
      </c>
      <c r="B2097" s="1" t="s">
        <v>14</v>
      </c>
      <c r="C2097">
        <v>152</v>
      </c>
      <c r="D2097">
        <v>54</v>
      </c>
      <c r="E2097">
        <v>13</v>
      </c>
      <c r="F2097">
        <v>394</v>
      </c>
      <c r="G2097" s="3">
        <f t="shared" si="96"/>
        <v>71</v>
      </c>
      <c r="H2097" s="4">
        <f t="shared" si="97"/>
        <v>0.18020304568527923</v>
      </c>
      <c r="I2097" s="1">
        <f t="shared" si="98"/>
        <v>3</v>
      </c>
    </row>
    <row r="2098" spans="1:9" hidden="1" x14ac:dyDescent="0.2">
      <c r="A2098" s="6">
        <v>43901.708333333336</v>
      </c>
      <c r="B2098" s="1" t="s">
        <v>14</v>
      </c>
      <c r="C2098">
        <v>212</v>
      </c>
      <c r="D2098">
        <v>66</v>
      </c>
      <c r="E2098">
        <v>18</v>
      </c>
      <c r="F2098">
        <v>479</v>
      </c>
      <c r="G2098" s="3">
        <f t="shared" si="96"/>
        <v>85</v>
      </c>
      <c r="H2098" s="4">
        <f t="shared" si="97"/>
        <v>0.17745302713987476</v>
      </c>
      <c r="I2098" s="1">
        <f t="shared" si="98"/>
        <v>5</v>
      </c>
    </row>
    <row r="2099" spans="1:9" hidden="1" x14ac:dyDescent="0.2">
      <c r="A2099" s="6">
        <v>43902.708333333336</v>
      </c>
      <c r="B2099" s="1" t="s">
        <v>14</v>
      </c>
      <c r="C2099">
        <v>254</v>
      </c>
      <c r="D2099">
        <v>76</v>
      </c>
      <c r="E2099">
        <v>22</v>
      </c>
      <c r="F2099">
        <v>592</v>
      </c>
      <c r="G2099" s="3">
        <f t="shared" si="96"/>
        <v>113</v>
      </c>
      <c r="H2099" s="4">
        <f t="shared" si="97"/>
        <v>0.1908783783783784</v>
      </c>
      <c r="I2099" s="1">
        <f t="shared" si="98"/>
        <v>4</v>
      </c>
    </row>
    <row r="2100" spans="1:9" hidden="1" x14ac:dyDescent="0.2">
      <c r="A2100" s="6">
        <v>43903.708333333336</v>
      </c>
      <c r="B2100" s="1" t="s">
        <v>14</v>
      </c>
      <c r="C2100">
        <v>337</v>
      </c>
      <c r="D2100">
        <v>85</v>
      </c>
      <c r="E2100">
        <v>27</v>
      </c>
      <c r="F2100">
        <v>725</v>
      </c>
      <c r="G2100" s="3">
        <f t="shared" si="96"/>
        <v>133</v>
      </c>
      <c r="H2100" s="4">
        <f t="shared" si="97"/>
        <v>0.18344827586206891</v>
      </c>
      <c r="I2100" s="1">
        <f t="shared" si="98"/>
        <v>5</v>
      </c>
    </row>
    <row r="2101" spans="1:9" hidden="1" x14ac:dyDescent="0.2">
      <c r="A2101" s="6">
        <v>43904.708333333336</v>
      </c>
      <c r="B2101" s="1" t="s">
        <v>14</v>
      </c>
      <c r="C2101">
        <v>449</v>
      </c>
      <c r="D2101">
        <v>93</v>
      </c>
      <c r="E2101">
        <v>36</v>
      </c>
      <c r="F2101">
        <v>899</v>
      </c>
      <c r="G2101" s="3">
        <f t="shared" si="96"/>
        <v>174</v>
      </c>
      <c r="H2101" s="4">
        <f t="shared" si="97"/>
        <v>0.19354838709677424</v>
      </c>
      <c r="I2101" s="1">
        <f t="shared" si="98"/>
        <v>9</v>
      </c>
    </row>
    <row r="2102" spans="1:9" hidden="1" x14ac:dyDescent="0.2">
      <c r="A2102" s="6">
        <v>43905.708333333336</v>
      </c>
      <c r="B2102" s="1" t="s">
        <v>14</v>
      </c>
      <c r="C2102">
        <v>521</v>
      </c>
      <c r="D2102">
        <v>98</v>
      </c>
      <c r="E2102">
        <v>46</v>
      </c>
      <c r="F2102">
        <v>1133</v>
      </c>
      <c r="G2102" s="3">
        <f t="shared" si="96"/>
        <v>234</v>
      </c>
      <c r="H2102" s="4">
        <f t="shared" si="97"/>
        <v>0.20653133274492497</v>
      </c>
      <c r="I2102" s="1">
        <f t="shared" si="98"/>
        <v>10</v>
      </c>
    </row>
    <row r="2103" spans="1:9" hidden="1" x14ac:dyDescent="0.2">
      <c r="A2103" s="6">
        <v>43906.708333333336</v>
      </c>
      <c r="B2103" s="1" t="s">
        <v>14</v>
      </c>
      <c r="C2103">
        <v>528</v>
      </c>
      <c r="D2103">
        <v>110</v>
      </c>
      <c r="E2103">
        <v>57</v>
      </c>
      <c r="F2103">
        <v>1242</v>
      </c>
      <c r="G2103" s="3">
        <f t="shared" si="96"/>
        <v>109</v>
      </c>
      <c r="H2103" s="4">
        <f t="shared" si="97"/>
        <v>8.7761674718196403E-2</v>
      </c>
      <c r="I2103" s="1">
        <f t="shared" si="98"/>
        <v>11</v>
      </c>
    </row>
    <row r="2104" spans="1:9" hidden="1" x14ac:dyDescent="0.2">
      <c r="A2104" s="6">
        <v>43907.708333333336</v>
      </c>
      <c r="B2104" s="1" t="s">
        <v>14</v>
      </c>
      <c r="C2104">
        <v>599</v>
      </c>
      <c r="D2104">
        <v>109</v>
      </c>
      <c r="E2104">
        <v>69</v>
      </c>
      <c r="F2104">
        <v>1371</v>
      </c>
      <c r="G2104" s="3">
        <f t="shared" si="96"/>
        <v>129</v>
      </c>
      <c r="H2104" s="4">
        <f t="shared" si="97"/>
        <v>9.4091903719912495E-2</v>
      </c>
      <c r="I2104" s="1">
        <f t="shared" si="98"/>
        <v>12</v>
      </c>
    </row>
    <row r="2105" spans="1:9" hidden="1" x14ac:dyDescent="0.2">
      <c r="A2105" s="6">
        <v>43908.708333333336</v>
      </c>
      <c r="B2105" s="1" t="s">
        <v>14</v>
      </c>
      <c r="C2105">
        <v>638</v>
      </c>
      <c r="D2105">
        <v>119</v>
      </c>
      <c r="E2105">
        <v>92</v>
      </c>
      <c r="F2105">
        <v>1568</v>
      </c>
      <c r="G2105" s="3">
        <f t="shared" si="96"/>
        <v>197</v>
      </c>
      <c r="H2105" s="4">
        <f t="shared" si="97"/>
        <v>0.12563775510204078</v>
      </c>
      <c r="I2105" s="1">
        <f t="shared" si="98"/>
        <v>23</v>
      </c>
    </row>
    <row r="2106" spans="1:9" hidden="1" x14ac:dyDescent="0.2">
      <c r="A2106" s="6">
        <v>43909.708333333336</v>
      </c>
      <c r="B2106" s="1" t="s">
        <v>14</v>
      </c>
      <c r="C2106">
        <v>656</v>
      </c>
      <c r="D2106">
        <v>141</v>
      </c>
      <c r="E2106">
        <v>115</v>
      </c>
      <c r="F2106">
        <v>1737</v>
      </c>
      <c r="G2106" s="3">
        <f t="shared" si="96"/>
        <v>169</v>
      </c>
      <c r="H2106" s="4">
        <f t="shared" si="97"/>
        <v>9.7294185377086895E-2</v>
      </c>
      <c r="I2106" s="1">
        <f t="shared" si="98"/>
        <v>23</v>
      </c>
    </row>
    <row r="2107" spans="1:9" hidden="1" x14ac:dyDescent="0.2">
      <c r="A2107" s="6">
        <v>43910.708333333336</v>
      </c>
      <c r="B2107" s="1" t="s">
        <v>14</v>
      </c>
      <c r="C2107">
        <v>704</v>
      </c>
      <c r="D2107">
        <v>138</v>
      </c>
      <c r="E2107">
        <v>137</v>
      </c>
      <c r="F2107">
        <v>1981</v>
      </c>
      <c r="G2107" s="3">
        <f t="shared" si="96"/>
        <v>244</v>
      </c>
      <c r="H2107" s="4">
        <f t="shared" si="97"/>
        <v>0.12317011610297834</v>
      </c>
      <c r="I2107" s="1">
        <f t="shared" si="98"/>
        <v>22</v>
      </c>
    </row>
    <row r="2108" spans="1:9" hidden="1" x14ac:dyDescent="0.2">
      <c r="A2108" s="6">
        <v>43911.708333333336</v>
      </c>
      <c r="B2108" s="1" t="s">
        <v>14</v>
      </c>
      <c r="C2108">
        <v>742</v>
      </c>
      <c r="D2108">
        <v>141</v>
      </c>
      <c r="E2108">
        <v>154</v>
      </c>
      <c r="F2108">
        <v>2153</v>
      </c>
      <c r="G2108" s="3">
        <f t="shared" si="96"/>
        <v>172</v>
      </c>
      <c r="H2108" s="4">
        <f t="shared" si="97"/>
        <v>7.9888527635856965E-2</v>
      </c>
      <c r="I2108" s="1">
        <f t="shared" si="98"/>
        <v>17</v>
      </c>
    </row>
    <row r="2109" spans="1:9" hidden="1" x14ac:dyDescent="0.2">
      <c r="A2109" s="6">
        <v>43912.708333333336</v>
      </c>
      <c r="B2109" s="1" t="s">
        <v>14</v>
      </c>
      <c r="C2109">
        <v>816</v>
      </c>
      <c r="D2109">
        <v>138</v>
      </c>
      <c r="E2109">
        <v>184</v>
      </c>
      <c r="F2109">
        <v>2421</v>
      </c>
      <c r="G2109" s="3">
        <f t="shared" si="96"/>
        <v>268</v>
      </c>
      <c r="H2109" s="4">
        <f t="shared" si="97"/>
        <v>0.11069805865344895</v>
      </c>
      <c r="I2109" s="1">
        <f t="shared" si="98"/>
        <v>30</v>
      </c>
    </row>
    <row r="2110" spans="1:9" hidden="1" x14ac:dyDescent="0.2">
      <c r="A2110" s="6">
        <v>43913.708333333336</v>
      </c>
      <c r="B2110" s="1" t="s">
        <v>14</v>
      </c>
      <c r="C2110">
        <v>882</v>
      </c>
      <c r="D2110">
        <v>148</v>
      </c>
      <c r="E2110">
        <v>203</v>
      </c>
      <c r="F2110">
        <v>2569</v>
      </c>
      <c r="G2110" s="3">
        <f t="shared" si="96"/>
        <v>148</v>
      </c>
      <c r="H2110" s="4">
        <f t="shared" si="97"/>
        <v>5.7609964966913174E-2</v>
      </c>
      <c r="I2110" s="1">
        <f t="shared" si="98"/>
        <v>19</v>
      </c>
    </row>
    <row r="2111" spans="1:9" hidden="1" x14ac:dyDescent="0.2">
      <c r="A2111" s="6">
        <v>43914.708333333336</v>
      </c>
      <c r="B2111" s="1" t="s">
        <v>14</v>
      </c>
      <c r="C2111">
        <v>862</v>
      </c>
      <c r="D2111">
        <v>149</v>
      </c>
      <c r="E2111">
        <v>231</v>
      </c>
      <c r="F2111">
        <v>2736</v>
      </c>
      <c r="G2111" s="3">
        <f t="shared" si="96"/>
        <v>167</v>
      </c>
      <c r="H2111" s="4">
        <f t="shared" si="97"/>
        <v>6.1038011695906391E-2</v>
      </c>
      <c r="I2111" s="1">
        <f t="shared" si="98"/>
        <v>28</v>
      </c>
    </row>
    <row r="2112" spans="1:9" hidden="1" x14ac:dyDescent="0.2">
      <c r="A2112" s="6">
        <v>43915.708333333336</v>
      </c>
      <c r="B2112" s="1" t="s">
        <v>14</v>
      </c>
      <c r="C2112">
        <v>938</v>
      </c>
      <c r="D2112">
        <v>148</v>
      </c>
      <c r="E2112">
        <v>287</v>
      </c>
      <c r="F2112">
        <v>2934</v>
      </c>
      <c r="G2112" s="3">
        <f t="shared" si="96"/>
        <v>198</v>
      </c>
      <c r="H2112" s="4">
        <f t="shared" si="97"/>
        <v>6.7484662576687171E-2</v>
      </c>
      <c r="I2112" s="1">
        <f t="shared" si="98"/>
        <v>56</v>
      </c>
    </row>
    <row r="2113" spans="1:9" hidden="1" x14ac:dyDescent="0.2">
      <c r="A2113" s="6">
        <v>43916.708333333336</v>
      </c>
      <c r="B2113" s="1" t="s">
        <v>14</v>
      </c>
      <c r="C2113">
        <v>977</v>
      </c>
      <c r="D2113">
        <v>166</v>
      </c>
      <c r="E2113">
        <v>310</v>
      </c>
      <c r="F2113">
        <v>3114</v>
      </c>
      <c r="G2113" s="3">
        <f t="shared" si="96"/>
        <v>180</v>
      </c>
      <c r="H2113" s="4">
        <f t="shared" si="97"/>
        <v>5.7803468208092457E-2</v>
      </c>
      <c r="I2113" s="1">
        <f t="shared" si="98"/>
        <v>23</v>
      </c>
    </row>
    <row r="2114" spans="1:9" hidden="1" x14ac:dyDescent="0.2">
      <c r="A2114" s="6">
        <v>43917.708333333336</v>
      </c>
      <c r="B2114" s="1" t="s">
        <v>14</v>
      </c>
      <c r="C2114">
        <v>979</v>
      </c>
      <c r="D2114">
        <v>162</v>
      </c>
      <c r="E2114">
        <v>336</v>
      </c>
      <c r="F2114">
        <v>3196</v>
      </c>
      <c r="G2114" s="3">
        <f t="shared" si="96"/>
        <v>82</v>
      </c>
      <c r="H2114" s="4">
        <f t="shared" si="97"/>
        <v>2.5657071339173942E-2</v>
      </c>
      <c r="I2114" s="1">
        <f t="shared" si="98"/>
        <v>26</v>
      </c>
    </row>
    <row r="2115" spans="1:9" hidden="1" x14ac:dyDescent="0.2">
      <c r="A2115" s="6">
        <v>43918.708333333336</v>
      </c>
      <c r="B2115" s="1" t="s">
        <v>14</v>
      </c>
      <c r="C2115">
        <v>987</v>
      </c>
      <c r="D2115">
        <v>166</v>
      </c>
      <c r="E2115">
        <v>364</v>
      </c>
      <c r="F2115">
        <v>3373</v>
      </c>
      <c r="G2115" s="3">
        <f t="shared" ref="G2115:G2178" si="99">IF(AND(F2115&gt;0,AND(B2115=B2114,F2115&gt;0)),F2115-F2114,0)</f>
        <v>177</v>
      </c>
      <c r="H2115" s="4">
        <f t="shared" ref="H2115:H2178" si="100">IF(AND(F2114&gt;0,AND(B2115=B2114,F2114&gt;0)),1-(F2114/F2115),0)</f>
        <v>5.2475541061369646E-2</v>
      </c>
      <c r="I2115" s="1">
        <f t="shared" ref="I2115:I2178" si="101">IF(AND(E2115&gt;0,AND(B2115=B2114,E2115&gt;0)),E2115-E2114,0)</f>
        <v>28</v>
      </c>
    </row>
    <row r="2116" spans="1:9" hidden="1" x14ac:dyDescent="0.2">
      <c r="A2116" s="6">
        <v>43919.708333333336</v>
      </c>
      <c r="B2116" s="1" t="s">
        <v>14</v>
      </c>
      <c r="C2116">
        <v>1000</v>
      </c>
      <c r="D2116">
        <v>168</v>
      </c>
      <c r="E2116">
        <v>386</v>
      </c>
      <c r="F2116">
        <v>3558</v>
      </c>
      <c r="G2116" s="3">
        <f t="shared" si="99"/>
        <v>185</v>
      </c>
      <c r="H2116" s="4">
        <f t="shared" si="100"/>
        <v>5.1995503091624484E-2</v>
      </c>
      <c r="I2116" s="1">
        <f t="shared" si="101"/>
        <v>22</v>
      </c>
    </row>
    <row r="2117" spans="1:9" hidden="1" x14ac:dyDescent="0.2">
      <c r="A2117" s="6">
        <v>43920.708333333336</v>
      </c>
      <c r="B2117" s="1" t="s">
        <v>14</v>
      </c>
      <c r="C2117">
        <v>998</v>
      </c>
      <c r="D2117">
        <v>167</v>
      </c>
      <c r="E2117">
        <v>417</v>
      </c>
      <c r="F2117">
        <v>3684</v>
      </c>
      <c r="G2117" s="3">
        <f t="shared" si="99"/>
        <v>126</v>
      </c>
      <c r="H2117" s="4">
        <f t="shared" si="100"/>
        <v>3.4201954397394152E-2</v>
      </c>
      <c r="I2117" s="1">
        <f t="shared" si="101"/>
        <v>31</v>
      </c>
    </row>
    <row r="2118" spans="1:9" hidden="1" x14ac:dyDescent="0.2">
      <c r="A2118" s="6">
        <v>43921.708333333336</v>
      </c>
      <c r="B2118" s="1" t="s">
        <v>14</v>
      </c>
      <c r="C2118">
        <v>946</v>
      </c>
      <c r="D2118">
        <v>169</v>
      </c>
      <c r="E2118">
        <v>452</v>
      </c>
      <c r="F2118">
        <v>3825</v>
      </c>
      <c r="G2118" s="3">
        <f t="shared" si="99"/>
        <v>141</v>
      </c>
      <c r="H2118" s="4">
        <f t="shared" si="100"/>
        <v>3.6862745098039218E-2</v>
      </c>
      <c r="I2118" s="1">
        <f t="shared" si="101"/>
        <v>35</v>
      </c>
    </row>
    <row r="2119" spans="1:9" hidden="1" x14ac:dyDescent="0.2">
      <c r="A2119" s="6">
        <v>43922.708333333336</v>
      </c>
      <c r="B2119" s="1" t="s">
        <v>14</v>
      </c>
      <c r="C2119">
        <v>984</v>
      </c>
      <c r="D2119">
        <v>168</v>
      </c>
      <c r="E2119">
        <v>477</v>
      </c>
      <c r="F2119">
        <v>3962</v>
      </c>
      <c r="G2119" s="3">
        <f t="shared" si="99"/>
        <v>137</v>
      </c>
      <c r="H2119" s="4">
        <f t="shared" si="100"/>
        <v>3.4578495709237766E-2</v>
      </c>
      <c r="I2119" s="1">
        <f t="shared" si="101"/>
        <v>25</v>
      </c>
    </row>
    <row r="2120" spans="1:9" hidden="1" x14ac:dyDescent="0.2">
      <c r="A2120" s="6">
        <v>43923.708333333336</v>
      </c>
      <c r="B2120" s="1" t="s">
        <v>14</v>
      </c>
      <c r="C2120">
        <v>986</v>
      </c>
      <c r="D2120">
        <v>164</v>
      </c>
      <c r="E2120">
        <v>503</v>
      </c>
      <c r="F2120">
        <v>4098</v>
      </c>
      <c r="G2120" s="3">
        <f t="shared" si="99"/>
        <v>136</v>
      </c>
      <c r="H2120" s="4">
        <f t="shared" si="100"/>
        <v>3.3186920448999513E-2</v>
      </c>
      <c r="I2120" s="1">
        <f t="shared" si="101"/>
        <v>26</v>
      </c>
    </row>
    <row r="2121" spans="1:9" hidden="1" x14ac:dyDescent="0.2">
      <c r="A2121" s="6">
        <v>43924.708333333336</v>
      </c>
      <c r="B2121" s="1" t="s">
        <v>14</v>
      </c>
      <c r="C2121">
        <v>982</v>
      </c>
      <c r="D2121">
        <v>158</v>
      </c>
      <c r="E2121">
        <v>557</v>
      </c>
      <c r="F2121">
        <v>4230</v>
      </c>
      <c r="G2121" s="3">
        <f t="shared" si="99"/>
        <v>132</v>
      </c>
      <c r="H2121" s="4">
        <f t="shared" si="100"/>
        <v>3.1205673758865293E-2</v>
      </c>
      <c r="I2121" s="1">
        <f t="shared" si="101"/>
        <v>54</v>
      </c>
    </row>
    <row r="2122" spans="1:9" hidden="1" x14ac:dyDescent="0.2">
      <c r="A2122" s="6">
        <v>43925.708333333336</v>
      </c>
      <c r="B2122" s="1" t="s">
        <v>14</v>
      </c>
      <c r="C2122">
        <v>997</v>
      </c>
      <c r="D2122">
        <v>153</v>
      </c>
      <c r="E2122">
        <v>574</v>
      </c>
      <c r="F2122">
        <v>4341</v>
      </c>
      <c r="G2122" s="3">
        <f t="shared" si="99"/>
        <v>111</v>
      </c>
      <c r="H2122" s="4">
        <f t="shared" si="100"/>
        <v>2.5570145127850719E-2</v>
      </c>
      <c r="I2122" s="1">
        <f t="shared" si="101"/>
        <v>17</v>
      </c>
    </row>
    <row r="2123" spans="1:9" hidden="1" x14ac:dyDescent="0.2">
      <c r="A2123" s="6">
        <v>43926.708333333336</v>
      </c>
      <c r="B2123" s="1" t="s">
        <v>14</v>
      </c>
      <c r="C2123">
        <v>987</v>
      </c>
      <c r="D2123">
        <v>151</v>
      </c>
      <c r="E2123">
        <v>599</v>
      </c>
      <c r="F2123">
        <v>4464</v>
      </c>
      <c r="G2123" s="3">
        <f t="shared" si="99"/>
        <v>123</v>
      </c>
      <c r="H2123" s="4">
        <f t="shared" si="100"/>
        <v>2.7553763440860246E-2</v>
      </c>
      <c r="I2123" s="1">
        <f t="shared" si="101"/>
        <v>25</v>
      </c>
    </row>
    <row r="2124" spans="1:9" hidden="1" x14ac:dyDescent="0.2">
      <c r="A2124" s="6">
        <v>43927.708333333336</v>
      </c>
      <c r="B2124" s="1" t="s">
        <v>14</v>
      </c>
      <c r="C2124">
        <v>1001</v>
      </c>
      <c r="D2124">
        <v>140</v>
      </c>
      <c r="E2124">
        <v>612</v>
      </c>
      <c r="F2124">
        <v>4614</v>
      </c>
      <c r="G2124" s="3">
        <f t="shared" si="99"/>
        <v>150</v>
      </c>
      <c r="H2124" s="4">
        <f t="shared" si="100"/>
        <v>3.2509752925877766E-2</v>
      </c>
      <c r="I2124" s="1">
        <f t="shared" si="101"/>
        <v>13</v>
      </c>
    </row>
    <row r="2125" spans="1:9" hidden="1" x14ac:dyDescent="0.2">
      <c r="A2125" s="6">
        <v>43928.708333333336</v>
      </c>
      <c r="B2125" s="1" t="s">
        <v>14</v>
      </c>
      <c r="C2125">
        <v>962</v>
      </c>
      <c r="D2125">
        <v>139</v>
      </c>
      <c r="E2125">
        <v>630</v>
      </c>
      <c r="F2125">
        <v>4710</v>
      </c>
      <c r="G2125" s="3">
        <f t="shared" si="99"/>
        <v>96</v>
      </c>
      <c r="H2125" s="4">
        <f t="shared" si="100"/>
        <v>2.0382165605095537E-2</v>
      </c>
      <c r="I2125" s="1">
        <f t="shared" si="101"/>
        <v>18</v>
      </c>
    </row>
    <row r="2126" spans="1:9" hidden="1" x14ac:dyDescent="0.2">
      <c r="A2126" s="6">
        <v>43929.708333333336</v>
      </c>
      <c r="B2126" s="1" t="s">
        <v>14</v>
      </c>
      <c r="C2126">
        <v>974</v>
      </c>
      <c r="D2126">
        <v>133</v>
      </c>
      <c r="E2126">
        <v>652</v>
      </c>
      <c r="F2126">
        <v>4859</v>
      </c>
      <c r="G2126" s="3">
        <f t="shared" si="99"/>
        <v>149</v>
      </c>
      <c r="H2126" s="4">
        <f t="shared" si="100"/>
        <v>3.0664745832475804E-2</v>
      </c>
      <c r="I2126" s="1">
        <f t="shared" si="101"/>
        <v>22</v>
      </c>
    </row>
    <row r="2127" spans="1:9" hidden="1" x14ac:dyDescent="0.2">
      <c r="A2127" s="6">
        <v>43930.708333333336</v>
      </c>
      <c r="B2127" s="1" t="s">
        <v>14</v>
      </c>
      <c r="C2127">
        <v>945</v>
      </c>
      <c r="D2127">
        <v>133</v>
      </c>
      <c r="E2127">
        <v>669</v>
      </c>
      <c r="F2127">
        <v>4955</v>
      </c>
      <c r="G2127" s="3">
        <f t="shared" si="99"/>
        <v>96</v>
      </c>
      <c r="H2127" s="4">
        <f t="shared" si="100"/>
        <v>1.937436932391523E-2</v>
      </c>
      <c r="I2127" s="1">
        <f t="shared" si="101"/>
        <v>17</v>
      </c>
    </row>
    <row r="2128" spans="1:9" hidden="1" x14ac:dyDescent="0.2">
      <c r="A2128" s="6">
        <v>43931.708333333336</v>
      </c>
      <c r="B2128" s="1" t="s">
        <v>14</v>
      </c>
      <c r="C2128">
        <v>925</v>
      </c>
      <c r="D2128">
        <v>127</v>
      </c>
      <c r="E2128">
        <v>682</v>
      </c>
      <c r="F2128">
        <v>5084</v>
      </c>
      <c r="G2128" s="3">
        <f t="shared" si="99"/>
        <v>129</v>
      </c>
      <c r="H2128" s="4">
        <f t="shared" si="100"/>
        <v>2.5373721479150291E-2</v>
      </c>
      <c r="I2128" s="1">
        <f t="shared" si="101"/>
        <v>13</v>
      </c>
    </row>
    <row r="2129" spans="1:9" hidden="1" x14ac:dyDescent="0.2">
      <c r="A2129" s="6">
        <v>43932.708333333336</v>
      </c>
      <c r="B2129" s="1" t="s">
        <v>14</v>
      </c>
      <c r="C2129">
        <v>960</v>
      </c>
      <c r="D2129">
        <v>118</v>
      </c>
      <c r="E2129">
        <v>689</v>
      </c>
      <c r="F2129">
        <v>5211</v>
      </c>
      <c r="G2129" s="3">
        <f t="shared" si="99"/>
        <v>127</v>
      </c>
      <c r="H2129" s="4">
        <f t="shared" si="100"/>
        <v>2.4371521780848227E-2</v>
      </c>
      <c r="I2129" s="1">
        <f t="shared" si="101"/>
        <v>7</v>
      </c>
    </row>
    <row r="2130" spans="1:9" hidden="1" x14ac:dyDescent="0.2">
      <c r="A2130" s="6">
        <v>43933.708333333336</v>
      </c>
      <c r="B2130" s="1" t="s">
        <v>14</v>
      </c>
      <c r="C2130">
        <v>949</v>
      </c>
      <c r="D2130">
        <v>114</v>
      </c>
      <c r="E2130">
        <v>700</v>
      </c>
      <c r="F2130">
        <v>5303</v>
      </c>
      <c r="G2130" s="3">
        <f t="shared" si="99"/>
        <v>92</v>
      </c>
      <c r="H2130" s="4">
        <f t="shared" si="100"/>
        <v>1.7348670563831825E-2</v>
      </c>
      <c r="I2130" s="1">
        <f t="shared" si="101"/>
        <v>11</v>
      </c>
    </row>
    <row r="2131" spans="1:9" hidden="1" x14ac:dyDescent="0.2">
      <c r="A2131" s="6">
        <v>43934.708333333336</v>
      </c>
      <c r="B2131" s="1" t="s">
        <v>14</v>
      </c>
      <c r="C2131">
        <v>959</v>
      </c>
      <c r="D2131">
        <v>108</v>
      </c>
      <c r="E2131">
        <v>713</v>
      </c>
      <c r="F2131">
        <v>5381</v>
      </c>
      <c r="G2131" s="3">
        <f t="shared" si="99"/>
        <v>78</v>
      </c>
      <c r="H2131" s="4">
        <f t="shared" si="100"/>
        <v>1.4495446942947354E-2</v>
      </c>
      <c r="I2131" s="1">
        <f t="shared" si="101"/>
        <v>13</v>
      </c>
    </row>
    <row r="2132" spans="1:9" hidden="1" x14ac:dyDescent="0.2">
      <c r="A2132" s="6">
        <v>43935.708333333336</v>
      </c>
      <c r="B2132" s="1" t="s">
        <v>14</v>
      </c>
      <c r="C2132">
        <v>937</v>
      </c>
      <c r="D2132">
        <v>106</v>
      </c>
      <c r="E2132">
        <v>728</v>
      </c>
      <c r="F2132">
        <v>5426</v>
      </c>
      <c r="G2132" s="3">
        <f t="shared" si="99"/>
        <v>45</v>
      </c>
      <c r="H2132" s="4">
        <f t="shared" si="100"/>
        <v>8.2934021378547884E-3</v>
      </c>
      <c r="I2132" s="1">
        <f t="shared" si="101"/>
        <v>15</v>
      </c>
    </row>
    <row r="2133" spans="1:9" hidden="1" x14ac:dyDescent="0.2">
      <c r="A2133" s="6">
        <v>43936.708333333336</v>
      </c>
      <c r="B2133" s="1" t="s">
        <v>14</v>
      </c>
      <c r="C2133">
        <v>888</v>
      </c>
      <c r="D2133">
        <v>106</v>
      </c>
      <c r="E2133">
        <v>746</v>
      </c>
      <c r="F2133">
        <v>5503</v>
      </c>
      <c r="G2133" s="3">
        <f t="shared" si="99"/>
        <v>77</v>
      </c>
      <c r="H2133" s="4">
        <f t="shared" si="100"/>
        <v>1.3992367799382177E-2</v>
      </c>
      <c r="I2133" s="1">
        <f t="shared" si="101"/>
        <v>18</v>
      </c>
    </row>
    <row r="2134" spans="1:9" hidden="1" x14ac:dyDescent="0.2">
      <c r="A2134" s="6">
        <v>43937.708333333336</v>
      </c>
      <c r="B2134" s="1" t="s">
        <v>14</v>
      </c>
      <c r="C2134">
        <v>850</v>
      </c>
      <c r="D2134">
        <v>102</v>
      </c>
      <c r="E2134">
        <v>764</v>
      </c>
      <c r="F2134">
        <v>5582</v>
      </c>
      <c r="G2134" s="3">
        <f t="shared" si="99"/>
        <v>79</v>
      </c>
      <c r="H2134" s="4">
        <f t="shared" si="100"/>
        <v>1.4152633464707964E-2</v>
      </c>
      <c r="I2134" s="1">
        <f t="shared" si="101"/>
        <v>18</v>
      </c>
    </row>
    <row r="2135" spans="1:9" hidden="1" x14ac:dyDescent="0.2">
      <c r="A2135" s="6">
        <v>43938.708333333336</v>
      </c>
      <c r="B2135" s="1" t="s">
        <v>14</v>
      </c>
      <c r="C2135">
        <v>839</v>
      </c>
      <c r="D2135">
        <v>94</v>
      </c>
      <c r="E2135">
        <v>785</v>
      </c>
      <c r="F2135">
        <v>5668</v>
      </c>
      <c r="G2135" s="3">
        <f t="shared" si="99"/>
        <v>86</v>
      </c>
      <c r="H2135" s="4">
        <f t="shared" si="100"/>
        <v>1.517290049400144E-2</v>
      </c>
      <c r="I2135" s="1">
        <f t="shared" si="101"/>
        <v>21</v>
      </c>
    </row>
    <row r="2136" spans="1:9" hidden="1" x14ac:dyDescent="0.2">
      <c r="A2136" s="6">
        <v>43939.708333333336</v>
      </c>
      <c r="B2136" s="1" t="s">
        <v>14</v>
      </c>
      <c r="C2136">
        <v>804</v>
      </c>
      <c r="D2136">
        <v>88</v>
      </c>
      <c r="E2136">
        <v>795</v>
      </c>
      <c r="F2136">
        <v>5721</v>
      </c>
      <c r="G2136" s="3">
        <f t="shared" si="99"/>
        <v>53</v>
      </c>
      <c r="H2136" s="4">
        <f t="shared" si="100"/>
        <v>9.2641146652683304E-3</v>
      </c>
      <c r="I2136" s="1">
        <f t="shared" si="101"/>
        <v>10</v>
      </c>
    </row>
    <row r="2137" spans="1:9" hidden="1" x14ac:dyDescent="0.2">
      <c r="A2137" s="6">
        <v>43940.708333333336</v>
      </c>
      <c r="B2137" s="1" t="s">
        <v>14</v>
      </c>
      <c r="C2137">
        <v>799</v>
      </c>
      <c r="D2137">
        <v>86</v>
      </c>
      <c r="E2137">
        <v>807</v>
      </c>
      <c r="F2137">
        <v>5769</v>
      </c>
      <c r="G2137" s="3">
        <f t="shared" si="99"/>
        <v>48</v>
      </c>
      <c r="H2137" s="4">
        <f t="shared" si="100"/>
        <v>8.3203328133125698E-3</v>
      </c>
      <c r="I2137" s="1">
        <f t="shared" si="101"/>
        <v>12</v>
      </c>
    </row>
    <row r="2138" spans="1:9" hidden="1" x14ac:dyDescent="0.2">
      <c r="A2138" s="6">
        <v>43941.708333333336</v>
      </c>
      <c r="B2138" s="1" t="s">
        <v>14</v>
      </c>
      <c r="C2138">
        <v>792</v>
      </c>
      <c r="D2138">
        <v>80</v>
      </c>
      <c r="E2138">
        <v>822</v>
      </c>
      <c r="F2138">
        <v>5826</v>
      </c>
      <c r="G2138" s="3">
        <f t="shared" si="99"/>
        <v>57</v>
      </c>
      <c r="H2138" s="4">
        <f t="shared" si="100"/>
        <v>9.7837281153450029E-3</v>
      </c>
      <c r="I2138" s="1">
        <f t="shared" si="101"/>
        <v>15</v>
      </c>
    </row>
    <row r="2139" spans="1:9" hidden="1" x14ac:dyDescent="0.2">
      <c r="A2139" s="6">
        <v>43942.708333333336</v>
      </c>
      <c r="B2139" s="1" t="s">
        <v>14</v>
      </c>
      <c r="C2139">
        <v>784</v>
      </c>
      <c r="D2139">
        <v>78</v>
      </c>
      <c r="E2139">
        <v>834</v>
      </c>
      <c r="F2139">
        <v>5877</v>
      </c>
      <c r="G2139" s="3">
        <f t="shared" si="99"/>
        <v>51</v>
      </c>
      <c r="H2139" s="4">
        <f t="shared" si="100"/>
        <v>8.6778968861663808E-3</v>
      </c>
      <c r="I2139" s="1">
        <f t="shared" si="101"/>
        <v>12</v>
      </c>
    </row>
    <row r="2140" spans="1:9" hidden="1" x14ac:dyDescent="0.2">
      <c r="A2140" s="6">
        <v>43943.708333333336</v>
      </c>
      <c r="B2140" s="1" t="s">
        <v>14</v>
      </c>
      <c r="C2140">
        <v>735</v>
      </c>
      <c r="D2140">
        <v>76</v>
      </c>
      <c r="E2140">
        <v>845</v>
      </c>
      <c r="F2140">
        <v>5924</v>
      </c>
      <c r="G2140" s="3">
        <f t="shared" si="99"/>
        <v>47</v>
      </c>
      <c r="H2140" s="4">
        <f t="shared" si="100"/>
        <v>7.9338284942606085E-3</v>
      </c>
      <c r="I2140" s="1">
        <f t="shared" si="101"/>
        <v>11</v>
      </c>
    </row>
    <row r="2141" spans="1:9" hidden="1" x14ac:dyDescent="0.2">
      <c r="A2141" s="6">
        <v>43944.708333333336</v>
      </c>
      <c r="B2141" s="1" t="s">
        <v>14</v>
      </c>
      <c r="C2141">
        <v>727</v>
      </c>
      <c r="D2141">
        <v>71</v>
      </c>
      <c r="E2141">
        <v>857</v>
      </c>
      <c r="F2141">
        <v>5952</v>
      </c>
      <c r="G2141" s="3">
        <f t="shared" si="99"/>
        <v>28</v>
      </c>
      <c r="H2141" s="4">
        <f t="shared" si="100"/>
        <v>4.7043010752688685E-3</v>
      </c>
      <c r="I2141" s="1">
        <f t="shared" si="101"/>
        <v>12</v>
      </c>
    </row>
    <row r="2142" spans="1:9" hidden="1" x14ac:dyDescent="0.2">
      <c r="A2142" s="6">
        <v>43945.708333333336</v>
      </c>
      <c r="B2142" s="1" t="s">
        <v>14</v>
      </c>
      <c r="C2142">
        <v>705</v>
      </c>
      <c r="D2142">
        <v>61</v>
      </c>
      <c r="E2142">
        <v>865</v>
      </c>
      <c r="F2142">
        <v>6028</v>
      </c>
      <c r="G2142" s="3">
        <f t="shared" si="99"/>
        <v>76</v>
      </c>
      <c r="H2142" s="4">
        <f t="shared" si="100"/>
        <v>1.2607830126078357E-2</v>
      </c>
      <c r="I2142" s="1">
        <f t="shared" si="101"/>
        <v>8</v>
      </c>
    </row>
    <row r="2143" spans="1:9" hidden="1" x14ac:dyDescent="0.2">
      <c r="A2143" s="6">
        <v>43946.708333333336</v>
      </c>
      <c r="B2143" s="1" t="s">
        <v>14</v>
      </c>
      <c r="C2143">
        <v>689</v>
      </c>
      <c r="D2143">
        <v>58</v>
      </c>
      <c r="E2143">
        <v>874</v>
      </c>
      <c r="F2143">
        <v>6058</v>
      </c>
      <c r="G2143" s="3">
        <f t="shared" si="99"/>
        <v>30</v>
      </c>
      <c r="H2143" s="4">
        <f t="shared" si="100"/>
        <v>4.9521294156487095E-3</v>
      </c>
      <c r="I2143" s="1">
        <f t="shared" si="101"/>
        <v>9</v>
      </c>
    </row>
    <row r="2144" spans="1:9" hidden="1" x14ac:dyDescent="0.2">
      <c r="A2144" s="6">
        <v>43947.708333333336</v>
      </c>
      <c r="B2144" s="1" t="s">
        <v>14</v>
      </c>
      <c r="C2144">
        <v>668</v>
      </c>
      <c r="D2144">
        <v>58</v>
      </c>
      <c r="E2144">
        <v>879</v>
      </c>
      <c r="F2144">
        <v>6111</v>
      </c>
      <c r="G2144" s="3">
        <f t="shared" si="99"/>
        <v>53</v>
      </c>
      <c r="H2144" s="4">
        <f t="shared" si="100"/>
        <v>8.6728849615447245E-3</v>
      </c>
      <c r="I2144" s="1">
        <f t="shared" si="101"/>
        <v>5</v>
      </c>
    </row>
    <row r="2145" spans="1:9" hidden="1" x14ac:dyDescent="0.2">
      <c r="A2145" s="6">
        <v>43948.708333333336</v>
      </c>
      <c r="B2145" s="1" t="s">
        <v>14</v>
      </c>
      <c r="C2145">
        <v>667</v>
      </c>
      <c r="D2145">
        <v>58</v>
      </c>
      <c r="E2145">
        <v>884</v>
      </c>
      <c r="F2145">
        <v>6127</v>
      </c>
      <c r="G2145" s="3">
        <f t="shared" si="99"/>
        <v>16</v>
      </c>
      <c r="H2145" s="4">
        <f t="shared" si="100"/>
        <v>2.611392198465845E-3</v>
      </c>
      <c r="I2145" s="1">
        <f t="shared" si="101"/>
        <v>5</v>
      </c>
    </row>
    <row r="2146" spans="1:9" hidden="1" x14ac:dyDescent="0.2">
      <c r="A2146" s="6">
        <v>43949.708333333336</v>
      </c>
      <c r="B2146" s="1" t="s">
        <v>14</v>
      </c>
      <c r="C2146">
        <v>666</v>
      </c>
      <c r="D2146">
        <v>58</v>
      </c>
      <c r="E2146">
        <v>893</v>
      </c>
      <c r="F2146">
        <v>6175</v>
      </c>
      <c r="G2146" s="3">
        <f t="shared" si="99"/>
        <v>48</v>
      </c>
      <c r="H2146" s="4">
        <f t="shared" si="100"/>
        <v>7.7732793522267141E-3</v>
      </c>
      <c r="I2146" s="1">
        <f t="shared" si="101"/>
        <v>9</v>
      </c>
    </row>
    <row r="2147" spans="1:9" hidden="1" x14ac:dyDescent="0.2">
      <c r="A2147" s="6">
        <v>43950.708333333336</v>
      </c>
      <c r="B2147" s="1" t="s">
        <v>14</v>
      </c>
      <c r="C2147">
        <v>640</v>
      </c>
      <c r="D2147">
        <v>52</v>
      </c>
      <c r="E2147">
        <v>899</v>
      </c>
      <c r="F2147">
        <v>6210</v>
      </c>
      <c r="G2147" s="3">
        <f t="shared" si="99"/>
        <v>35</v>
      </c>
      <c r="H2147" s="4">
        <f t="shared" si="100"/>
        <v>5.6360708534621828E-3</v>
      </c>
      <c r="I2147" s="1">
        <f t="shared" si="101"/>
        <v>6</v>
      </c>
    </row>
    <row r="2148" spans="1:9" hidden="1" x14ac:dyDescent="0.2">
      <c r="A2148" s="6">
        <v>43951.708333333336</v>
      </c>
      <c r="B2148" s="1" t="s">
        <v>14</v>
      </c>
      <c r="C2148">
        <v>465</v>
      </c>
      <c r="D2148">
        <v>48</v>
      </c>
      <c r="E2148">
        <v>906</v>
      </c>
      <c r="F2148">
        <v>6247</v>
      </c>
      <c r="G2148" s="3">
        <f t="shared" si="99"/>
        <v>37</v>
      </c>
      <c r="H2148" s="4">
        <f t="shared" si="100"/>
        <v>5.9228429646229763E-3</v>
      </c>
      <c r="I2148" s="1">
        <f t="shared" si="101"/>
        <v>7</v>
      </c>
    </row>
    <row r="2149" spans="1:9" hidden="1" x14ac:dyDescent="0.2">
      <c r="A2149" s="6">
        <v>43952.708333333336</v>
      </c>
      <c r="B2149" s="1" t="s">
        <v>14</v>
      </c>
      <c r="C2149">
        <v>413</v>
      </c>
      <c r="D2149">
        <v>44</v>
      </c>
      <c r="E2149">
        <v>911</v>
      </c>
      <c r="F2149">
        <v>6275</v>
      </c>
      <c r="G2149" s="3">
        <f t="shared" si="99"/>
        <v>28</v>
      </c>
      <c r="H2149" s="4">
        <f t="shared" si="100"/>
        <v>4.4621513944222979E-3</v>
      </c>
      <c r="I2149" s="1">
        <f t="shared" si="101"/>
        <v>5</v>
      </c>
    </row>
    <row r="2150" spans="1:9" hidden="1" x14ac:dyDescent="0.2">
      <c r="A2150" s="6">
        <v>43953.708333333336</v>
      </c>
      <c r="B2150" s="1" t="s">
        <v>14</v>
      </c>
      <c r="C2150">
        <v>399</v>
      </c>
      <c r="D2150">
        <v>46</v>
      </c>
      <c r="E2150">
        <v>916</v>
      </c>
      <c r="F2150">
        <v>6298</v>
      </c>
      <c r="G2150" s="3">
        <f t="shared" si="99"/>
        <v>23</v>
      </c>
      <c r="H2150" s="4">
        <f t="shared" si="100"/>
        <v>3.6519530009526679E-3</v>
      </c>
      <c r="I2150" s="1">
        <f t="shared" si="101"/>
        <v>5</v>
      </c>
    </row>
    <row r="2151" spans="1:9" hidden="1" x14ac:dyDescent="0.2">
      <c r="A2151" s="6">
        <v>43954.708333333336</v>
      </c>
      <c r="B2151" s="1" t="s">
        <v>14</v>
      </c>
      <c r="C2151">
        <v>400</v>
      </c>
      <c r="D2151">
        <v>43</v>
      </c>
      <c r="E2151">
        <v>927</v>
      </c>
      <c r="F2151">
        <v>6319</v>
      </c>
      <c r="G2151" s="3">
        <f t="shared" si="99"/>
        <v>21</v>
      </c>
      <c r="H2151" s="4">
        <f t="shared" si="100"/>
        <v>3.3233106504193533E-3</v>
      </c>
      <c r="I2151" s="1">
        <f t="shared" si="101"/>
        <v>11</v>
      </c>
    </row>
    <row r="2152" spans="1:9" hidden="1" x14ac:dyDescent="0.2">
      <c r="A2152" s="6">
        <v>43955.708333333336</v>
      </c>
      <c r="B2152" s="1" t="s">
        <v>14</v>
      </c>
      <c r="C2152">
        <v>389</v>
      </c>
      <c r="D2152">
        <v>44</v>
      </c>
      <c r="E2152">
        <v>932</v>
      </c>
      <c r="F2152">
        <v>6363</v>
      </c>
      <c r="G2152" s="3">
        <f t="shared" si="99"/>
        <v>44</v>
      </c>
      <c r="H2152" s="4">
        <f t="shared" si="100"/>
        <v>6.9149772120069564E-3</v>
      </c>
      <c r="I2152" s="1">
        <f t="shared" si="101"/>
        <v>5</v>
      </c>
    </row>
    <row r="2153" spans="1:9" hidden="1" x14ac:dyDescent="0.2">
      <c r="A2153" s="6">
        <v>43956.708333333336</v>
      </c>
      <c r="B2153" s="1" t="s">
        <v>14</v>
      </c>
      <c r="C2153">
        <v>387</v>
      </c>
      <c r="D2153">
        <v>42</v>
      </c>
      <c r="E2153">
        <v>936</v>
      </c>
      <c r="F2153">
        <v>6392</v>
      </c>
      <c r="G2153" s="3">
        <f t="shared" si="99"/>
        <v>29</v>
      </c>
      <c r="H2153" s="4">
        <f t="shared" si="100"/>
        <v>4.5369211514393326E-3</v>
      </c>
      <c r="I2153" s="1">
        <f t="shared" si="101"/>
        <v>4</v>
      </c>
    </row>
    <row r="2154" spans="1:9" hidden="1" x14ac:dyDescent="0.2">
      <c r="A2154" s="6">
        <v>43957.708333333336</v>
      </c>
      <c r="B2154" s="1" t="s">
        <v>14</v>
      </c>
      <c r="C2154">
        <v>353</v>
      </c>
      <c r="D2154">
        <v>42</v>
      </c>
      <c r="E2154">
        <v>943</v>
      </c>
      <c r="F2154">
        <v>6421</v>
      </c>
      <c r="G2154" s="3">
        <f t="shared" si="99"/>
        <v>29</v>
      </c>
      <c r="H2154" s="4">
        <f t="shared" si="100"/>
        <v>4.516430462544796E-3</v>
      </c>
      <c r="I2154" s="1">
        <f t="shared" si="101"/>
        <v>7</v>
      </c>
    </row>
    <row r="2155" spans="1:9" hidden="1" x14ac:dyDescent="0.2">
      <c r="A2155" s="6">
        <v>43958.708333333336</v>
      </c>
      <c r="B2155" s="1" t="s">
        <v>14</v>
      </c>
      <c r="C2155">
        <v>328</v>
      </c>
      <c r="D2155">
        <v>41</v>
      </c>
      <c r="E2155">
        <v>948</v>
      </c>
      <c r="F2155">
        <v>6452</v>
      </c>
      <c r="G2155" s="3">
        <f t="shared" si="99"/>
        <v>31</v>
      </c>
      <c r="H2155" s="4">
        <f t="shared" si="100"/>
        <v>4.8047117172970166E-3</v>
      </c>
      <c r="I2155" s="1">
        <f t="shared" si="101"/>
        <v>5</v>
      </c>
    </row>
    <row r="2156" spans="1:9" hidden="1" x14ac:dyDescent="0.2">
      <c r="A2156" s="6">
        <v>43959.708333333336</v>
      </c>
      <c r="B2156" s="1" t="s">
        <v>14</v>
      </c>
      <c r="C2156">
        <v>303</v>
      </c>
      <c r="D2156">
        <v>38</v>
      </c>
      <c r="E2156">
        <v>954</v>
      </c>
      <c r="F2156">
        <v>6470</v>
      </c>
      <c r="G2156" s="3">
        <f t="shared" si="99"/>
        <v>18</v>
      </c>
      <c r="H2156" s="4">
        <f t="shared" si="100"/>
        <v>2.782071097372496E-3</v>
      </c>
      <c r="I2156" s="1">
        <f t="shared" si="101"/>
        <v>6</v>
      </c>
    </row>
    <row r="2157" spans="1:9" hidden="1" x14ac:dyDescent="0.2">
      <c r="A2157" s="6">
        <v>43960.708333333336</v>
      </c>
      <c r="B2157" s="1" t="s">
        <v>14</v>
      </c>
      <c r="C2157">
        <v>285</v>
      </c>
      <c r="D2157">
        <v>32</v>
      </c>
      <c r="E2157">
        <v>958</v>
      </c>
      <c r="F2157">
        <v>6493</v>
      </c>
      <c r="G2157" s="3">
        <f t="shared" si="99"/>
        <v>23</v>
      </c>
      <c r="H2157" s="4">
        <f t="shared" si="100"/>
        <v>3.5422762975512168E-3</v>
      </c>
      <c r="I2157" s="1">
        <f t="shared" si="101"/>
        <v>4</v>
      </c>
    </row>
    <row r="2158" spans="1:9" hidden="1" x14ac:dyDescent="0.2">
      <c r="A2158" s="6">
        <v>43961.708333333336</v>
      </c>
      <c r="B2158" s="1" t="s">
        <v>14</v>
      </c>
      <c r="C2158">
        <v>284</v>
      </c>
      <c r="D2158">
        <v>30</v>
      </c>
      <c r="E2158">
        <v>960</v>
      </c>
      <c r="F2158">
        <v>6533</v>
      </c>
      <c r="G2158" s="3">
        <f t="shared" si="99"/>
        <v>40</v>
      </c>
      <c r="H2158" s="4">
        <f t="shared" si="100"/>
        <v>6.1227613653758173E-3</v>
      </c>
      <c r="I2158" s="1">
        <f t="shared" si="101"/>
        <v>2</v>
      </c>
    </row>
    <row r="2159" spans="1:9" hidden="1" x14ac:dyDescent="0.2">
      <c r="A2159" s="6">
        <v>43962.708333333336</v>
      </c>
      <c r="B2159" s="1" t="s">
        <v>14</v>
      </c>
      <c r="C2159">
        <v>277</v>
      </c>
      <c r="D2159">
        <v>28</v>
      </c>
      <c r="E2159">
        <v>964</v>
      </c>
      <c r="F2159">
        <v>6543</v>
      </c>
      <c r="G2159" s="3">
        <f t="shared" si="99"/>
        <v>10</v>
      </c>
      <c r="H2159" s="4">
        <f t="shared" si="100"/>
        <v>1.5283509093687586E-3</v>
      </c>
      <c r="I2159" s="1">
        <f t="shared" si="101"/>
        <v>4</v>
      </c>
    </row>
    <row r="2160" spans="1:9" hidden="1" x14ac:dyDescent="0.2">
      <c r="A2160" s="6">
        <v>43963.708333333336</v>
      </c>
      <c r="B2160" s="1" t="s">
        <v>14</v>
      </c>
      <c r="C2160">
        <v>230</v>
      </c>
      <c r="D2160">
        <v>24</v>
      </c>
      <c r="E2160">
        <v>969</v>
      </c>
      <c r="F2160">
        <v>6568</v>
      </c>
      <c r="G2160" s="3">
        <f t="shared" si="99"/>
        <v>25</v>
      </c>
      <c r="H2160" s="4">
        <f t="shared" si="100"/>
        <v>3.8063337393422492E-3</v>
      </c>
      <c r="I2160" s="1">
        <f t="shared" si="101"/>
        <v>5</v>
      </c>
    </row>
    <row r="2161" spans="1:9" hidden="1" x14ac:dyDescent="0.2">
      <c r="A2161" s="6">
        <v>43964.708333333336</v>
      </c>
      <c r="B2161" s="1" t="s">
        <v>14</v>
      </c>
      <c r="C2161">
        <v>211</v>
      </c>
      <c r="D2161">
        <v>20</v>
      </c>
      <c r="E2161">
        <v>971</v>
      </c>
      <c r="F2161">
        <v>6588</v>
      </c>
      <c r="G2161" s="3">
        <f t="shared" si="99"/>
        <v>20</v>
      </c>
      <c r="H2161" s="4">
        <f t="shared" si="100"/>
        <v>3.0358227079538835E-3</v>
      </c>
      <c r="I2161" s="1">
        <f t="shared" si="101"/>
        <v>2</v>
      </c>
    </row>
    <row r="2162" spans="1:9" hidden="1" x14ac:dyDescent="0.2">
      <c r="A2162" s="6">
        <v>43965.708333333336</v>
      </c>
      <c r="B2162" s="1" t="s">
        <v>14</v>
      </c>
      <c r="C2162">
        <v>189</v>
      </c>
      <c r="D2162">
        <v>18</v>
      </c>
      <c r="E2162">
        <v>974</v>
      </c>
      <c r="F2162">
        <v>6603</v>
      </c>
      <c r="G2162" s="3">
        <f t="shared" si="99"/>
        <v>15</v>
      </c>
      <c r="H2162" s="4">
        <f t="shared" si="100"/>
        <v>2.2716946842344932E-3</v>
      </c>
      <c r="I2162" s="1">
        <f t="shared" si="101"/>
        <v>3</v>
      </c>
    </row>
    <row r="2163" spans="1:9" hidden="1" x14ac:dyDescent="0.2">
      <c r="A2163" s="6">
        <v>43966.708333333336</v>
      </c>
      <c r="B2163" s="1" t="s">
        <v>14</v>
      </c>
      <c r="C2163">
        <v>178</v>
      </c>
      <c r="D2163">
        <v>18</v>
      </c>
      <c r="E2163">
        <v>977</v>
      </c>
      <c r="F2163">
        <v>6619</v>
      </c>
      <c r="G2163" s="3">
        <f t="shared" si="99"/>
        <v>16</v>
      </c>
      <c r="H2163" s="4">
        <f t="shared" si="100"/>
        <v>2.4172835775796431E-3</v>
      </c>
      <c r="I2163" s="1">
        <f t="shared" si="101"/>
        <v>3</v>
      </c>
    </row>
    <row r="2164" spans="1:9" hidden="1" x14ac:dyDescent="0.2">
      <c r="A2164" s="6">
        <v>43967.708333333336</v>
      </c>
      <c r="B2164" s="1" t="s">
        <v>14</v>
      </c>
      <c r="C2164">
        <v>154</v>
      </c>
      <c r="D2164">
        <v>17</v>
      </c>
      <c r="E2164">
        <v>982</v>
      </c>
      <c r="F2164">
        <v>6642</v>
      </c>
      <c r="G2164" s="3">
        <f t="shared" si="99"/>
        <v>23</v>
      </c>
      <c r="H2164" s="4">
        <f t="shared" si="100"/>
        <v>3.4628124059018495E-3</v>
      </c>
      <c r="I2164" s="1">
        <f t="shared" si="101"/>
        <v>5</v>
      </c>
    </row>
    <row r="2165" spans="1:9" hidden="1" x14ac:dyDescent="0.2">
      <c r="A2165" s="6">
        <v>43968.708333333336</v>
      </c>
      <c r="B2165" s="1" t="s">
        <v>14</v>
      </c>
      <c r="C2165">
        <v>151</v>
      </c>
      <c r="D2165">
        <v>18</v>
      </c>
      <c r="E2165">
        <v>984</v>
      </c>
      <c r="F2165">
        <v>6667</v>
      </c>
      <c r="G2165" s="3">
        <f t="shared" si="99"/>
        <v>25</v>
      </c>
      <c r="H2165" s="4">
        <f t="shared" si="100"/>
        <v>3.7498125093745616E-3</v>
      </c>
      <c r="I2165" s="1">
        <f t="shared" si="101"/>
        <v>2</v>
      </c>
    </row>
    <row r="2166" spans="1:9" hidden="1" x14ac:dyDescent="0.2">
      <c r="A2166" s="6">
        <v>43969.708333333336</v>
      </c>
      <c r="B2166" s="1" t="s">
        <v>14</v>
      </c>
      <c r="C2166">
        <v>156</v>
      </c>
      <c r="D2166">
        <v>17</v>
      </c>
      <c r="E2166">
        <v>984</v>
      </c>
      <c r="F2166">
        <v>6678</v>
      </c>
      <c r="G2166" s="3">
        <f t="shared" si="99"/>
        <v>11</v>
      </c>
      <c r="H2166" s="4">
        <f t="shared" si="100"/>
        <v>1.6471997604072808E-3</v>
      </c>
      <c r="I2166" s="1">
        <f t="shared" si="101"/>
        <v>0</v>
      </c>
    </row>
    <row r="2167" spans="1:9" hidden="1" x14ac:dyDescent="0.2">
      <c r="A2167" s="6">
        <v>43970.708333333336</v>
      </c>
      <c r="B2167" s="1" t="s">
        <v>14</v>
      </c>
      <c r="C2167">
        <v>144</v>
      </c>
      <c r="D2167">
        <v>17</v>
      </c>
      <c r="E2167">
        <v>986</v>
      </c>
      <c r="F2167">
        <v>6675</v>
      </c>
      <c r="G2167" s="3">
        <f t="shared" si="99"/>
        <v>-3</v>
      </c>
      <c r="H2167" s="4">
        <f t="shared" si="100"/>
        <v>-4.4943820224729869E-4</v>
      </c>
      <c r="I2167" s="1">
        <f t="shared" si="101"/>
        <v>2</v>
      </c>
    </row>
    <row r="2168" spans="1:9" hidden="1" x14ac:dyDescent="0.2">
      <c r="A2168" s="6">
        <v>43971.708333333336</v>
      </c>
      <c r="B2168" s="1" t="s">
        <v>14</v>
      </c>
      <c r="C2168">
        <v>125</v>
      </c>
      <c r="D2168">
        <v>16</v>
      </c>
      <c r="E2168">
        <v>987</v>
      </c>
      <c r="F2168">
        <v>6677</v>
      </c>
      <c r="G2168" s="3">
        <f t="shared" si="99"/>
        <v>2</v>
      </c>
      <c r="H2168" s="4">
        <f t="shared" si="100"/>
        <v>2.9953571963459158E-4</v>
      </c>
      <c r="I2168" s="1">
        <f t="shared" si="101"/>
        <v>1</v>
      </c>
    </row>
    <row r="2169" spans="1:9" hidden="1" x14ac:dyDescent="0.2">
      <c r="A2169" s="6">
        <v>43972.708333333336</v>
      </c>
      <c r="B2169" s="1" t="s">
        <v>14</v>
      </c>
      <c r="C2169">
        <v>111</v>
      </c>
      <c r="D2169">
        <v>16</v>
      </c>
      <c r="E2169">
        <v>990</v>
      </c>
      <c r="F2169">
        <v>6689</v>
      </c>
      <c r="G2169" s="3">
        <f t="shared" si="99"/>
        <v>12</v>
      </c>
      <c r="H2169" s="4">
        <f t="shared" si="100"/>
        <v>1.7939901330542574E-3</v>
      </c>
      <c r="I2169" s="1">
        <f t="shared" si="101"/>
        <v>3</v>
      </c>
    </row>
    <row r="2170" spans="1:9" hidden="1" x14ac:dyDescent="0.2">
      <c r="A2170" s="6">
        <v>43973.708333333336</v>
      </c>
      <c r="B2170" s="1" t="s">
        <v>14</v>
      </c>
      <c r="C2170">
        <v>101</v>
      </c>
      <c r="D2170">
        <v>15</v>
      </c>
      <c r="E2170">
        <v>990</v>
      </c>
      <c r="F2170">
        <v>6697</v>
      </c>
      <c r="G2170" s="3">
        <f t="shared" si="99"/>
        <v>8</v>
      </c>
      <c r="H2170" s="4">
        <f t="shared" si="100"/>
        <v>1.1945647304762996E-3</v>
      </c>
      <c r="I2170" s="1">
        <f t="shared" si="101"/>
        <v>0</v>
      </c>
    </row>
    <row r="2171" spans="1:9" hidden="1" x14ac:dyDescent="0.2">
      <c r="A2171" s="6">
        <v>43974.708333333336</v>
      </c>
      <c r="B2171" s="1" t="s">
        <v>14</v>
      </c>
      <c r="C2171">
        <v>100</v>
      </c>
      <c r="D2171">
        <v>15</v>
      </c>
      <c r="E2171">
        <v>993</v>
      </c>
      <c r="F2171">
        <v>6701</v>
      </c>
      <c r="G2171" s="3">
        <f t="shared" si="99"/>
        <v>4</v>
      </c>
      <c r="H2171" s="4">
        <f t="shared" si="100"/>
        <v>5.9692583196535587E-4</v>
      </c>
      <c r="I2171" s="1">
        <f t="shared" si="101"/>
        <v>3</v>
      </c>
    </row>
    <row r="2172" spans="1:9" hidden="1" x14ac:dyDescent="0.2">
      <c r="A2172" s="6">
        <v>43975.708333333336</v>
      </c>
      <c r="B2172" s="1" t="s">
        <v>14</v>
      </c>
      <c r="C2172">
        <v>101</v>
      </c>
      <c r="D2172">
        <v>13</v>
      </c>
      <c r="E2172">
        <v>994</v>
      </c>
      <c r="F2172">
        <v>6714</v>
      </c>
      <c r="G2172" s="3">
        <f t="shared" si="99"/>
        <v>13</v>
      </c>
      <c r="H2172" s="4">
        <f t="shared" si="100"/>
        <v>1.9362526064938823E-3</v>
      </c>
      <c r="I2172" s="1">
        <f t="shared" si="101"/>
        <v>1</v>
      </c>
    </row>
    <row r="2173" spans="1:9" hidden="1" x14ac:dyDescent="0.2">
      <c r="A2173" s="6">
        <v>43976.708333333336</v>
      </c>
      <c r="B2173" s="1" t="s">
        <v>14</v>
      </c>
      <c r="C2173">
        <v>95</v>
      </c>
      <c r="D2173">
        <v>13</v>
      </c>
      <c r="E2173">
        <v>995</v>
      </c>
      <c r="F2173">
        <v>6716</v>
      </c>
      <c r="G2173" s="3">
        <f t="shared" si="99"/>
        <v>2</v>
      </c>
      <c r="H2173" s="4">
        <f t="shared" si="100"/>
        <v>2.9779630732573725E-4</v>
      </c>
      <c r="I2173" s="1">
        <f t="shared" si="101"/>
        <v>1</v>
      </c>
    </row>
    <row r="2174" spans="1:9" hidden="1" x14ac:dyDescent="0.2">
      <c r="A2174" s="6">
        <v>43977.708333333336</v>
      </c>
      <c r="B2174" s="1" t="s">
        <v>14</v>
      </c>
      <c r="C2174">
        <v>94</v>
      </c>
      <c r="D2174">
        <v>13</v>
      </c>
      <c r="E2174">
        <v>996</v>
      </c>
      <c r="F2174">
        <v>6718</v>
      </c>
      <c r="G2174" s="3">
        <f t="shared" si="99"/>
        <v>2</v>
      </c>
      <c r="H2174" s="4">
        <f t="shared" si="100"/>
        <v>2.9770765108660946E-4</v>
      </c>
      <c r="I2174" s="1">
        <f t="shared" si="101"/>
        <v>1</v>
      </c>
    </row>
    <row r="2175" spans="1:9" hidden="1" x14ac:dyDescent="0.2">
      <c r="A2175" s="6">
        <v>43978.708333333336</v>
      </c>
      <c r="B2175" s="1" t="s">
        <v>14</v>
      </c>
      <c r="C2175">
        <v>90</v>
      </c>
      <c r="D2175">
        <v>13</v>
      </c>
      <c r="E2175">
        <v>996</v>
      </c>
      <c r="F2175">
        <v>6718</v>
      </c>
      <c r="G2175" s="3">
        <f t="shared" si="99"/>
        <v>0</v>
      </c>
      <c r="H2175" s="4">
        <f t="shared" si="100"/>
        <v>0</v>
      </c>
      <c r="I2175" s="1">
        <f t="shared" si="101"/>
        <v>0</v>
      </c>
    </row>
    <row r="2176" spans="1:9" hidden="1" x14ac:dyDescent="0.2">
      <c r="A2176" s="6">
        <v>43979.708333333336</v>
      </c>
      <c r="B2176" s="1" t="s">
        <v>14</v>
      </c>
      <c r="C2176">
        <v>79</v>
      </c>
      <c r="D2176">
        <v>13</v>
      </c>
      <c r="E2176">
        <v>997</v>
      </c>
      <c r="F2176">
        <v>6719</v>
      </c>
      <c r="G2176" s="3">
        <f t="shared" si="99"/>
        <v>1</v>
      </c>
      <c r="H2176" s="4">
        <f t="shared" si="100"/>
        <v>1.4883167137969E-4</v>
      </c>
      <c r="I2176" s="1">
        <f t="shared" si="101"/>
        <v>1</v>
      </c>
    </row>
    <row r="2177" spans="1:9" hidden="1" x14ac:dyDescent="0.2">
      <c r="A2177" s="6">
        <v>43980.708333333336</v>
      </c>
      <c r="B2177" s="1" t="s">
        <v>14</v>
      </c>
      <c r="C2177">
        <v>69</v>
      </c>
      <c r="D2177">
        <v>9</v>
      </c>
      <c r="E2177">
        <v>986</v>
      </c>
      <c r="F2177">
        <v>6723</v>
      </c>
      <c r="G2177" s="3">
        <f t="shared" si="99"/>
        <v>4</v>
      </c>
      <c r="H2177" s="4">
        <f t="shared" si="100"/>
        <v>5.949724825227154E-4</v>
      </c>
      <c r="I2177" s="1">
        <f t="shared" si="101"/>
        <v>-11</v>
      </c>
    </row>
    <row r="2178" spans="1:9" hidden="1" x14ac:dyDescent="0.2">
      <c r="A2178" s="6">
        <v>43981.708333333336</v>
      </c>
      <c r="B2178" s="1" t="s">
        <v>14</v>
      </c>
      <c r="C2178">
        <v>66</v>
      </c>
      <c r="D2178">
        <v>9</v>
      </c>
      <c r="E2178">
        <v>987</v>
      </c>
      <c r="F2178">
        <v>6727</v>
      </c>
      <c r="G2178" s="3">
        <f t="shared" si="99"/>
        <v>4</v>
      </c>
      <c r="H2178" s="4">
        <f t="shared" si="100"/>
        <v>5.9461870075816492E-4</v>
      </c>
      <c r="I2178" s="1">
        <f t="shared" si="101"/>
        <v>1</v>
      </c>
    </row>
    <row r="2179" spans="1:9" hidden="1" x14ac:dyDescent="0.2">
      <c r="A2179" s="6">
        <v>43982.708333333336</v>
      </c>
      <c r="B2179" s="1" t="s">
        <v>14</v>
      </c>
      <c r="C2179">
        <v>62</v>
      </c>
      <c r="D2179">
        <v>9</v>
      </c>
      <c r="E2179">
        <v>987</v>
      </c>
      <c r="F2179">
        <v>6730</v>
      </c>
      <c r="G2179" s="3">
        <f t="shared" ref="G2179:G2242" si="102">IF(AND(F2179&gt;0,AND(B2179=B2178,F2179&gt;0)),F2179-F2178,0)</f>
        <v>3</v>
      </c>
      <c r="H2179" s="4">
        <f t="shared" ref="H2179:H2242" si="103">IF(AND(F2178&gt;0,AND(B2179=B2178,F2178&gt;0)),1-(F2178/F2179),0)</f>
        <v>4.4576523031203408E-4</v>
      </c>
      <c r="I2179" s="1">
        <f t="shared" ref="I2179:I2242" si="104">IF(AND(E2179&gt;0,AND(B2179=B2178,E2179&gt;0)),E2179-E2178,0)</f>
        <v>0</v>
      </c>
    </row>
    <row r="2180" spans="1:9" hidden="1" x14ac:dyDescent="0.2">
      <c r="A2180" s="6">
        <v>43983.708333333336</v>
      </c>
      <c r="B2180" s="1" t="s">
        <v>14</v>
      </c>
      <c r="C2180">
        <v>63</v>
      </c>
      <c r="D2180">
        <v>9</v>
      </c>
      <c r="E2180">
        <v>987</v>
      </c>
      <c r="F2180">
        <v>6730</v>
      </c>
      <c r="G2180" s="3">
        <f t="shared" si="102"/>
        <v>0</v>
      </c>
      <c r="H2180" s="4">
        <f t="shared" si="103"/>
        <v>0</v>
      </c>
      <c r="I2180" s="1">
        <f t="shared" si="104"/>
        <v>0</v>
      </c>
    </row>
    <row r="2181" spans="1:9" hidden="1" x14ac:dyDescent="0.2">
      <c r="A2181" s="6">
        <v>43984.708333333336</v>
      </c>
      <c r="B2181" s="1" t="s">
        <v>14</v>
      </c>
      <c r="C2181">
        <v>60</v>
      </c>
      <c r="D2181">
        <v>9</v>
      </c>
      <c r="E2181">
        <v>987</v>
      </c>
      <c r="F2181">
        <v>6734</v>
      </c>
      <c r="G2181" s="3">
        <f t="shared" si="102"/>
        <v>4</v>
      </c>
      <c r="H2181" s="4">
        <f t="shared" si="103"/>
        <v>5.9400059400060989E-4</v>
      </c>
      <c r="I2181" s="1">
        <f t="shared" si="104"/>
        <v>0</v>
      </c>
    </row>
    <row r="2182" spans="1:9" hidden="1" x14ac:dyDescent="0.2">
      <c r="A2182" s="6">
        <v>43985.708333333336</v>
      </c>
      <c r="B2182" s="1" t="s">
        <v>14</v>
      </c>
      <c r="C2182">
        <v>57</v>
      </c>
      <c r="D2182">
        <v>8</v>
      </c>
      <c r="E2182">
        <v>987</v>
      </c>
      <c r="F2182">
        <v>6735</v>
      </c>
      <c r="G2182" s="3">
        <f t="shared" si="102"/>
        <v>1</v>
      </c>
      <c r="H2182" s="4">
        <f t="shared" si="103"/>
        <v>1.4847809948037582E-4</v>
      </c>
      <c r="I2182" s="1">
        <f t="shared" si="104"/>
        <v>0</v>
      </c>
    </row>
    <row r="2183" spans="1:9" hidden="1" x14ac:dyDescent="0.2">
      <c r="A2183" s="6">
        <v>43986.708333333336</v>
      </c>
      <c r="B2183" s="1" t="s">
        <v>14</v>
      </c>
      <c r="C2183">
        <v>52</v>
      </c>
      <c r="D2183">
        <v>5</v>
      </c>
      <c r="E2183">
        <v>988</v>
      </c>
      <c r="F2183">
        <v>6738</v>
      </c>
      <c r="G2183" s="3">
        <f t="shared" si="102"/>
        <v>3</v>
      </c>
      <c r="H2183" s="4">
        <f t="shared" si="103"/>
        <v>4.4523597506673784E-4</v>
      </c>
      <c r="I2183" s="1">
        <f t="shared" si="104"/>
        <v>1</v>
      </c>
    </row>
    <row r="2184" spans="1:9" hidden="1" x14ac:dyDescent="0.2">
      <c r="A2184" s="6">
        <v>43987.708333333336</v>
      </c>
      <c r="B2184" s="1" t="s">
        <v>14</v>
      </c>
      <c r="C2184">
        <v>50</v>
      </c>
      <c r="D2184">
        <v>5</v>
      </c>
      <c r="E2184">
        <v>989</v>
      </c>
      <c r="F2184">
        <v>6740</v>
      </c>
      <c r="G2184" s="3">
        <f t="shared" si="102"/>
        <v>2</v>
      </c>
      <c r="H2184" s="4">
        <f t="shared" si="103"/>
        <v>2.9673590504453173E-4</v>
      </c>
      <c r="I2184" s="1">
        <f t="shared" si="104"/>
        <v>1</v>
      </c>
    </row>
    <row r="2185" spans="1:9" hidden="1" x14ac:dyDescent="0.2">
      <c r="A2185" s="6">
        <v>43988.708333333336</v>
      </c>
      <c r="B2185" s="1" t="s">
        <v>14</v>
      </c>
      <c r="C2185">
        <v>46</v>
      </c>
      <c r="D2185">
        <v>3</v>
      </c>
      <c r="E2185">
        <v>991</v>
      </c>
      <c r="F2185">
        <v>6742</v>
      </c>
      <c r="G2185" s="3">
        <f t="shared" si="102"/>
        <v>2</v>
      </c>
      <c r="H2185" s="4">
        <f t="shared" si="103"/>
        <v>2.9664787896765965E-4</v>
      </c>
      <c r="I2185" s="1">
        <f t="shared" si="104"/>
        <v>2</v>
      </c>
    </row>
    <row r="2186" spans="1:9" hidden="1" x14ac:dyDescent="0.2">
      <c r="A2186" s="6">
        <v>43989.708333333336</v>
      </c>
      <c r="B2186" s="1" t="s">
        <v>14</v>
      </c>
      <c r="C2186">
        <v>41</v>
      </c>
      <c r="D2186">
        <v>2</v>
      </c>
      <c r="E2186">
        <v>991</v>
      </c>
      <c r="F2186">
        <v>6745</v>
      </c>
      <c r="G2186" s="3">
        <f t="shared" si="102"/>
        <v>3</v>
      </c>
      <c r="H2186" s="4">
        <f t="shared" si="103"/>
        <v>4.4477390659747318E-4</v>
      </c>
      <c r="I2186" s="1">
        <f t="shared" si="104"/>
        <v>0</v>
      </c>
    </row>
    <row r="2187" spans="1:9" hidden="1" x14ac:dyDescent="0.2">
      <c r="A2187" s="6">
        <v>43990.708333333336</v>
      </c>
      <c r="B2187" s="1" t="s">
        <v>14</v>
      </c>
      <c r="C2187">
        <v>41</v>
      </c>
      <c r="D2187">
        <v>2</v>
      </c>
      <c r="E2187">
        <v>991</v>
      </c>
      <c r="F2187">
        <v>6747</v>
      </c>
      <c r="G2187" s="3">
        <f t="shared" si="102"/>
        <v>2</v>
      </c>
      <c r="H2187" s="4">
        <f t="shared" si="103"/>
        <v>2.9642804209273343E-4</v>
      </c>
      <c r="I2187" s="1">
        <f t="shared" si="104"/>
        <v>0</v>
      </c>
    </row>
    <row r="2188" spans="1:9" hidden="1" x14ac:dyDescent="0.2">
      <c r="A2188" s="6">
        <v>43991.708333333336</v>
      </c>
      <c r="B2188" s="1" t="s">
        <v>14</v>
      </c>
      <c r="C2188">
        <v>32</v>
      </c>
      <c r="D2188">
        <v>0</v>
      </c>
      <c r="E2188">
        <v>992</v>
      </c>
      <c r="F2188">
        <v>6747</v>
      </c>
      <c r="G2188" s="3">
        <f t="shared" si="102"/>
        <v>0</v>
      </c>
      <c r="H2188" s="4">
        <f t="shared" si="103"/>
        <v>0</v>
      </c>
      <c r="I2188" s="1">
        <f t="shared" si="104"/>
        <v>1</v>
      </c>
    </row>
    <row r="2189" spans="1:9" hidden="1" x14ac:dyDescent="0.2">
      <c r="A2189" s="6">
        <v>43992.708333333336</v>
      </c>
      <c r="B2189" s="1" t="s">
        <v>14</v>
      </c>
      <c r="C2189">
        <v>29</v>
      </c>
      <c r="D2189">
        <v>0</v>
      </c>
      <c r="E2189">
        <v>992</v>
      </c>
      <c r="F2189">
        <v>6750</v>
      </c>
      <c r="G2189" s="3">
        <f t="shared" si="102"/>
        <v>3</v>
      </c>
      <c r="H2189" s="4">
        <f t="shared" si="103"/>
        <v>4.4444444444446951E-4</v>
      </c>
      <c r="I2189" s="1">
        <f t="shared" si="104"/>
        <v>0</v>
      </c>
    </row>
    <row r="2190" spans="1:9" hidden="1" x14ac:dyDescent="0.2">
      <c r="A2190" s="6">
        <v>43993.708333333336</v>
      </c>
      <c r="B2190" s="1" t="s">
        <v>14</v>
      </c>
      <c r="C2190">
        <v>26</v>
      </c>
      <c r="D2190">
        <v>0</v>
      </c>
      <c r="E2190">
        <v>992</v>
      </c>
      <c r="F2190">
        <v>6751</v>
      </c>
      <c r="G2190" s="3">
        <f t="shared" si="102"/>
        <v>1</v>
      </c>
      <c r="H2190" s="4">
        <f t="shared" si="103"/>
        <v>1.4812620352544492E-4</v>
      </c>
      <c r="I2190" s="1">
        <f t="shared" si="104"/>
        <v>0</v>
      </c>
    </row>
    <row r="2191" spans="1:9" hidden="1" x14ac:dyDescent="0.2">
      <c r="A2191" s="6">
        <v>43994.708333333336</v>
      </c>
      <c r="B2191" s="1" t="s">
        <v>14</v>
      </c>
      <c r="C2191">
        <v>22</v>
      </c>
      <c r="D2191">
        <v>0</v>
      </c>
      <c r="E2191">
        <v>993</v>
      </c>
      <c r="F2191">
        <v>6752</v>
      </c>
      <c r="G2191" s="3">
        <f t="shared" si="102"/>
        <v>1</v>
      </c>
      <c r="H2191" s="4">
        <f t="shared" si="103"/>
        <v>1.4810426540279309E-4</v>
      </c>
      <c r="I2191" s="1">
        <f t="shared" si="104"/>
        <v>1</v>
      </c>
    </row>
    <row r="2192" spans="1:9" hidden="1" x14ac:dyDescent="0.2">
      <c r="A2192" s="6">
        <v>43995.708333333336</v>
      </c>
      <c r="B2192" s="1" t="s">
        <v>14</v>
      </c>
      <c r="C2192">
        <v>22</v>
      </c>
      <c r="D2192">
        <v>0</v>
      </c>
      <c r="E2192">
        <v>993</v>
      </c>
      <c r="F2192">
        <v>6754</v>
      </c>
      <c r="G2192" s="3">
        <f t="shared" si="102"/>
        <v>2</v>
      </c>
      <c r="H2192" s="4">
        <f t="shared" si="103"/>
        <v>2.9612081729346595E-4</v>
      </c>
      <c r="I2192" s="1">
        <f t="shared" si="104"/>
        <v>0</v>
      </c>
    </row>
    <row r="2193" spans="1:9" hidden="1" x14ac:dyDescent="0.2">
      <c r="A2193" s="6">
        <v>43996.708333333336</v>
      </c>
      <c r="B2193" s="1" t="s">
        <v>14</v>
      </c>
      <c r="C2193">
        <v>21</v>
      </c>
      <c r="D2193">
        <v>0</v>
      </c>
      <c r="E2193">
        <v>993</v>
      </c>
      <c r="F2193">
        <v>6758</v>
      </c>
      <c r="G2193" s="3">
        <f t="shared" si="102"/>
        <v>4</v>
      </c>
      <c r="H2193" s="4">
        <f t="shared" si="103"/>
        <v>5.918910920390541E-4</v>
      </c>
      <c r="I2193" s="1">
        <f t="shared" si="104"/>
        <v>0</v>
      </c>
    </row>
    <row r="2194" spans="1:9" hidden="1" x14ac:dyDescent="0.2">
      <c r="A2194" s="6">
        <v>43997.708333333336</v>
      </c>
      <c r="B2194" s="1" t="s">
        <v>14</v>
      </c>
      <c r="C2194">
        <v>18</v>
      </c>
      <c r="D2194">
        <v>0</v>
      </c>
      <c r="E2194">
        <v>993</v>
      </c>
      <c r="F2194">
        <v>6762</v>
      </c>
      <c r="G2194" s="3">
        <f t="shared" si="102"/>
        <v>4</v>
      </c>
      <c r="H2194" s="4">
        <f t="shared" si="103"/>
        <v>5.9154096421176749E-4</v>
      </c>
      <c r="I2194" s="1">
        <f t="shared" si="104"/>
        <v>0</v>
      </c>
    </row>
    <row r="2195" spans="1:9" hidden="1" x14ac:dyDescent="0.2">
      <c r="A2195" s="6">
        <v>43998.708333333336</v>
      </c>
      <c r="B2195" s="1" t="s">
        <v>14</v>
      </c>
      <c r="C2195">
        <v>19</v>
      </c>
      <c r="D2195">
        <v>0</v>
      </c>
      <c r="E2195">
        <v>994</v>
      </c>
      <c r="F2195">
        <v>6763</v>
      </c>
      <c r="G2195" s="3">
        <f t="shared" si="102"/>
        <v>1</v>
      </c>
      <c r="H2195" s="4">
        <f t="shared" si="103"/>
        <v>1.4786337424221863E-4</v>
      </c>
      <c r="I2195" s="1">
        <f t="shared" si="104"/>
        <v>1</v>
      </c>
    </row>
    <row r="2196" spans="1:9" hidden="1" x14ac:dyDescent="0.2">
      <c r="A2196" s="6">
        <v>43999.708333333336</v>
      </c>
      <c r="B2196" s="1" t="s">
        <v>14</v>
      </c>
      <c r="C2196">
        <v>21</v>
      </c>
      <c r="D2196">
        <v>0</v>
      </c>
      <c r="E2196">
        <v>994</v>
      </c>
      <c r="F2196">
        <v>6764</v>
      </c>
      <c r="G2196" s="3">
        <f t="shared" si="102"/>
        <v>1</v>
      </c>
      <c r="H2196" s="4">
        <f t="shared" si="103"/>
        <v>1.4784151389712896E-4</v>
      </c>
      <c r="I2196" s="1">
        <f t="shared" si="104"/>
        <v>0</v>
      </c>
    </row>
    <row r="2197" spans="1:9" hidden="1" x14ac:dyDescent="0.2">
      <c r="A2197" s="6">
        <v>44000.708333333336</v>
      </c>
      <c r="B2197" s="1" t="s">
        <v>14</v>
      </c>
      <c r="C2197">
        <v>19</v>
      </c>
      <c r="D2197">
        <v>0</v>
      </c>
      <c r="E2197">
        <v>994</v>
      </c>
      <c r="F2197">
        <v>6768</v>
      </c>
      <c r="G2197" s="3">
        <f t="shared" si="102"/>
        <v>4</v>
      </c>
      <c r="H2197" s="4">
        <f t="shared" si="103"/>
        <v>5.9101654846338558E-4</v>
      </c>
      <c r="I2197" s="1">
        <f t="shared" si="104"/>
        <v>0</v>
      </c>
    </row>
    <row r="2198" spans="1:9" hidden="1" x14ac:dyDescent="0.2">
      <c r="A2198" s="6">
        <v>44001.708333333336</v>
      </c>
      <c r="B2198" s="1" t="s">
        <v>14</v>
      </c>
      <c r="C2198">
        <v>14</v>
      </c>
      <c r="D2198">
        <v>0</v>
      </c>
      <c r="E2198">
        <v>994</v>
      </c>
      <c r="F2198">
        <v>6768</v>
      </c>
      <c r="G2198" s="3">
        <f t="shared" si="102"/>
        <v>0</v>
      </c>
      <c r="H2198" s="4">
        <f t="shared" si="103"/>
        <v>0</v>
      </c>
      <c r="I2198" s="1">
        <f t="shared" si="104"/>
        <v>0</v>
      </c>
    </row>
    <row r="2199" spans="1:9" hidden="1" x14ac:dyDescent="0.2">
      <c r="A2199" s="6">
        <v>44002.708333333336</v>
      </c>
      <c r="B2199" s="1" t="s">
        <v>14</v>
      </c>
      <c r="C2199">
        <v>13</v>
      </c>
      <c r="D2199">
        <v>0</v>
      </c>
      <c r="E2199">
        <v>994</v>
      </c>
      <c r="F2199">
        <v>6768</v>
      </c>
      <c r="G2199" s="3">
        <f t="shared" si="102"/>
        <v>0</v>
      </c>
      <c r="H2199" s="4">
        <f t="shared" si="103"/>
        <v>0</v>
      </c>
      <c r="I2199" s="1">
        <f t="shared" si="104"/>
        <v>0</v>
      </c>
    </row>
    <row r="2200" spans="1:9" hidden="1" x14ac:dyDescent="0.2">
      <c r="A2200" s="6">
        <v>44003.708333333336</v>
      </c>
      <c r="B2200" s="1" t="s">
        <v>14</v>
      </c>
      <c r="C2200">
        <v>14</v>
      </c>
      <c r="D2200">
        <v>0</v>
      </c>
      <c r="E2200">
        <v>994</v>
      </c>
      <c r="F2200">
        <v>6768</v>
      </c>
      <c r="G2200" s="3">
        <f t="shared" si="102"/>
        <v>0</v>
      </c>
      <c r="H2200" s="4">
        <f t="shared" si="103"/>
        <v>0</v>
      </c>
      <c r="I2200" s="1">
        <f t="shared" si="104"/>
        <v>0</v>
      </c>
    </row>
    <row r="2201" spans="1:9" hidden="1" x14ac:dyDescent="0.2">
      <c r="A2201" s="6">
        <v>44004.708333333336</v>
      </c>
      <c r="B2201" s="1" t="s">
        <v>14</v>
      </c>
      <c r="C2201">
        <v>13</v>
      </c>
      <c r="D2201">
        <v>0</v>
      </c>
      <c r="E2201">
        <v>994</v>
      </c>
      <c r="F2201">
        <v>6774</v>
      </c>
      <c r="G2201" s="3">
        <f t="shared" si="102"/>
        <v>6</v>
      </c>
      <c r="H2201" s="4">
        <f t="shared" si="103"/>
        <v>8.8573959255977552E-4</v>
      </c>
      <c r="I2201" s="1">
        <f t="shared" si="104"/>
        <v>0</v>
      </c>
    </row>
    <row r="2202" spans="1:9" hidden="1" x14ac:dyDescent="0.2">
      <c r="A2202" s="6">
        <v>44005.708333333336</v>
      </c>
      <c r="B2202" s="1" t="s">
        <v>14</v>
      </c>
      <c r="C2202">
        <v>11</v>
      </c>
      <c r="D2202">
        <v>0</v>
      </c>
      <c r="E2202">
        <v>994</v>
      </c>
      <c r="F2202">
        <v>6775</v>
      </c>
      <c r="G2202" s="3">
        <f t="shared" si="102"/>
        <v>1</v>
      </c>
      <c r="H2202" s="4">
        <f t="shared" si="103"/>
        <v>1.4760147601478035E-4</v>
      </c>
      <c r="I2202" s="1">
        <f t="shared" si="104"/>
        <v>0</v>
      </c>
    </row>
    <row r="2203" spans="1:9" hidden="1" x14ac:dyDescent="0.2">
      <c r="A2203" s="6">
        <v>44006.708333333336</v>
      </c>
      <c r="B2203" s="1" t="s">
        <v>14</v>
      </c>
      <c r="C2203">
        <v>12</v>
      </c>
      <c r="D2203">
        <v>0</v>
      </c>
      <c r="E2203">
        <v>994</v>
      </c>
      <c r="F2203">
        <v>6779</v>
      </c>
      <c r="G2203" s="3">
        <f t="shared" si="102"/>
        <v>4</v>
      </c>
      <c r="H2203" s="4">
        <f t="shared" si="103"/>
        <v>5.9005753060925592E-4</v>
      </c>
      <c r="I2203" s="1">
        <f t="shared" si="104"/>
        <v>0</v>
      </c>
    </row>
    <row r="2204" spans="1:9" hidden="1" x14ac:dyDescent="0.2">
      <c r="A2204" s="6">
        <v>44007.708333333336</v>
      </c>
      <c r="B2204" s="1" t="s">
        <v>14</v>
      </c>
      <c r="C2204">
        <v>10</v>
      </c>
      <c r="D2204">
        <v>0</v>
      </c>
      <c r="E2204">
        <v>991</v>
      </c>
      <c r="F2204">
        <v>6781</v>
      </c>
      <c r="G2204" s="3">
        <f t="shared" si="102"/>
        <v>2</v>
      </c>
      <c r="H2204" s="4">
        <f t="shared" si="103"/>
        <v>2.9494174900457359E-4</v>
      </c>
      <c r="I2204" s="1">
        <f t="shared" si="104"/>
        <v>-3</v>
      </c>
    </row>
    <row r="2205" spans="1:9" hidden="1" x14ac:dyDescent="0.2">
      <c r="A2205" s="6">
        <v>44008.708333333336</v>
      </c>
      <c r="B2205" s="1" t="s">
        <v>14</v>
      </c>
      <c r="C2205">
        <v>10</v>
      </c>
      <c r="D2205">
        <v>0</v>
      </c>
      <c r="E2205">
        <v>991</v>
      </c>
      <c r="F2205">
        <v>6783</v>
      </c>
      <c r="G2205" s="3">
        <f t="shared" si="102"/>
        <v>2</v>
      </c>
      <c r="H2205" s="4">
        <f t="shared" si="103"/>
        <v>2.948547840189164E-4</v>
      </c>
      <c r="I2205" s="1">
        <f t="shared" si="104"/>
        <v>0</v>
      </c>
    </row>
    <row r="2206" spans="1:9" hidden="1" x14ac:dyDescent="0.2">
      <c r="A2206" s="6">
        <v>44009.708333333336</v>
      </c>
      <c r="B2206" s="1" t="s">
        <v>14</v>
      </c>
      <c r="C2206">
        <v>9</v>
      </c>
      <c r="D2206">
        <v>0</v>
      </c>
      <c r="E2206">
        <v>991</v>
      </c>
      <c r="F2206">
        <v>6785</v>
      </c>
      <c r="G2206" s="3">
        <f t="shared" si="102"/>
        <v>2</v>
      </c>
      <c r="H2206" s="4">
        <f t="shared" si="103"/>
        <v>2.9476787030213725E-4</v>
      </c>
      <c r="I2206" s="1">
        <f t="shared" si="104"/>
        <v>0</v>
      </c>
    </row>
    <row r="2207" spans="1:9" hidden="1" x14ac:dyDescent="0.2">
      <c r="A2207" s="6">
        <v>44010.708333333336</v>
      </c>
      <c r="B2207" s="1" t="s">
        <v>14</v>
      </c>
      <c r="C2207">
        <v>9</v>
      </c>
      <c r="D2207">
        <v>0</v>
      </c>
      <c r="E2207">
        <v>991</v>
      </c>
      <c r="F2207">
        <v>6785</v>
      </c>
      <c r="G2207" s="3">
        <f t="shared" si="102"/>
        <v>0</v>
      </c>
      <c r="H2207" s="4">
        <f t="shared" si="103"/>
        <v>0</v>
      </c>
      <c r="I2207" s="1">
        <f t="shared" si="104"/>
        <v>0</v>
      </c>
    </row>
    <row r="2208" spans="1:9" hidden="1" x14ac:dyDescent="0.2">
      <c r="A2208" s="6">
        <v>44011.708333333336</v>
      </c>
      <c r="B2208" s="1" t="s">
        <v>14</v>
      </c>
      <c r="C2208">
        <v>9</v>
      </c>
      <c r="D2208">
        <v>0</v>
      </c>
      <c r="E2208">
        <v>991</v>
      </c>
      <c r="F2208">
        <v>6785</v>
      </c>
      <c r="G2208" s="3">
        <f t="shared" si="102"/>
        <v>0</v>
      </c>
      <c r="H2208" s="4">
        <f t="shared" si="103"/>
        <v>0</v>
      </c>
      <c r="I2208" s="1">
        <f t="shared" si="104"/>
        <v>0</v>
      </c>
    </row>
    <row r="2209" spans="1:9" hidden="1" x14ac:dyDescent="0.2">
      <c r="A2209" s="6">
        <v>44012.708333333336</v>
      </c>
      <c r="B2209" s="1" t="s">
        <v>14</v>
      </c>
      <c r="C2209">
        <v>8</v>
      </c>
      <c r="D2209">
        <v>0</v>
      </c>
      <c r="E2209">
        <v>991</v>
      </c>
      <c r="F2209">
        <v>6785</v>
      </c>
      <c r="G2209" s="3">
        <f t="shared" si="102"/>
        <v>0</v>
      </c>
      <c r="H2209" s="4">
        <f t="shared" si="103"/>
        <v>0</v>
      </c>
      <c r="I2209" s="1">
        <f t="shared" si="104"/>
        <v>0</v>
      </c>
    </row>
    <row r="2210" spans="1:9" hidden="1" x14ac:dyDescent="0.2">
      <c r="A2210" s="6">
        <v>44013.708333333336</v>
      </c>
      <c r="B2210" s="1" t="s">
        <v>14</v>
      </c>
      <c r="C2210">
        <v>8</v>
      </c>
      <c r="D2210">
        <v>0</v>
      </c>
      <c r="E2210">
        <v>987</v>
      </c>
      <c r="F2210">
        <v>6786</v>
      </c>
      <c r="G2210" s="3">
        <f t="shared" si="102"/>
        <v>1</v>
      </c>
      <c r="H2210" s="4">
        <f t="shared" si="103"/>
        <v>1.4736221632771773E-4</v>
      </c>
      <c r="I2210" s="1">
        <f t="shared" si="104"/>
        <v>-4</v>
      </c>
    </row>
    <row r="2211" spans="1:9" hidden="1" x14ac:dyDescent="0.2">
      <c r="A2211" s="6">
        <v>44014.708333333336</v>
      </c>
      <c r="B2211" s="1" t="s">
        <v>14</v>
      </c>
      <c r="C2211">
        <v>8</v>
      </c>
      <c r="D2211">
        <v>0</v>
      </c>
      <c r="E2211">
        <v>987</v>
      </c>
      <c r="F2211">
        <v>6789</v>
      </c>
      <c r="G2211" s="3">
        <f t="shared" si="102"/>
        <v>3</v>
      </c>
      <c r="H2211" s="4">
        <f t="shared" si="103"/>
        <v>4.4189129474148103E-4</v>
      </c>
      <c r="I2211" s="1">
        <f t="shared" si="104"/>
        <v>0</v>
      </c>
    </row>
    <row r="2212" spans="1:9" hidden="1" x14ac:dyDescent="0.2">
      <c r="A2212" s="6">
        <v>44015.708333333336</v>
      </c>
      <c r="B2212" s="1" t="s">
        <v>14</v>
      </c>
      <c r="C2212">
        <v>6</v>
      </c>
      <c r="D2212">
        <v>0</v>
      </c>
      <c r="E2212">
        <v>987</v>
      </c>
      <c r="F2212">
        <v>6789</v>
      </c>
      <c r="G2212" s="3">
        <f t="shared" si="102"/>
        <v>0</v>
      </c>
      <c r="H2212" s="4">
        <f t="shared" si="103"/>
        <v>0</v>
      </c>
      <c r="I2212" s="1">
        <f t="shared" si="104"/>
        <v>0</v>
      </c>
    </row>
    <row r="2213" spans="1:9" hidden="1" x14ac:dyDescent="0.2">
      <c r="A2213" s="6">
        <v>44016.708333333336</v>
      </c>
      <c r="B2213" s="1" t="s">
        <v>14</v>
      </c>
      <c r="C2213">
        <v>5</v>
      </c>
      <c r="D2213">
        <v>0</v>
      </c>
      <c r="E2213">
        <v>987</v>
      </c>
      <c r="F2213">
        <v>6789</v>
      </c>
      <c r="G2213" s="3">
        <f t="shared" si="102"/>
        <v>0</v>
      </c>
      <c r="H2213" s="4">
        <f t="shared" si="103"/>
        <v>0</v>
      </c>
      <c r="I2213" s="1">
        <f t="shared" si="104"/>
        <v>0</v>
      </c>
    </row>
    <row r="2214" spans="1:9" hidden="1" x14ac:dyDescent="0.2">
      <c r="A2214" s="6">
        <v>44017.708333333336</v>
      </c>
      <c r="B2214" s="1" t="s">
        <v>14</v>
      </c>
      <c r="C2214">
        <v>5</v>
      </c>
      <c r="D2214">
        <v>0</v>
      </c>
      <c r="E2214">
        <v>987</v>
      </c>
      <c r="F2214">
        <v>6790</v>
      </c>
      <c r="G2214" s="3">
        <f t="shared" si="102"/>
        <v>1</v>
      </c>
      <c r="H2214" s="4">
        <f t="shared" si="103"/>
        <v>1.4727540500736325E-4</v>
      </c>
      <c r="I2214" s="1">
        <f t="shared" si="104"/>
        <v>0</v>
      </c>
    </row>
    <row r="2215" spans="1:9" hidden="1" x14ac:dyDescent="0.2">
      <c r="A2215" s="6">
        <v>44018.708333333336</v>
      </c>
      <c r="B2215" s="1" t="s">
        <v>14</v>
      </c>
      <c r="C2215">
        <v>5</v>
      </c>
      <c r="D2215">
        <v>0</v>
      </c>
      <c r="E2215">
        <v>987</v>
      </c>
      <c r="F2215">
        <v>6790</v>
      </c>
      <c r="G2215" s="3">
        <f t="shared" si="102"/>
        <v>0</v>
      </c>
      <c r="H2215" s="4">
        <f t="shared" si="103"/>
        <v>0</v>
      </c>
      <c r="I2215" s="1">
        <f t="shared" si="104"/>
        <v>0</v>
      </c>
    </row>
    <row r="2216" spans="1:9" hidden="1" x14ac:dyDescent="0.2">
      <c r="A2216" s="6">
        <v>44019.708333333336</v>
      </c>
      <c r="B2216" s="1" t="s">
        <v>14</v>
      </c>
      <c r="C2216">
        <v>5</v>
      </c>
      <c r="D2216">
        <v>0</v>
      </c>
      <c r="E2216">
        <v>987</v>
      </c>
      <c r="F2216">
        <v>6791</v>
      </c>
      <c r="G2216" s="3">
        <f t="shared" si="102"/>
        <v>1</v>
      </c>
      <c r="H2216" s="4">
        <f t="shared" si="103"/>
        <v>1.4725371815638155E-4</v>
      </c>
      <c r="I2216" s="1">
        <f t="shared" si="104"/>
        <v>0</v>
      </c>
    </row>
    <row r="2217" spans="1:9" hidden="1" x14ac:dyDescent="0.2">
      <c r="A2217" s="6">
        <v>44020.708333333336</v>
      </c>
      <c r="B2217" s="1" t="s">
        <v>14</v>
      </c>
      <c r="C2217">
        <v>5</v>
      </c>
      <c r="D2217">
        <v>0</v>
      </c>
      <c r="E2217">
        <v>987</v>
      </c>
      <c r="F2217">
        <v>6794</v>
      </c>
      <c r="G2217" s="3">
        <f t="shared" si="102"/>
        <v>3</v>
      </c>
      <c r="H2217" s="4">
        <f t="shared" si="103"/>
        <v>4.4156608772449868E-4</v>
      </c>
      <c r="I2217" s="1">
        <f t="shared" si="104"/>
        <v>0</v>
      </c>
    </row>
    <row r="2218" spans="1:9" hidden="1" x14ac:dyDescent="0.2">
      <c r="A2218" s="6">
        <v>44021.708333333336</v>
      </c>
      <c r="B2218" s="1" t="s">
        <v>14</v>
      </c>
      <c r="C2218">
        <v>5</v>
      </c>
      <c r="D2218">
        <v>0</v>
      </c>
      <c r="E2218">
        <v>987</v>
      </c>
      <c r="F2218">
        <v>6798</v>
      </c>
      <c r="G2218" s="3">
        <f t="shared" si="102"/>
        <v>4</v>
      </c>
      <c r="H2218" s="4">
        <f t="shared" si="103"/>
        <v>5.8840835539863967E-4</v>
      </c>
      <c r="I2218" s="1">
        <f t="shared" si="104"/>
        <v>0</v>
      </c>
    </row>
    <row r="2219" spans="1:9" hidden="1" x14ac:dyDescent="0.2">
      <c r="A2219" s="6">
        <v>44022.708333333336</v>
      </c>
      <c r="B2219" s="1" t="s">
        <v>14</v>
      </c>
      <c r="C2219">
        <v>4</v>
      </c>
      <c r="D2219">
        <v>0</v>
      </c>
      <c r="E2219">
        <v>987</v>
      </c>
      <c r="F2219">
        <v>6799</v>
      </c>
      <c r="G2219" s="3">
        <f t="shared" si="102"/>
        <v>1</v>
      </c>
      <c r="H2219" s="4">
        <f t="shared" si="103"/>
        <v>1.4708045300781958E-4</v>
      </c>
      <c r="I2219" s="1">
        <f t="shared" si="104"/>
        <v>0</v>
      </c>
    </row>
    <row r="2220" spans="1:9" hidden="1" x14ac:dyDescent="0.2">
      <c r="A2220" s="6">
        <v>44023.708333333336</v>
      </c>
      <c r="B2220" s="1" t="s">
        <v>14</v>
      </c>
      <c r="C2220">
        <v>4</v>
      </c>
      <c r="D2220">
        <v>0</v>
      </c>
      <c r="E2220">
        <v>987</v>
      </c>
      <c r="F2220">
        <v>6803</v>
      </c>
      <c r="G2220" s="3">
        <f t="shared" si="102"/>
        <v>4</v>
      </c>
      <c r="H2220" s="4">
        <f t="shared" si="103"/>
        <v>5.8797589298842379E-4</v>
      </c>
      <c r="I2220" s="1">
        <f t="shared" si="104"/>
        <v>0</v>
      </c>
    </row>
    <row r="2221" spans="1:9" hidden="1" x14ac:dyDescent="0.2">
      <c r="A2221" s="6">
        <v>44024.708333333336</v>
      </c>
      <c r="B2221" s="1" t="s">
        <v>14</v>
      </c>
      <c r="C2221">
        <v>4</v>
      </c>
      <c r="D2221">
        <v>0</v>
      </c>
      <c r="E2221">
        <v>987</v>
      </c>
      <c r="F2221">
        <v>6804</v>
      </c>
      <c r="G2221" s="3">
        <f t="shared" si="102"/>
        <v>1</v>
      </c>
      <c r="H2221" s="4">
        <f t="shared" si="103"/>
        <v>1.4697236919458678E-4</v>
      </c>
      <c r="I2221" s="1">
        <f t="shared" si="104"/>
        <v>0</v>
      </c>
    </row>
    <row r="2222" spans="1:9" hidden="1" x14ac:dyDescent="0.2">
      <c r="A2222" s="6">
        <v>44025.708333333336</v>
      </c>
      <c r="B2222" s="1" t="s">
        <v>14</v>
      </c>
      <c r="C2222">
        <v>4</v>
      </c>
      <c r="D2222">
        <v>0</v>
      </c>
      <c r="E2222">
        <v>987</v>
      </c>
      <c r="F2222">
        <v>6804</v>
      </c>
      <c r="G2222" s="3">
        <f t="shared" si="102"/>
        <v>0</v>
      </c>
      <c r="H2222" s="4">
        <f t="shared" si="103"/>
        <v>0</v>
      </c>
      <c r="I2222" s="1">
        <f t="shared" si="104"/>
        <v>0</v>
      </c>
    </row>
    <row r="2223" spans="1:9" hidden="1" x14ac:dyDescent="0.2">
      <c r="A2223" s="6">
        <v>44026.708333333336</v>
      </c>
      <c r="B2223" s="1" t="s">
        <v>14</v>
      </c>
      <c r="C2223">
        <v>4</v>
      </c>
      <c r="D2223">
        <v>0</v>
      </c>
      <c r="E2223">
        <v>987</v>
      </c>
      <c r="F2223">
        <v>6805</v>
      </c>
      <c r="G2223" s="3">
        <f t="shared" si="102"/>
        <v>1</v>
      </c>
      <c r="H2223" s="4">
        <f t="shared" si="103"/>
        <v>1.4695077149151636E-4</v>
      </c>
      <c r="I2223" s="1">
        <f t="shared" si="104"/>
        <v>0</v>
      </c>
    </row>
    <row r="2224" spans="1:9" hidden="1" x14ac:dyDescent="0.2">
      <c r="A2224" s="6">
        <v>44027.708333333336</v>
      </c>
      <c r="B2224" s="1" t="s">
        <v>14</v>
      </c>
      <c r="C2224">
        <v>3</v>
      </c>
      <c r="D2224">
        <v>1</v>
      </c>
      <c r="E2224">
        <v>987</v>
      </c>
      <c r="F2224">
        <v>6805</v>
      </c>
      <c r="G2224" s="3">
        <f t="shared" si="102"/>
        <v>0</v>
      </c>
      <c r="H2224" s="4">
        <f t="shared" si="103"/>
        <v>0</v>
      </c>
      <c r="I2224" s="1">
        <f t="shared" si="104"/>
        <v>0</v>
      </c>
    </row>
    <row r="2225" spans="1:9" hidden="1" x14ac:dyDescent="0.2">
      <c r="A2225" s="6">
        <v>44028.708333333336</v>
      </c>
      <c r="B2225" s="1" t="s">
        <v>14</v>
      </c>
      <c r="C2225">
        <v>3</v>
      </c>
      <c r="D2225">
        <v>1</v>
      </c>
      <c r="E2225">
        <v>987</v>
      </c>
      <c r="F2225">
        <v>6806</v>
      </c>
      <c r="G2225" s="3">
        <f t="shared" si="102"/>
        <v>1</v>
      </c>
      <c r="H2225" s="4">
        <f t="shared" si="103"/>
        <v>1.4692918013514689E-4</v>
      </c>
      <c r="I2225" s="1">
        <f t="shared" si="104"/>
        <v>0</v>
      </c>
    </row>
    <row r="2226" spans="1:9" hidden="1" x14ac:dyDescent="0.2">
      <c r="A2226" s="6">
        <v>44029.708333333336</v>
      </c>
      <c r="B2226" s="1" t="s">
        <v>14</v>
      </c>
      <c r="C2226">
        <v>3</v>
      </c>
      <c r="D2226">
        <v>1</v>
      </c>
      <c r="E2226">
        <v>987</v>
      </c>
      <c r="F2226">
        <v>6809</v>
      </c>
      <c r="G2226" s="3">
        <f t="shared" si="102"/>
        <v>3</v>
      </c>
      <c r="H2226" s="4">
        <f t="shared" si="103"/>
        <v>4.4059333235424436E-4</v>
      </c>
      <c r="I2226" s="1">
        <f t="shared" si="104"/>
        <v>0</v>
      </c>
    </row>
    <row r="2227" spans="1:9" hidden="1" x14ac:dyDescent="0.2">
      <c r="A2227" s="6">
        <v>44030.708333333336</v>
      </c>
      <c r="B2227" s="1" t="s">
        <v>14</v>
      </c>
      <c r="C2227">
        <v>2</v>
      </c>
      <c r="D2227">
        <v>1</v>
      </c>
      <c r="E2227">
        <v>987</v>
      </c>
      <c r="F2227">
        <v>6812</v>
      </c>
      <c r="G2227" s="3">
        <f t="shared" si="102"/>
        <v>3</v>
      </c>
      <c r="H2227" s="4">
        <f t="shared" si="103"/>
        <v>4.4039929536110467E-4</v>
      </c>
      <c r="I2227" s="1">
        <f t="shared" si="104"/>
        <v>0</v>
      </c>
    </row>
    <row r="2228" spans="1:9" hidden="1" x14ac:dyDescent="0.2">
      <c r="A2228" s="6">
        <v>44031.708333333336</v>
      </c>
      <c r="B2228" s="1" t="s">
        <v>14</v>
      </c>
      <c r="C2228">
        <v>2</v>
      </c>
      <c r="D2228">
        <v>1</v>
      </c>
      <c r="E2228">
        <v>987</v>
      </c>
      <c r="F2228">
        <v>6811</v>
      </c>
      <c r="G2228" s="3">
        <f t="shared" si="102"/>
        <v>-1</v>
      </c>
      <c r="H2228" s="4">
        <f t="shared" si="103"/>
        <v>-1.4682131845544788E-4</v>
      </c>
      <c r="I2228" s="1">
        <f t="shared" si="104"/>
        <v>0</v>
      </c>
    </row>
    <row r="2229" spans="1:9" hidden="1" x14ac:dyDescent="0.2">
      <c r="A2229" s="6">
        <v>44032.708333333336</v>
      </c>
      <c r="B2229" s="1" t="s">
        <v>14</v>
      </c>
      <c r="C2229">
        <v>2</v>
      </c>
      <c r="D2229">
        <v>1</v>
      </c>
      <c r="E2229">
        <v>987</v>
      </c>
      <c r="F2229">
        <v>6811</v>
      </c>
      <c r="G2229" s="3">
        <f t="shared" si="102"/>
        <v>0</v>
      </c>
      <c r="H2229" s="4">
        <f t="shared" si="103"/>
        <v>0</v>
      </c>
      <c r="I2229" s="1">
        <f t="shared" si="104"/>
        <v>0</v>
      </c>
    </row>
    <row r="2230" spans="1:9" hidden="1" x14ac:dyDescent="0.2">
      <c r="A2230" s="6">
        <v>44033.708333333336</v>
      </c>
      <c r="B2230" s="1" t="s">
        <v>14</v>
      </c>
      <c r="C2230">
        <v>2</v>
      </c>
      <c r="D2230">
        <v>1</v>
      </c>
      <c r="E2230">
        <v>987</v>
      </c>
      <c r="F2230">
        <v>6813</v>
      </c>
      <c r="G2230" s="3">
        <f t="shared" si="102"/>
        <v>2</v>
      </c>
      <c r="H2230" s="4">
        <f t="shared" si="103"/>
        <v>2.9355643622486216E-4</v>
      </c>
      <c r="I2230" s="1">
        <f t="shared" si="104"/>
        <v>0</v>
      </c>
    </row>
    <row r="2231" spans="1:9" hidden="1" x14ac:dyDescent="0.2">
      <c r="A2231" s="6">
        <v>44034.708333333336</v>
      </c>
      <c r="B2231" s="1" t="s">
        <v>14</v>
      </c>
      <c r="C2231">
        <v>2</v>
      </c>
      <c r="D2231">
        <v>1</v>
      </c>
      <c r="E2231">
        <v>987</v>
      </c>
      <c r="F2231">
        <v>6814</v>
      </c>
      <c r="G2231" s="3">
        <f t="shared" si="102"/>
        <v>1</v>
      </c>
      <c r="H2231" s="4">
        <f t="shared" si="103"/>
        <v>1.4675667742880538E-4</v>
      </c>
      <c r="I2231" s="1">
        <f t="shared" si="104"/>
        <v>0</v>
      </c>
    </row>
    <row r="2232" spans="1:9" hidden="1" x14ac:dyDescent="0.2">
      <c r="A2232" s="6">
        <v>44035.708333333336</v>
      </c>
      <c r="B2232" s="1" t="s">
        <v>14</v>
      </c>
      <c r="C2232">
        <v>2</v>
      </c>
      <c r="D2232">
        <v>1</v>
      </c>
      <c r="E2232">
        <v>987</v>
      </c>
      <c r="F2232">
        <v>6815</v>
      </c>
      <c r="G2232" s="3">
        <f t="shared" si="102"/>
        <v>1</v>
      </c>
      <c r="H2232" s="4">
        <f t="shared" si="103"/>
        <v>1.4673514306673408E-4</v>
      </c>
      <c r="I2232" s="1">
        <f t="shared" si="104"/>
        <v>0</v>
      </c>
    </row>
    <row r="2233" spans="1:9" hidden="1" x14ac:dyDescent="0.2">
      <c r="A2233" s="6">
        <v>44036.708333333336</v>
      </c>
      <c r="B2233" s="1" t="s">
        <v>14</v>
      </c>
      <c r="C2233">
        <v>2</v>
      </c>
      <c r="D2233">
        <v>1</v>
      </c>
      <c r="E2233">
        <v>987</v>
      </c>
      <c r="F2233">
        <v>6816</v>
      </c>
      <c r="G2233" s="3">
        <f t="shared" si="102"/>
        <v>1</v>
      </c>
      <c r="H2233" s="4">
        <f t="shared" si="103"/>
        <v>1.4671361502349711E-4</v>
      </c>
      <c r="I2233" s="1">
        <f t="shared" si="104"/>
        <v>0</v>
      </c>
    </row>
    <row r="2234" spans="1:9" hidden="1" x14ac:dyDescent="0.2">
      <c r="A2234" s="6">
        <v>44037.708333333336</v>
      </c>
      <c r="B2234" s="1" t="s">
        <v>14</v>
      </c>
      <c r="C2234">
        <v>3</v>
      </c>
      <c r="D2234">
        <v>1</v>
      </c>
      <c r="E2234">
        <v>987</v>
      </c>
      <c r="F2234">
        <v>6818</v>
      </c>
      <c r="G2234" s="3">
        <f t="shared" si="102"/>
        <v>2</v>
      </c>
      <c r="H2234" s="4">
        <f t="shared" si="103"/>
        <v>2.9334115576418185E-4</v>
      </c>
      <c r="I2234" s="1">
        <f t="shared" si="104"/>
        <v>0</v>
      </c>
    </row>
    <row r="2235" spans="1:9" hidden="1" x14ac:dyDescent="0.2">
      <c r="A2235" s="6">
        <v>44038.708333333336</v>
      </c>
      <c r="B2235" s="1" t="s">
        <v>14</v>
      </c>
      <c r="C2235">
        <v>3</v>
      </c>
      <c r="D2235">
        <v>1</v>
      </c>
      <c r="E2235">
        <v>987</v>
      </c>
      <c r="F2235">
        <v>6825</v>
      </c>
      <c r="G2235" s="3">
        <f t="shared" si="102"/>
        <v>7</v>
      </c>
      <c r="H2235" s="4">
        <f t="shared" si="103"/>
        <v>1.0256410256410664E-3</v>
      </c>
      <c r="I2235" s="1">
        <f t="shared" si="104"/>
        <v>0</v>
      </c>
    </row>
    <row r="2236" spans="1:9" hidden="1" x14ac:dyDescent="0.2">
      <c r="A2236" s="6">
        <v>44039.708333333336</v>
      </c>
      <c r="B2236" s="1" t="s">
        <v>14</v>
      </c>
      <c r="C2236">
        <v>5</v>
      </c>
      <c r="D2236">
        <v>0</v>
      </c>
      <c r="E2236">
        <v>987</v>
      </c>
      <c r="F2236">
        <v>6827</v>
      </c>
      <c r="G2236" s="3">
        <f t="shared" si="102"/>
        <v>2</v>
      </c>
      <c r="H2236" s="4">
        <f t="shared" si="103"/>
        <v>2.929544455837485E-4</v>
      </c>
      <c r="I2236" s="1">
        <f t="shared" si="104"/>
        <v>0</v>
      </c>
    </row>
    <row r="2237" spans="1:9" hidden="1" x14ac:dyDescent="0.2">
      <c r="A2237" s="6">
        <v>44040.708333333336</v>
      </c>
      <c r="B2237" s="1" t="s">
        <v>14</v>
      </c>
      <c r="C2237">
        <v>4</v>
      </c>
      <c r="D2237">
        <v>0</v>
      </c>
      <c r="E2237">
        <v>987</v>
      </c>
      <c r="F2237">
        <v>6838</v>
      </c>
      <c r="G2237" s="3">
        <f t="shared" si="102"/>
        <v>11</v>
      </c>
      <c r="H2237" s="4">
        <f t="shared" si="103"/>
        <v>1.6086575021936333E-3</v>
      </c>
      <c r="I2237" s="1">
        <f t="shared" si="104"/>
        <v>0</v>
      </c>
    </row>
    <row r="2238" spans="1:9" hidden="1" x14ac:dyDescent="0.2">
      <c r="A2238" s="6">
        <v>44041.708333333336</v>
      </c>
      <c r="B2238" s="1" t="s">
        <v>14</v>
      </c>
      <c r="C2238">
        <v>5</v>
      </c>
      <c r="D2238">
        <v>0</v>
      </c>
      <c r="E2238">
        <v>987</v>
      </c>
      <c r="F2238">
        <v>6855</v>
      </c>
      <c r="G2238" s="3">
        <f t="shared" si="102"/>
        <v>17</v>
      </c>
      <c r="H2238" s="4">
        <f t="shared" si="103"/>
        <v>2.4799416484317938E-3</v>
      </c>
      <c r="I2238" s="1">
        <f t="shared" si="104"/>
        <v>0</v>
      </c>
    </row>
    <row r="2239" spans="1:9" hidden="1" x14ac:dyDescent="0.2">
      <c r="A2239" s="6">
        <v>44042.708333333336</v>
      </c>
      <c r="B2239" s="1" t="s">
        <v>14</v>
      </c>
      <c r="C2239">
        <v>6</v>
      </c>
      <c r="D2239">
        <v>0</v>
      </c>
      <c r="E2239">
        <v>987</v>
      </c>
      <c r="F2239">
        <v>6863</v>
      </c>
      <c r="G2239" s="3">
        <f t="shared" si="102"/>
        <v>8</v>
      </c>
      <c r="H2239" s="4">
        <f t="shared" si="103"/>
        <v>1.1656709893632655E-3</v>
      </c>
      <c r="I2239" s="1">
        <f t="shared" si="104"/>
        <v>0</v>
      </c>
    </row>
    <row r="2240" spans="1:9" hidden="1" x14ac:dyDescent="0.2">
      <c r="A2240" s="6">
        <v>44043.708333333336</v>
      </c>
      <c r="B2240" s="1" t="s">
        <v>14</v>
      </c>
      <c r="C2240">
        <v>6</v>
      </c>
      <c r="D2240">
        <v>0</v>
      </c>
      <c r="E2240">
        <v>987</v>
      </c>
      <c r="F2240">
        <v>6884</v>
      </c>
      <c r="G2240" s="3">
        <f t="shared" si="102"/>
        <v>21</v>
      </c>
      <c r="H2240" s="4">
        <f t="shared" si="103"/>
        <v>3.0505520046484325E-3</v>
      </c>
      <c r="I2240" s="1">
        <f t="shared" si="104"/>
        <v>0</v>
      </c>
    </row>
    <row r="2241" spans="1:9" hidden="1" x14ac:dyDescent="0.2">
      <c r="A2241" s="6">
        <v>44044.708333333336</v>
      </c>
      <c r="B2241" s="1" t="s">
        <v>14</v>
      </c>
      <c r="C2241">
        <v>8</v>
      </c>
      <c r="D2241">
        <v>0</v>
      </c>
      <c r="E2241">
        <v>987</v>
      </c>
      <c r="F2241">
        <v>6889</v>
      </c>
      <c r="G2241" s="3">
        <f t="shared" si="102"/>
        <v>5</v>
      </c>
      <c r="H2241" s="4">
        <f t="shared" si="103"/>
        <v>7.2579474524603338E-4</v>
      </c>
      <c r="I2241" s="1">
        <f t="shared" si="104"/>
        <v>0</v>
      </c>
    </row>
    <row r="2242" spans="1:9" hidden="1" x14ac:dyDescent="0.2">
      <c r="A2242" s="6">
        <v>44045.708333333336</v>
      </c>
      <c r="B2242" s="1" t="s">
        <v>14</v>
      </c>
      <c r="C2242">
        <v>11</v>
      </c>
      <c r="D2242">
        <v>0</v>
      </c>
      <c r="E2242">
        <v>987</v>
      </c>
      <c r="F2242">
        <v>6897</v>
      </c>
      <c r="G2242" s="3">
        <f t="shared" si="102"/>
        <v>8</v>
      </c>
      <c r="H2242" s="4">
        <f t="shared" si="103"/>
        <v>1.159924604900664E-3</v>
      </c>
      <c r="I2242" s="1">
        <f t="shared" si="104"/>
        <v>0</v>
      </c>
    </row>
    <row r="2243" spans="1:9" hidden="1" x14ac:dyDescent="0.2">
      <c r="A2243" s="6">
        <v>44046.708333333336</v>
      </c>
      <c r="B2243" s="1" t="s">
        <v>14</v>
      </c>
      <c r="C2243">
        <v>13</v>
      </c>
      <c r="D2243">
        <v>0</v>
      </c>
      <c r="E2243">
        <v>987</v>
      </c>
      <c r="F2243">
        <v>6897</v>
      </c>
      <c r="G2243" s="3">
        <f t="shared" ref="G2243:G2306" si="105">IF(AND(F2243&gt;0,AND(B2243=B2242,F2243&gt;0)),F2243-F2242,0)</f>
        <v>0</v>
      </c>
      <c r="H2243" s="4">
        <f t="shared" ref="H2243:H2306" si="106">IF(AND(F2242&gt;0,AND(B2243=B2242,F2242&gt;0)),1-(F2242/F2243),0)</f>
        <v>0</v>
      </c>
      <c r="I2243" s="1">
        <f t="shared" ref="I2243:I2306" si="107">IF(AND(E2243&gt;0,AND(B2243=B2242,E2243&gt;0)),E2243-E2242,0)</f>
        <v>0</v>
      </c>
    </row>
    <row r="2244" spans="1:9" hidden="1" x14ac:dyDescent="0.2">
      <c r="A2244" s="6">
        <v>44047.708333333336</v>
      </c>
      <c r="B2244" s="1" t="s">
        <v>14</v>
      </c>
      <c r="C2244">
        <v>15</v>
      </c>
      <c r="D2244">
        <v>0</v>
      </c>
      <c r="E2244">
        <v>987</v>
      </c>
      <c r="F2244">
        <v>6899</v>
      </c>
      <c r="G2244" s="3">
        <f t="shared" si="105"/>
        <v>2</v>
      </c>
      <c r="H2244" s="4">
        <f t="shared" si="106"/>
        <v>2.8989708653426316E-4</v>
      </c>
      <c r="I2244" s="1">
        <f t="shared" si="107"/>
        <v>0</v>
      </c>
    </row>
    <row r="2245" spans="1:9" hidden="1" x14ac:dyDescent="0.2">
      <c r="A2245" s="6">
        <v>44048.708333333336</v>
      </c>
      <c r="B2245" s="1" t="s">
        <v>14</v>
      </c>
      <c r="C2245">
        <v>15</v>
      </c>
      <c r="D2245">
        <v>0</v>
      </c>
      <c r="E2245">
        <v>987</v>
      </c>
      <c r="F2245">
        <v>6905</v>
      </c>
      <c r="G2245" s="3">
        <f t="shared" si="105"/>
        <v>6</v>
      </c>
      <c r="H2245" s="4">
        <f t="shared" si="106"/>
        <v>8.6893555394640387E-4</v>
      </c>
      <c r="I2245" s="1">
        <f t="shared" si="107"/>
        <v>0</v>
      </c>
    </row>
    <row r="2246" spans="1:9" hidden="1" x14ac:dyDescent="0.2">
      <c r="A2246" s="6">
        <v>44049.708333333336</v>
      </c>
      <c r="B2246" s="1" t="s">
        <v>14</v>
      </c>
      <c r="C2246">
        <v>16</v>
      </c>
      <c r="D2246">
        <v>0</v>
      </c>
      <c r="E2246">
        <v>987</v>
      </c>
      <c r="F2246">
        <v>6914</v>
      </c>
      <c r="G2246" s="3">
        <f t="shared" si="105"/>
        <v>9</v>
      </c>
      <c r="H2246" s="4">
        <f t="shared" si="106"/>
        <v>1.3017066820942835E-3</v>
      </c>
      <c r="I2246" s="1">
        <f t="shared" si="107"/>
        <v>0</v>
      </c>
    </row>
    <row r="2247" spans="1:9" hidden="1" x14ac:dyDescent="0.2">
      <c r="A2247" s="6">
        <v>44050.708333333336</v>
      </c>
      <c r="B2247" s="1" t="s">
        <v>14</v>
      </c>
      <c r="C2247">
        <v>13</v>
      </c>
      <c r="D2247">
        <v>0</v>
      </c>
      <c r="E2247">
        <v>987</v>
      </c>
      <c r="F2247">
        <v>6935</v>
      </c>
      <c r="G2247" s="3">
        <f t="shared" si="105"/>
        <v>21</v>
      </c>
      <c r="H2247" s="4">
        <f t="shared" si="106"/>
        <v>3.0281182408075091E-3</v>
      </c>
      <c r="I2247" s="1">
        <f t="shared" si="107"/>
        <v>0</v>
      </c>
    </row>
    <row r="2248" spans="1:9" hidden="1" x14ac:dyDescent="0.2">
      <c r="A2248" s="6">
        <v>44051.708333333336</v>
      </c>
      <c r="B2248" s="1" t="s">
        <v>14</v>
      </c>
      <c r="C2248">
        <v>14</v>
      </c>
      <c r="D2248">
        <v>0</v>
      </c>
      <c r="E2248">
        <v>987</v>
      </c>
      <c r="F2248">
        <v>6938</v>
      </c>
      <c r="G2248" s="3">
        <f t="shared" si="105"/>
        <v>3</v>
      </c>
      <c r="H2248" s="4">
        <f t="shared" si="106"/>
        <v>4.3240126837706949E-4</v>
      </c>
      <c r="I2248" s="1">
        <f t="shared" si="107"/>
        <v>0</v>
      </c>
    </row>
    <row r="2249" spans="1:9" hidden="1" x14ac:dyDescent="0.2">
      <c r="A2249" s="6">
        <v>44052.708333333336</v>
      </c>
      <c r="B2249" s="1" t="s">
        <v>14</v>
      </c>
      <c r="C2249">
        <v>13</v>
      </c>
      <c r="D2249">
        <v>0</v>
      </c>
      <c r="E2249">
        <v>987</v>
      </c>
      <c r="F2249">
        <v>6954</v>
      </c>
      <c r="G2249" s="3">
        <f t="shared" si="105"/>
        <v>16</v>
      </c>
      <c r="H2249" s="4">
        <f t="shared" si="106"/>
        <v>2.3008340523439363E-3</v>
      </c>
      <c r="I2249" s="1">
        <f t="shared" si="107"/>
        <v>0</v>
      </c>
    </row>
    <row r="2250" spans="1:9" hidden="1" x14ac:dyDescent="0.2">
      <c r="A2250" s="6">
        <v>44053.708333333336</v>
      </c>
      <c r="B2250" s="1" t="s">
        <v>14</v>
      </c>
      <c r="C2250">
        <v>11</v>
      </c>
      <c r="D2250">
        <v>0</v>
      </c>
      <c r="E2250">
        <v>987</v>
      </c>
      <c r="F2250">
        <v>6956</v>
      </c>
      <c r="G2250" s="3">
        <f t="shared" si="105"/>
        <v>2</v>
      </c>
      <c r="H2250" s="4">
        <f t="shared" si="106"/>
        <v>2.875215641172657E-4</v>
      </c>
      <c r="I2250" s="1">
        <f t="shared" si="107"/>
        <v>0</v>
      </c>
    </row>
    <row r="2251" spans="1:9" hidden="1" x14ac:dyDescent="0.2">
      <c r="A2251" s="6">
        <v>44054.708333333336</v>
      </c>
      <c r="B2251" s="1" t="s">
        <v>14</v>
      </c>
      <c r="C2251">
        <v>11</v>
      </c>
      <c r="D2251">
        <v>0</v>
      </c>
      <c r="E2251">
        <v>987</v>
      </c>
      <c r="F2251">
        <v>6960</v>
      </c>
      <c r="G2251" s="3">
        <f t="shared" si="105"/>
        <v>4</v>
      </c>
      <c r="H2251" s="4">
        <f t="shared" si="106"/>
        <v>5.7471264367814356E-4</v>
      </c>
      <c r="I2251" s="1">
        <f t="shared" si="107"/>
        <v>0</v>
      </c>
    </row>
    <row r="2252" spans="1:9" hidden="1" x14ac:dyDescent="0.2">
      <c r="A2252" s="6">
        <v>44055.708333333336</v>
      </c>
      <c r="B2252" s="1" t="s">
        <v>14</v>
      </c>
      <c r="C2252">
        <v>10</v>
      </c>
      <c r="D2252">
        <v>0</v>
      </c>
      <c r="E2252">
        <v>987</v>
      </c>
      <c r="F2252">
        <v>6976</v>
      </c>
      <c r="G2252" s="3">
        <f t="shared" si="105"/>
        <v>16</v>
      </c>
      <c r="H2252" s="4">
        <f t="shared" si="106"/>
        <v>2.2935779816514179E-3</v>
      </c>
      <c r="I2252" s="1">
        <f t="shared" si="107"/>
        <v>0</v>
      </c>
    </row>
    <row r="2253" spans="1:9" hidden="1" x14ac:dyDescent="0.2">
      <c r="A2253" s="6">
        <v>44056.708333333336</v>
      </c>
      <c r="B2253" s="1" t="s">
        <v>14</v>
      </c>
      <c r="C2253">
        <v>8</v>
      </c>
      <c r="D2253">
        <v>0</v>
      </c>
      <c r="E2253">
        <v>987</v>
      </c>
      <c r="F2253">
        <v>6987</v>
      </c>
      <c r="G2253" s="3">
        <f t="shared" si="105"/>
        <v>11</v>
      </c>
      <c r="H2253" s="4">
        <f t="shared" si="106"/>
        <v>1.5743523686847505E-3</v>
      </c>
      <c r="I2253" s="1">
        <f t="shared" si="107"/>
        <v>0</v>
      </c>
    </row>
    <row r="2254" spans="1:9" hidden="1" x14ac:dyDescent="0.2">
      <c r="A2254" s="6">
        <v>44057.708333333336</v>
      </c>
      <c r="B2254" s="1" t="s">
        <v>14</v>
      </c>
      <c r="C2254">
        <v>10</v>
      </c>
      <c r="D2254">
        <v>1</v>
      </c>
      <c r="E2254">
        <v>987</v>
      </c>
      <c r="F2254">
        <v>7019</v>
      </c>
      <c r="G2254" s="3">
        <f t="shared" si="105"/>
        <v>32</v>
      </c>
      <c r="H2254" s="4">
        <f t="shared" si="106"/>
        <v>4.5590539962957477E-3</v>
      </c>
      <c r="I2254" s="1">
        <f t="shared" si="107"/>
        <v>0</v>
      </c>
    </row>
    <row r="2255" spans="1:9" hidden="1" x14ac:dyDescent="0.2">
      <c r="A2255" s="6">
        <v>44058.708333333336</v>
      </c>
      <c r="B2255" s="1" t="s">
        <v>14</v>
      </c>
      <c r="C2255">
        <v>13</v>
      </c>
      <c r="D2255">
        <v>1</v>
      </c>
      <c r="E2255">
        <v>987</v>
      </c>
      <c r="F2255">
        <v>7030</v>
      </c>
      <c r="G2255" s="3">
        <f t="shared" si="105"/>
        <v>11</v>
      </c>
      <c r="H2255" s="4">
        <f t="shared" si="106"/>
        <v>1.5647226173541862E-3</v>
      </c>
      <c r="I2255" s="1">
        <f t="shared" si="107"/>
        <v>0</v>
      </c>
    </row>
    <row r="2256" spans="1:9" hidden="1" x14ac:dyDescent="0.2">
      <c r="A2256" s="6">
        <v>44059.708333333336</v>
      </c>
      <c r="B2256" s="1" t="s">
        <v>14</v>
      </c>
      <c r="C2256">
        <v>12</v>
      </c>
      <c r="D2256">
        <v>1</v>
      </c>
      <c r="E2256">
        <v>987</v>
      </c>
      <c r="F2256">
        <v>7035</v>
      </c>
      <c r="G2256" s="3">
        <f t="shared" si="105"/>
        <v>5</v>
      </c>
      <c r="H2256" s="4">
        <f t="shared" si="106"/>
        <v>7.1073205401561701E-4</v>
      </c>
      <c r="I2256" s="1">
        <f t="shared" si="107"/>
        <v>0</v>
      </c>
    </row>
    <row r="2257" spans="1:9" hidden="1" x14ac:dyDescent="0.2">
      <c r="A2257" s="6">
        <v>44060.708333333336</v>
      </c>
      <c r="B2257" s="1" t="s">
        <v>14</v>
      </c>
      <c r="C2257">
        <v>12</v>
      </c>
      <c r="D2257">
        <v>1</v>
      </c>
      <c r="E2257">
        <v>987</v>
      </c>
      <c r="F2257">
        <v>7043</v>
      </c>
      <c r="G2257" s="3">
        <f t="shared" si="105"/>
        <v>8</v>
      </c>
      <c r="H2257" s="4">
        <f t="shared" si="106"/>
        <v>1.1358795967627566E-3</v>
      </c>
      <c r="I2257" s="1">
        <f t="shared" si="107"/>
        <v>0</v>
      </c>
    </row>
    <row r="2258" spans="1:9" hidden="1" x14ac:dyDescent="0.2">
      <c r="A2258" s="6">
        <v>44061.708333333336</v>
      </c>
      <c r="B2258" s="1" t="s">
        <v>14</v>
      </c>
      <c r="C2258">
        <v>13</v>
      </c>
      <c r="D2258">
        <v>1</v>
      </c>
      <c r="E2258">
        <v>987</v>
      </c>
      <c r="F2258">
        <v>7058</v>
      </c>
      <c r="G2258" s="3">
        <f t="shared" si="105"/>
        <v>15</v>
      </c>
      <c r="H2258" s="4">
        <f t="shared" si="106"/>
        <v>2.1252479455936557E-3</v>
      </c>
      <c r="I2258" s="1">
        <f t="shared" si="107"/>
        <v>0</v>
      </c>
    </row>
    <row r="2259" spans="1:9" hidden="1" x14ac:dyDescent="0.2">
      <c r="A2259" s="6">
        <v>44062.708333333336</v>
      </c>
      <c r="B2259" s="1" t="s">
        <v>14</v>
      </c>
      <c r="C2259">
        <v>13</v>
      </c>
      <c r="D2259">
        <v>1</v>
      </c>
      <c r="E2259">
        <v>987</v>
      </c>
      <c r="F2259">
        <v>7065</v>
      </c>
      <c r="G2259" s="3">
        <f t="shared" si="105"/>
        <v>7</v>
      </c>
      <c r="H2259" s="4">
        <f t="shared" si="106"/>
        <v>9.9079971691440338E-4</v>
      </c>
      <c r="I2259" s="1">
        <f t="shared" si="107"/>
        <v>0</v>
      </c>
    </row>
    <row r="2260" spans="1:9" hidden="1" x14ac:dyDescent="0.2">
      <c r="A2260" s="6">
        <v>44063.708333333336</v>
      </c>
      <c r="B2260" s="1" t="s">
        <v>14</v>
      </c>
      <c r="C2260">
        <v>14</v>
      </c>
      <c r="D2260">
        <v>1</v>
      </c>
      <c r="E2260">
        <v>987</v>
      </c>
      <c r="F2260">
        <v>7078</v>
      </c>
      <c r="G2260" s="3">
        <f t="shared" si="105"/>
        <v>13</v>
      </c>
      <c r="H2260" s="4">
        <f t="shared" si="106"/>
        <v>1.8366770274088617E-3</v>
      </c>
      <c r="I2260" s="1">
        <f t="shared" si="107"/>
        <v>0</v>
      </c>
    </row>
    <row r="2261" spans="1:9" hidden="1" x14ac:dyDescent="0.2">
      <c r="A2261" s="6">
        <v>44064.708333333336</v>
      </c>
      <c r="B2261" s="1" t="s">
        <v>14</v>
      </c>
      <c r="C2261">
        <v>13</v>
      </c>
      <c r="D2261">
        <v>1</v>
      </c>
      <c r="E2261">
        <v>987</v>
      </c>
      <c r="F2261">
        <v>7095</v>
      </c>
      <c r="G2261" s="3">
        <f t="shared" si="105"/>
        <v>17</v>
      </c>
      <c r="H2261" s="4">
        <f t="shared" si="106"/>
        <v>2.3960535588442022E-3</v>
      </c>
      <c r="I2261" s="1">
        <f t="shared" si="107"/>
        <v>0</v>
      </c>
    </row>
    <row r="2262" spans="1:9" hidden="1" x14ac:dyDescent="0.2">
      <c r="A2262" s="6">
        <v>44065.708333333336</v>
      </c>
      <c r="B2262" s="1" t="s">
        <v>14</v>
      </c>
      <c r="C2262">
        <v>11</v>
      </c>
      <c r="D2262">
        <v>1</v>
      </c>
      <c r="E2262">
        <v>987</v>
      </c>
      <c r="F2262">
        <v>7105</v>
      </c>
      <c r="G2262" s="3">
        <f t="shared" si="105"/>
        <v>10</v>
      </c>
      <c r="H2262" s="4">
        <f t="shared" si="106"/>
        <v>1.4074595355383357E-3</v>
      </c>
      <c r="I2262" s="1">
        <f t="shared" si="107"/>
        <v>0</v>
      </c>
    </row>
    <row r="2263" spans="1:9" hidden="1" x14ac:dyDescent="0.2">
      <c r="A2263" s="6">
        <v>44066.708333333336</v>
      </c>
      <c r="B2263" s="1" t="s">
        <v>14</v>
      </c>
      <c r="C2263">
        <v>12</v>
      </c>
      <c r="D2263">
        <v>1</v>
      </c>
      <c r="E2263">
        <v>987</v>
      </c>
      <c r="F2263">
        <v>7110</v>
      </c>
      <c r="G2263" s="3">
        <f t="shared" si="105"/>
        <v>5</v>
      </c>
      <c r="H2263" s="4">
        <f t="shared" si="106"/>
        <v>7.0323488045009874E-4</v>
      </c>
      <c r="I2263" s="1">
        <f t="shared" si="107"/>
        <v>0</v>
      </c>
    </row>
    <row r="2264" spans="1:9" hidden="1" x14ac:dyDescent="0.2">
      <c r="A2264" s="6">
        <v>44067.708333333336</v>
      </c>
      <c r="B2264" s="1" t="s">
        <v>14</v>
      </c>
      <c r="C2264">
        <v>13</v>
      </c>
      <c r="D2264">
        <v>0</v>
      </c>
      <c r="E2264">
        <v>987</v>
      </c>
      <c r="F2264">
        <v>7113</v>
      </c>
      <c r="G2264" s="3">
        <f t="shared" si="105"/>
        <v>3</v>
      </c>
      <c r="H2264" s="4">
        <f t="shared" si="106"/>
        <v>4.21762969211259E-4</v>
      </c>
      <c r="I2264" s="1">
        <f t="shared" si="107"/>
        <v>0</v>
      </c>
    </row>
    <row r="2265" spans="1:9" hidden="1" x14ac:dyDescent="0.2">
      <c r="A2265" s="6">
        <v>44068.708333333336</v>
      </c>
      <c r="B2265" s="1" t="s">
        <v>14</v>
      </c>
      <c r="C2265">
        <v>14</v>
      </c>
      <c r="D2265">
        <v>0</v>
      </c>
      <c r="E2265">
        <v>987</v>
      </c>
      <c r="F2265">
        <v>7124</v>
      </c>
      <c r="G2265" s="3">
        <f t="shared" si="105"/>
        <v>11</v>
      </c>
      <c r="H2265" s="4">
        <f t="shared" si="106"/>
        <v>1.5440763615945929E-3</v>
      </c>
      <c r="I2265" s="1">
        <f t="shared" si="107"/>
        <v>0</v>
      </c>
    </row>
    <row r="2266" spans="1:9" hidden="1" x14ac:dyDescent="0.2">
      <c r="A2266" s="6">
        <v>44069.708333333336</v>
      </c>
      <c r="B2266" s="1" t="s">
        <v>14</v>
      </c>
      <c r="C2266">
        <v>9</v>
      </c>
      <c r="D2266">
        <v>0</v>
      </c>
      <c r="E2266">
        <v>987</v>
      </c>
      <c r="F2266">
        <v>7133</v>
      </c>
      <c r="G2266" s="3">
        <f t="shared" si="105"/>
        <v>9</v>
      </c>
      <c r="H2266" s="4">
        <f t="shared" si="106"/>
        <v>1.261741202859934E-3</v>
      </c>
      <c r="I2266" s="1">
        <f t="shared" si="107"/>
        <v>0</v>
      </c>
    </row>
    <row r="2267" spans="1:9" hidden="1" x14ac:dyDescent="0.2">
      <c r="A2267" s="6">
        <v>44070.708333333336</v>
      </c>
      <c r="B2267" s="1" t="s">
        <v>14</v>
      </c>
      <c r="C2267">
        <v>8</v>
      </c>
      <c r="D2267">
        <v>0</v>
      </c>
      <c r="E2267">
        <v>987</v>
      </c>
      <c r="F2267">
        <v>7194</v>
      </c>
      <c r="G2267" s="3">
        <f t="shared" si="105"/>
        <v>61</v>
      </c>
      <c r="H2267" s="4">
        <f t="shared" si="106"/>
        <v>8.4792882958020233E-3</v>
      </c>
      <c r="I2267" s="1">
        <f t="shared" si="107"/>
        <v>0</v>
      </c>
    </row>
    <row r="2268" spans="1:9" hidden="1" x14ac:dyDescent="0.2">
      <c r="A2268" s="6">
        <v>44071.708333333336</v>
      </c>
      <c r="B2268" s="1" t="s">
        <v>14</v>
      </c>
      <c r="C2268">
        <v>8</v>
      </c>
      <c r="D2268">
        <v>1</v>
      </c>
      <c r="E2268">
        <v>987</v>
      </c>
      <c r="F2268">
        <v>7211</v>
      </c>
      <c r="G2268" s="3">
        <f t="shared" si="105"/>
        <v>17</v>
      </c>
      <c r="H2268" s="4">
        <f t="shared" si="106"/>
        <v>2.3575093606988951E-3</v>
      </c>
      <c r="I2268" s="1">
        <f t="shared" si="107"/>
        <v>0</v>
      </c>
    </row>
    <row r="2269" spans="1:9" hidden="1" x14ac:dyDescent="0.2">
      <c r="A2269" s="6">
        <v>44072.708333333336</v>
      </c>
      <c r="B2269" s="1" t="s">
        <v>14</v>
      </c>
      <c r="C2269">
        <v>10</v>
      </c>
      <c r="D2269">
        <v>1</v>
      </c>
      <c r="E2269">
        <v>987</v>
      </c>
      <c r="F2269">
        <v>7223</v>
      </c>
      <c r="G2269" s="3">
        <f t="shared" si="105"/>
        <v>12</v>
      </c>
      <c r="H2269" s="4">
        <f t="shared" si="106"/>
        <v>1.6613595458950803E-3</v>
      </c>
      <c r="I2269" s="1">
        <f t="shared" si="107"/>
        <v>0</v>
      </c>
    </row>
    <row r="2270" spans="1:9" hidden="1" x14ac:dyDescent="0.2">
      <c r="A2270" s="6">
        <v>44073.708333333336</v>
      </c>
      <c r="B2270" s="1" t="s">
        <v>14</v>
      </c>
      <c r="C2270">
        <v>12</v>
      </c>
      <c r="D2270">
        <v>1</v>
      </c>
      <c r="E2270">
        <v>987</v>
      </c>
      <c r="F2270">
        <v>7238</v>
      </c>
      <c r="G2270" s="3">
        <f t="shared" si="105"/>
        <v>15</v>
      </c>
      <c r="H2270" s="4">
        <f t="shared" si="106"/>
        <v>2.0723956894169726E-3</v>
      </c>
      <c r="I2270" s="1">
        <f t="shared" si="107"/>
        <v>0</v>
      </c>
    </row>
    <row r="2271" spans="1:9" hidden="1" x14ac:dyDescent="0.2">
      <c r="A2271" s="6">
        <v>44074.708333333336</v>
      </c>
      <c r="B2271" s="1" t="s">
        <v>14</v>
      </c>
      <c r="C2271">
        <v>13</v>
      </c>
      <c r="D2271">
        <v>1</v>
      </c>
      <c r="E2271">
        <v>987</v>
      </c>
      <c r="F2271">
        <v>7240</v>
      </c>
      <c r="G2271" s="3">
        <f t="shared" si="105"/>
        <v>2</v>
      </c>
      <c r="H2271" s="4">
        <f t="shared" si="106"/>
        <v>2.7624309392260127E-4</v>
      </c>
      <c r="I2271" s="1">
        <f t="shared" si="107"/>
        <v>0</v>
      </c>
    </row>
    <row r="2272" spans="1:9" hidden="1" x14ac:dyDescent="0.2">
      <c r="A2272" s="6">
        <v>44075.708333333336</v>
      </c>
      <c r="B2272" s="1" t="s">
        <v>14</v>
      </c>
      <c r="C2272">
        <v>14</v>
      </c>
      <c r="D2272">
        <v>1</v>
      </c>
      <c r="E2272">
        <v>987</v>
      </c>
      <c r="F2272">
        <v>7256</v>
      </c>
      <c r="G2272" s="3">
        <f t="shared" si="105"/>
        <v>16</v>
      </c>
      <c r="H2272" s="4">
        <f t="shared" si="106"/>
        <v>2.2050716648290836E-3</v>
      </c>
      <c r="I2272" s="1">
        <f t="shared" si="107"/>
        <v>0</v>
      </c>
    </row>
    <row r="2273" spans="1:9" hidden="1" x14ac:dyDescent="0.2">
      <c r="A2273" s="6">
        <v>44076.708333333336</v>
      </c>
      <c r="B2273" s="1" t="s">
        <v>14</v>
      </c>
      <c r="C2273">
        <v>14</v>
      </c>
      <c r="D2273">
        <v>1</v>
      </c>
      <c r="E2273">
        <v>987</v>
      </c>
      <c r="F2273">
        <v>7273</v>
      </c>
      <c r="G2273" s="3">
        <f t="shared" si="105"/>
        <v>17</v>
      </c>
      <c r="H2273" s="4">
        <f t="shared" si="106"/>
        <v>2.3374123470369934E-3</v>
      </c>
      <c r="I2273" s="1">
        <f t="shared" si="107"/>
        <v>0</v>
      </c>
    </row>
    <row r="2274" spans="1:9" hidden="1" x14ac:dyDescent="0.2">
      <c r="A2274" s="6">
        <v>44077.708333333336</v>
      </c>
      <c r="B2274" s="1" t="s">
        <v>14</v>
      </c>
      <c r="C2274">
        <v>13</v>
      </c>
      <c r="D2274">
        <v>1</v>
      </c>
      <c r="E2274">
        <v>988</v>
      </c>
      <c r="F2274">
        <v>7294</v>
      </c>
      <c r="G2274" s="3">
        <f t="shared" si="105"/>
        <v>21</v>
      </c>
      <c r="H2274" s="4">
        <f t="shared" si="106"/>
        <v>2.8790786948176272E-3</v>
      </c>
      <c r="I2274" s="1">
        <f t="shared" si="107"/>
        <v>1</v>
      </c>
    </row>
    <row r="2275" spans="1:9" hidden="1" x14ac:dyDescent="0.2">
      <c r="A2275" s="6">
        <v>44078.708333333336</v>
      </c>
      <c r="B2275" s="1" t="s">
        <v>14</v>
      </c>
      <c r="C2275">
        <v>12</v>
      </c>
      <c r="D2275">
        <v>1</v>
      </c>
      <c r="E2275">
        <v>988</v>
      </c>
      <c r="F2275">
        <v>7311</v>
      </c>
      <c r="G2275" s="3">
        <f t="shared" si="105"/>
        <v>17</v>
      </c>
      <c r="H2275" s="4">
        <f t="shared" si="106"/>
        <v>2.3252633018738811E-3</v>
      </c>
      <c r="I2275" s="1">
        <f t="shared" si="107"/>
        <v>0</v>
      </c>
    </row>
    <row r="2276" spans="1:9" hidden="1" x14ac:dyDescent="0.2">
      <c r="A2276" s="6">
        <v>44079.708333333336</v>
      </c>
      <c r="B2276" s="1" t="s">
        <v>14</v>
      </c>
      <c r="C2276">
        <v>13</v>
      </c>
      <c r="D2276">
        <v>1</v>
      </c>
      <c r="E2276">
        <v>988</v>
      </c>
      <c r="F2276">
        <v>7343</v>
      </c>
      <c r="G2276" s="3">
        <f t="shared" si="105"/>
        <v>32</v>
      </c>
      <c r="H2276" s="4">
        <f t="shared" si="106"/>
        <v>4.3578918698079505E-3</v>
      </c>
      <c r="I2276" s="1">
        <f t="shared" si="107"/>
        <v>0</v>
      </c>
    </row>
    <row r="2277" spans="1:9" hidden="1" x14ac:dyDescent="0.2">
      <c r="A2277" s="6">
        <v>44080.708333333336</v>
      </c>
      <c r="B2277" s="1" t="s">
        <v>14</v>
      </c>
      <c r="C2277">
        <v>14</v>
      </c>
      <c r="D2277">
        <v>1</v>
      </c>
      <c r="E2277">
        <v>988</v>
      </c>
      <c r="F2277">
        <v>7363</v>
      </c>
      <c r="G2277" s="3">
        <f t="shared" si="105"/>
        <v>20</v>
      </c>
      <c r="H2277" s="4">
        <f t="shared" si="106"/>
        <v>2.7162841233192569E-3</v>
      </c>
      <c r="I2277" s="1">
        <f t="shared" si="107"/>
        <v>0</v>
      </c>
    </row>
    <row r="2278" spans="1:9" hidden="1" x14ac:dyDescent="0.2">
      <c r="A2278" s="6">
        <v>44081.708333333336</v>
      </c>
      <c r="B2278" s="1" t="s">
        <v>14</v>
      </c>
      <c r="C2278">
        <v>16</v>
      </c>
      <c r="D2278">
        <v>1</v>
      </c>
      <c r="E2278">
        <v>988</v>
      </c>
      <c r="F2278">
        <v>7369</v>
      </c>
      <c r="G2278" s="3">
        <f t="shared" si="105"/>
        <v>6</v>
      </c>
      <c r="H2278" s="4">
        <f t="shared" si="106"/>
        <v>8.1422173972045542E-4</v>
      </c>
      <c r="I2278" s="1">
        <f t="shared" si="107"/>
        <v>0</v>
      </c>
    </row>
    <row r="2279" spans="1:9" hidden="1" x14ac:dyDescent="0.2">
      <c r="A2279" s="6">
        <v>44082.708333333336</v>
      </c>
      <c r="B2279" s="1" t="s">
        <v>14</v>
      </c>
      <c r="C2279">
        <v>16</v>
      </c>
      <c r="D2279">
        <v>1</v>
      </c>
      <c r="E2279">
        <v>988</v>
      </c>
      <c r="F2279">
        <v>7384</v>
      </c>
      <c r="G2279" s="3">
        <f t="shared" si="105"/>
        <v>15</v>
      </c>
      <c r="H2279" s="4">
        <f t="shared" si="106"/>
        <v>2.0314192849404389E-3</v>
      </c>
      <c r="I2279" s="1">
        <f t="shared" si="107"/>
        <v>0</v>
      </c>
    </row>
    <row r="2280" spans="1:9" hidden="1" x14ac:dyDescent="0.2">
      <c r="A2280" s="6">
        <v>44083.708333333336</v>
      </c>
      <c r="B2280" s="1" t="s">
        <v>14</v>
      </c>
      <c r="C2280">
        <v>14</v>
      </c>
      <c r="D2280">
        <v>2</v>
      </c>
      <c r="E2280">
        <v>988</v>
      </c>
      <c r="F2280">
        <v>7403</v>
      </c>
      <c r="G2280" s="3">
        <f t="shared" si="105"/>
        <v>19</v>
      </c>
      <c r="H2280" s="4">
        <f t="shared" si="106"/>
        <v>2.5665270836147114E-3</v>
      </c>
      <c r="I2280" s="1">
        <f t="shared" si="107"/>
        <v>0</v>
      </c>
    </row>
    <row r="2281" spans="1:9" hidden="1" x14ac:dyDescent="0.2">
      <c r="A2281" s="6">
        <v>44084.708333333336</v>
      </c>
      <c r="B2281" s="1" t="s">
        <v>14</v>
      </c>
      <c r="C2281">
        <v>11</v>
      </c>
      <c r="D2281">
        <v>2</v>
      </c>
      <c r="E2281">
        <v>989</v>
      </c>
      <c r="F2281">
        <v>7443</v>
      </c>
      <c r="G2281" s="3">
        <f t="shared" si="105"/>
        <v>40</v>
      </c>
      <c r="H2281" s="4">
        <f t="shared" si="106"/>
        <v>5.3741770791347898E-3</v>
      </c>
      <c r="I2281" s="1">
        <f t="shared" si="107"/>
        <v>1</v>
      </c>
    </row>
    <row r="2282" spans="1:9" hidden="1" x14ac:dyDescent="0.2">
      <c r="A2282" s="6">
        <v>44085.708333333336</v>
      </c>
      <c r="B2282" s="1" t="s">
        <v>14</v>
      </c>
      <c r="C2282">
        <v>13</v>
      </c>
      <c r="D2282">
        <v>2</v>
      </c>
      <c r="E2282">
        <v>989</v>
      </c>
      <c r="F2282">
        <v>7484</v>
      </c>
      <c r="G2282" s="3">
        <f t="shared" si="105"/>
        <v>41</v>
      </c>
      <c r="H2282" s="4">
        <f t="shared" si="106"/>
        <v>5.4783538214858707E-3</v>
      </c>
      <c r="I2282" s="1">
        <f t="shared" si="107"/>
        <v>0</v>
      </c>
    </row>
    <row r="2283" spans="1:9" hidden="1" x14ac:dyDescent="0.2">
      <c r="A2283" s="6">
        <v>44086.708333333336</v>
      </c>
      <c r="B2283" s="1" t="s">
        <v>14</v>
      </c>
      <c r="C2283">
        <v>12</v>
      </c>
      <c r="D2283">
        <v>2</v>
      </c>
      <c r="E2283">
        <v>989</v>
      </c>
      <c r="F2283">
        <v>7511</v>
      </c>
      <c r="G2283" s="3">
        <f t="shared" si="105"/>
        <v>27</v>
      </c>
      <c r="H2283" s="4">
        <f t="shared" si="106"/>
        <v>3.5947277326587868E-3</v>
      </c>
      <c r="I2283" s="1">
        <f t="shared" si="107"/>
        <v>0</v>
      </c>
    </row>
    <row r="2284" spans="1:9" hidden="1" x14ac:dyDescent="0.2">
      <c r="A2284" s="6">
        <v>44087.708333333336</v>
      </c>
      <c r="B2284" s="1" t="s">
        <v>14</v>
      </c>
      <c r="C2284">
        <v>14</v>
      </c>
      <c r="D2284">
        <v>2</v>
      </c>
      <c r="E2284">
        <v>989</v>
      </c>
      <c r="F2284">
        <v>7550</v>
      </c>
      <c r="G2284" s="3">
        <f t="shared" si="105"/>
        <v>39</v>
      </c>
      <c r="H2284" s="4">
        <f t="shared" si="106"/>
        <v>5.1655629139072401E-3</v>
      </c>
      <c r="I2284" s="1">
        <f t="shared" si="107"/>
        <v>0</v>
      </c>
    </row>
    <row r="2285" spans="1:9" hidden="1" x14ac:dyDescent="0.2">
      <c r="A2285" s="6">
        <v>44088.708333333336</v>
      </c>
      <c r="B2285" s="1" t="s">
        <v>14</v>
      </c>
      <c r="C2285">
        <v>15</v>
      </c>
      <c r="D2285">
        <v>2</v>
      </c>
      <c r="E2285">
        <v>989</v>
      </c>
      <c r="F2285">
        <v>7561</v>
      </c>
      <c r="G2285" s="3">
        <f t="shared" si="105"/>
        <v>11</v>
      </c>
      <c r="H2285" s="4">
        <f t="shared" si="106"/>
        <v>1.4548340166644635E-3</v>
      </c>
      <c r="I2285" s="1">
        <f t="shared" si="107"/>
        <v>0</v>
      </c>
    </row>
    <row r="2286" spans="1:9" hidden="1" x14ac:dyDescent="0.2">
      <c r="A2286" s="6">
        <v>44089.708333333336</v>
      </c>
      <c r="B2286" s="1" t="s">
        <v>14</v>
      </c>
      <c r="C2286">
        <v>17</v>
      </c>
      <c r="D2286">
        <v>2</v>
      </c>
      <c r="E2286">
        <v>989</v>
      </c>
      <c r="F2286">
        <v>7575</v>
      </c>
      <c r="G2286" s="3">
        <f t="shared" si="105"/>
        <v>14</v>
      </c>
      <c r="H2286" s="4">
        <f t="shared" si="106"/>
        <v>1.8481848184818128E-3</v>
      </c>
      <c r="I2286" s="1">
        <f t="shared" si="107"/>
        <v>0</v>
      </c>
    </row>
    <row r="2287" spans="1:9" hidden="1" x14ac:dyDescent="0.2">
      <c r="A2287" s="6">
        <v>44090.708333333336</v>
      </c>
      <c r="B2287" s="1" t="s">
        <v>14</v>
      </c>
      <c r="C2287">
        <v>15</v>
      </c>
      <c r="D2287">
        <v>2</v>
      </c>
      <c r="E2287">
        <v>989</v>
      </c>
      <c r="F2287">
        <v>7613</v>
      </c>
      <c r="G2287" s="3">
        <f t="shared" si="105"/>
        <v>38</v>
      </c>
      <c r="H2287" s="4">
        <f t="shared" si="106"/>
        <v>4.9914619729409804E-3</v>
      </c>
      <c r="I2287" s="1">
        <f t="shared" si="107"/>
        <v>0</v>
      </c>
    </row>
    <row r="2288" spans="1:9" hidden="1" x14ac:dyDescent="0.2">
      <c r="A2288" s="6">
        <v>44091.708333333336</v>
      </c>
      <c r="B2288" s="1" t="s">
        <v>14</v>
      </c>
      <c r="C2288">
        <v>20</v>
      </c>
      <c r="D2288">
        <v>2</v>
      </c>
      <c r="E2288">
        <v>989</v>
      </c>
      <c r="F2288">
        <v>7650</v>
      </c>
      <c r="G2288" s="3">
        <f t="shared" si="105"/>
        <v>37</v>
      </c>
      <c r="H2288" s="4">
        <f t="shared" si="106"/>
        <v>4.8366013071895475E-3</v>
      </c>
      <c r="I2288" s="1">
        <f t="shared" si="107"/>
        <v>0</v>
      </c>
    </row>
    <row r="2289" spans="1:9" hidden="1" x14ac:dyDescent="0.2">
      <c r="A2289" s="6">
        <v>44092.708333333336</v>
      </c>
      <c r="B2289" s="1" t="s">
        <v>14</v>
      </c>
      <c r="C2289">
        <v>22</v>
      </c>
      <c r="D2289">
        <v>1</v>
      </c>
      <c r="E2289">
        <v>989</v>
      </c>
      <c r="F2289">
        <v>7679</v>
      </c>
      <c r="G2289" s="3">
        <f t="shared" si="105"/>
        <v>29</v>
      </c>
      <c r="H2289" s="4">
        <f t="shared" si="106"/>
        <v>3.7765334027868303E-3</v>
      </c>
      <c r="I2289" s="1">
        <f t="shared" si="107"/>
        <v>0</v>
      </c>
    </row>
    <row r="2290" spans="1:9" hidden="1" x14ac:dyDescent="0.2">
      <c r="A2290" s="6">
        <v>44093.708333333336</v>
      </c>
      <c r="B2290" s="1" t="s">
        <v>14</v>
      </c>
      <c r="C2290">
        <v>23</v>
      </c>
      <c r="D2290">
        <v>2</v>
      </c>
      <c r="E2290">
        <v>989</v>
      </c>
      <c r="F2290">
        <v>7703</v>
      </c>
      <c r="G2290" s="3">
        <f t="shared" si="105"/>
        <v>24</v>
      </c>
      <c r="H2290" s="4">
        <f t="shared" si="106"/>
        <v>3.115669219784456E-3</v>
      </c>
      <c r="I2290" s="1">
        <f t="shared" si="107"/>
        <v>0</v>
      </c>
    </row>
    <row r="2291" spans="1:9" hidden="1" x14ac:dyDescent="0.2">
      <c r="A2291" s="6">
        <v>44094.708333333336</v>
      </c>
      <c r="B2291" s="1" t="s">
        <v>14</v>
      </c>
      <c r="C2291">
        <v>21</v>
      </c>
      <c r="D2291">
        <v>2</v>
      </c>
      <c r="E2291">
        <v>989</v>
      </c>
      <c r="F2291">
        <v>7734</v>
      </c>
      <c r="G2291" s="3">
        <f t="shared" si="105"/>
        <v>31</v>
      </c>
      <c r="H2291" s="4">
        <f t="shared" si="106"/>
        <v>4.0082751486940627E-3</v>
      </c>
      <c r="I2291" s="1">
        <f t="shared" si="107"/>
        <v>0</v>
      </c>
    </row>
    <row r="2292" spans="1:9" hidden="1" x14ac:dyDescent="0.2">
      <c r="A2292" s="6">
        <v>44095.708333333336</v>
      </c>
      <c r="B2292" s="1" t="s">
        <v>14</v>
      </c>
      <c r="C2292">
        <v>24</v>
      </c>
      <c r="D2292">
        <v>2</v>
      </c>
      <c r="E2292">
        <v>989</v>
      </c>
      <c r="F2292">
        <v>7751</v>
      </c>
      <c r="G2292" s="3">
        <f t="shared" si="105"/>
        <v>17</v>
      </c>
      <c r="H2292" s="4">
        <f t="shared" si="106"/>
        <v>2.1932653851115536E-3</v>
      </c>
      <c r="I2292" s="1">
        <f t="shared" si="107"/>
        <v>0</v>
      </c>
    </row>
    <row r="2293" spans="1:9" hidden="1" x14ac:dyDescent="0.2">
      <c r="A2293" s="6">
        <v>44096.708333333336</v>
      </c>
      <c r="B2293" s="1" t="s">
        <v>14</v>
      </c>
      <c r="C2293">
        <v>24</v>
      </c>
      <c r="D2293">
        <v>3</v>
      </c>
      <c r="E2293">
        <v>989</v>
      </c>
      <c r="F2293">
        <v>7769</v>
      </c>
      <c r="G2293" s="3">
        <f t="shared" si="105"/>
        <v>18</v>
      </c>
      <c r="H2293" s="4">
        <f t="shared" si="106"/>
        <v>2.3169005019950673E-3</v>
      </c>
      <c r="I2293" s="1">
        <f t="shared" si="107"/>
        <v>0</v>
      </c>
    </row>
    <row r="2294" spans="1:9" hidden="1" x14ac:dyDescent="0.2">
      <c r="A2294" s="6">
        <v>44097.708333333336</v>
      </c>
      <c r="B2294" s="1" t="s">
        <v>14</v>
      </c>
      <c r="C2294">
        <v>24</v>
      </c>
      <c r="D2294">
        <v>4</v>
      </c>
      <c r="E2294">
        <v>989</v>
      </c>
      <c r="F2294">
        <v>7801</v>
      </c>
      <c r="G2294" s="3">
        <f t="shared" si="105"/>
        <v>32</v>
      </c>
      <c r="H2294" s="4">
        <f t="shared" si="106"/>
        <v>4.1020382002306954E-3</v>
      </c>
      <c r="I2294" s="1">
        <f t="shared" si="107"/>
        <v>0</v>
      </c>
    </row>
    <row r="2295" spans="1:9" hidden="1" x14ac:dyDescent="0.2">
      <c r="A2295" s="6">
        <v>44098.708333333336</v>
      </c>
      <c r="B2295" s="1" t="s">
        <v>14</v>
      </c>
      <c r="C2295">
        <v>25</v>
      </c>
      <c r="D2295">
        <v>3</v>
      </c>
      <c r="E2295">
        <v>989</v>
      </c>
      <c r="F2295">
        <v>7818</v>
      </c>
      <c r="G2295" s="3">
        <f t="shared" si="105"/>
        <v>17</v>
      </c>
      <c r="H2295" s="4">
        <f t="shared" si="106"/>
        <v>2.1744691737016764E-3</v>
      </c>
      <c r="I2295" s="1">
        <f t="shared" si="107"/>
        <v>0</v>
      </c>
    </row>
    <row r="2296" spans="1:9" hidden="1" x14ac:dyDescent="0.2">
      <c r="A2296" s="6">
        <v>44099.708333333336</v>
      </c>
      <c r="B2296" s="1" t="s">
        <v>14</v>
      </c>
      <c r="C2296">
        <v>22</v>
      </c>
      <c r="D2296">
        <v>2</v>
      </c>
      <c r="E2296">
        <v>990</v>
      </c>
      <c r="F2296">
        <v>7851</v>
      </c>
      <c r="G2296" s="3">
        <f t="shared" si="105"/>
        <v>33</v>
      </c>
      <c r="H2296" s="4">
        <f t="shared" si="106"/>
        <v>4.20328620557886E-3</v>
      </c>
      <c r="I2296" s="1">
        <f t="shared" si="107"/>
        <v>1</v>
      </c>
    </row>
    <row r="2297" spans="1:9" hidden="1" x14ac:dyDescent="0.2">
      <c r="A2297" s="6">
        <v>44100.708333333336</v>
      </c>
      <c r="B2297" s="1" t="s">
        <v>14</v>
      </c>
      <c r="C2297">
        <v>23</v>
      </c>
      <c r="D2297">
        <v>2</v>
      </c>
      <c r="E2297">
        <v>990</v>
      </c>
      <c r="F2297">
        <v>7877</v>
      </c>
      <c r="G2297" s="3">
        <f t="shared" si="105"/>
        <v>26</v>
      </c>
      <c r="H2297" s="4">
        <f t="shared" si="106"/>
        <v>3.3007490161228725E-3</v>
      </c>
      <c r="I2297" s="1">
        <f t="shared" si="107"/>
        <v>0</v>
      </c>
    </row>
    <row r="2298" spans="1:9" hidden="1" x14ac:dyDescent="0.2">
      <c r="A2298" s="6">
        <v>44101.708333333336</v>
      </c>
      <c r="B2298" s="1" t="s">
        <v>14</v>
      </c>
      <c r="C2298">
        <v>20</v>
      </c>
      <c r="D2298">
        <v>2</v>
      </c>
      <c r="E2298">
        <v>990</v>
      </c>
      <c r="F2298">
        <v>7901</v>
      </c>
      <c r="G2298" s="3">
        <f t="shared" si="105"/>
        <v>24</v>
      </c>
      <c r="H2298" s="4">
        <f t="shared" si="106"/>
        <v>3.0375901784583936E-3</v>
      </c>
      <c r="I2298" s="1">
        <f t="shared" si="107"/>
        <v>0</v>
      </c>
    </row>
    <row r="2299" spans="1:9" hidden="1" x14ac:dyDescent="0.2">
      <c r="A2299" s="6">
        <v>44102.708333333336</v>
      </c>
      <c r="B2299" s="1" t="s">
        <v>14</v>
      </c>
      <c r="C2299">
        <v>25</v>
      </c>
      <c r="D2299">
        <v>4</v>
      </c>
      <c r="E2299">
        <v>990</v>
      </c>
      <c r="F2299">
        <v>7906</v>
      </c>
      <c r="G2299" s="3">
        <f t="shared" si="105"/>
        <v>5</v>
      </c>
      <c r="H2299" s="4">
        <f t="shared" si="106"/>
        <v>6.3243106501387203E-4</v>
      </c>
      <c r="I2299" s="1">
        <f t="shared" si="107"/>
        <v>0</v>
      </c>
    </row>
    <row r="2300" spans="1:9" hidden="1" x14ac:dyDescent="0.2">
      <c r="A2300" s="6">
        <v>44103.708333333336</v>
      </c>
      <c r="B2300" s="1" t="s">
        <v>14</v>
      </c>
      <c r="C2300">
        <v>26</v>
      </c>
      <c r="D2300">
        <v>3</v>
      </c>
      <c r="E2300">
        <v>990</v>
      </c>
      <c r="F2300">
        <v>7932</v>
      </c>
      <c r="G2300" s="3">
        <f t="shared" si="105"/>
        <v>26</v>
      </c>
      <c r="H2300" s="4">
        <f t="shared" si="106"/>
        <v>3.2778618255169256E-3</v>
      </c>
      <c r="I2300" s="1">
        <f t="shared" si="107"/>
        <v>0</v>
      </c>
    </row>
    <row r="2301" spans="1:9" hidden="1" x14ac:dyDescent="0.2">
      <c r="A2301" s="6">
        <v>44104.708333333336</v>
      </c>
      <c r="B2301" s="1" t="s">
        <v>14</v>
      </c>
      <c r="C2301">
        <v>28</v>
      </c>
      <c r="D2301">
        <v>2</v>
      </c>
      <c r="E2301">
        <v>990</v>
      </c>
      <c r="F2301">
        <v>7955</v>
      </c>
      <c r="G2301" s="3">
        <f t="shared" si="105"/>
        <v>23</v>
      </c>
      <c r="H2301" s="4">
        <f t="shared" si="106"/>
        <v>2.8912633563796808E-3</v>
      </c>
      <c r="I2301" s="1">
        <f t="shared" si="107"/>
        <v>0</v>
      </c>
    </row>
    <row r="2302" spans="1:9" hidden="1" x14ac:dyDescent="0.2">
      <c r="A2302" s="6">
        <v>44105.708333333336</v>
      </c>
      <c r="B2302" s="1" t="s">
        <v>14</v>
      </c>
      <c r="C2302">
        <v>24</v>
      </c>
      <c r="D2302">
        <v>6</v>
      </c>
      <c r="E2302">
        <v>990</v>
      </c>
      <c r="F2302">
        <v>7983</v>
      </c>
      <c r="G2302" s="3">
        <f t="shared" si="105"/>
        <v>28</v>
      </c>
      <c r="H2302" s="4">
        <f t="shared" si="106"/>
        <v>3.5074533383440132E-3</v>
      </c>
      <c r="I2302" s="1">
        <f t="shared" si="107"/>
        <v>0</v>
      </c>
    </row>
    <row r="2303" spans="1:9" hidden="1" x14ac:dyDescent="0.2">
      <c r="A2303" s="6">
        <v>44106.708333333336</v>
      </c>
      <c r="B2303" s="1" t="s">
        <v>14</v>
      </c>
      <c r="C2303">
        <v>25</v>
      </c>
      <c r="D2303">
        <v>4</v>
      </c>
      <c r="E2303">
        <v>990</v>
      </c>
      <c r="F2303">
        <v>8025</v>
      </c>
      <c r="G2303" s="3">
        <f t="shared" si="105"/>
        <v>42</v>
      </c>
      <c r="H2303" s="4">
        <f t="shared" si="106"/>
        <v>5.2336448598130358E-3</v>
      </c>
      <c r="I2303" s="1">
        <f t="shared" si="107"/>
        <v>0</v>
      </c>
    </row>
    <row r="2304" spans="1:9" hidden="1" x14ac:dyDescent="0.2">
      <c r="A2304" s="6">
        <v>44107.708333333336</v>
      </c>
      <c r="B2304" s="1" t="s">
        <v>14</v>
      </c>
      <c r="C2304">
        <v>23</v>
      </c>
      <c r="D2304">
        <v>6</v>
      </c>
      <c r="E2304">
        <v>991</v>
      </c>
      <c r="F2304">
        <v>8084</v>
      </c>
      <c r="G2304" s="3">
        <f t="shared" si="105"/>
        <v>59</v>
      </c>
      <c r="H2304" s="4">
        <f t="shared" si="106"/>
        <v>7.2983671449777798E-3</v>
      </c>
      <c r="I2304" s="1">
        <f t="shared" si="107"/>
        <v>1</v>
      </c>
    </row>
    <row r="2305" spans="1:9" hidden="1" x14ac:dyDescent="0.2">
      <c r="A2305" s="6">
        <v>44108.708333333336</v>
      </c>
      <c r="B2305" s="1" t="s">
        <v>14</v>
      </c>
      <c r="C2305">
        <v>24</v>
      </c>
      <c r="D2305">
        <v>6</v>
      </c>
      <c r="E2305">
        <v>992</v>
      </c>
      <c r="F2305">
        <v>8143</v>
      </c>
      <c r="G2305" s="3">
        <f t="shared" si="105"/>
        <v>59</v>
      </c>
      <c r="H2305" s="4">
        <f t="shared" si="106"/>
        <v>7.2454869212821293E-3</v>
      </c>
      <c r="I2305" s="1">
        <f t="shared" si="107"/>
        <v>1</v>
      </c>
    </row>
    <row r="2306" spans="1:9" hidden="1" x14ac:dyDescent="0.2">
      <c r="A2306" s="6">
        <v>44109.708333333336</v>
      </c>
      <c r="B2306" s="1" t="s">
        <v>14</v>
      </c>
      <c r="C2306">
        <v>28</v>
      </c>
      <c r="D2306">
        <v>6</v>
      </c>
      <c r="E2306">
        <v>992</v>
      </c>
      <c r="F2306">
        <v>8165</v>
      </c>
      <c r="G2306" s="3">
        <f t="shared" si="105"/>
        <v>22</v>
      </c>
      <c r="H2306" s="4">
        <f t="shared" si="106"/>
        <v>2.6944274341702545E-3</v>
      </c>
      <c r="I2306" s="1">
        <f t="shared" si="107"/>
        <v>0</v>
      </c>
    </row>
    <row r="2307" spans="1:9" hidden="1" x14ac:dyDescent="0.2">
      <c r="A2307" s="6">
        <v>44110.708333333336</v>
      </c>
      <c r="B2307" s="1" t="s">
        <v>14</v>
      </c>
      <c r="C2307">
        <v>29</v>
      </c>
      <c r="D2307">
        <v>6</v>
      </c>
      <c r="E2307">
        <v>992</v>
      </c>
      <c r="F2307">
        <v>8200</v>
      </c>
      <c r="G2307" s="3">
        <f t="shared" ref="G2307:G2370" si="108">IF(AND(F2307&gt;0,AND(B2307=B2306,F2307&gt;0)),F2307-F2306,0)</f>
        <v>35</v>
      </c>
      <c r="H2307" s="4">
        <f t="shared" ref="H2307:H2370" si="109">IF(AND(F2306&gt;0,AND(B2307=B2306,F2306&gt;0)),1-(F2306/F2307),0)</f>
        <v>4.2682926829268331E-3</v>
      </c>
      <c r="I2307" s="1">
        <f t="shared" ref="I2307:I2370" si="110">IF(AND(E2307&gt;0,AND(B2307=B2306,E2307&gt;0)),E2307-E2306,0)</f>
        <v>0</v>
      </c>
    </row>
    <row r="2308" spans="1:9" hidden="1" x14ac:dyDescent="0.2">
      <c r="A2308" s="6">
        <v>44111.708333333336</v>
      </c>
      <c r="B2308" s="1" t="s">
        <v>14</v>
      </c>
      <c r="C2308">
        <v>31</v>
      </c>
      <c r="D2308">
        <v>5</v>
      </c>
      <c r="E2308">
        <v>992</v>
      </c>
      <c r="F2308">
        <v>8284</v>
      </c>
      <c r="G2308" s="3">
        <f t="shared" si="108"/>
        <v>84</v>
      </c>
      <c r="H2308" s="4">
        <f t="shared" si="109"/>
        <v>1.0140028971511339E-2</v>
      </c>
      <c r="I2308" s="1">
        <f t="shared" si="110"/>
        <v>0</v>
      </c>
    </row>
    <row r="2309" spans="1:9" hidden="1" x14ac:dyDescent="0.2">
      <c r="A2309" s="6">
        <v>44112.708333333336</v>
      </c>
      <c r="B2309" s="1" t="s">
        <v>14</v>
      </c>
      <c r="C2309">
        <v>34</v>
      </c>
      <c r="D2309">
        <v>5</v>
      </c>
      <c r="E2309">
        <v>992</v>
      </c>
      <c r="F2309">
        <v>8350</v>
      </c>
      <c r="G2309" s="3">
        <f t="shared" si="108"/>
        <v>66</v>
      </c>
      <c r="H2309" s="4">
        <f t="shared" si="109"/>
        <v>7.9041916167664761E-3</v>
      </c>
      <c r="I2309" s="1">
        <f t="shared" si="110"/>
        <v>0</v>
      </c>
    </row>
    <row r="2310" spans="1:9" hidden="1" x14ac:dyDescent="0.2">
      <c r="A2310" s="6">
        <v>44113.708333333336</v>
      </c>
      <c r="B2310" s="1" t="s">
        <v>14</v>
      </c>
      <c r="C2310">
        <v>37</v>
      </c>
      <c r="D2310">
        <v>3</v>
      </c>
      <c r="E2310">
        <v>992</v>
      </c>
      <c r="F2310">
        <v>8399</v>
      </c>
      <c r="G2310" s="3">
        <f t="shared" si="108"/>
        <v>49</v>
      </c>
      <c r="H2310" s="4">
        <f t="shared" si="109"/>
        <v>5.8340278604596119E-3</v>
      </c>
      <c r="I2310" s="1">
        <f t="shared" si="110"/>
        <v>0</v>
      </c>
    </row>
    <row r="2311" spans="1:9" hidden="1" x14ac:dyDescent="0.2">
      <c r="A2311" s="6">
        <v>44114.708333333336</v>
      </c>
      <c r="B2311" s="1" t="s">
        <v>14</v>
      </c>
      <c r="C2311">
        <v>41</v>
      </c>
      <c r="D2311">
        <v>3</v>
      </c>
      <c r="E2311">
        <v>992</v>
      </c>
      <c r="F2311">
        <v>8485</v>
      </c>
      <c r="G2311" s="3">
        <f t="shared" si="108"/>
        <v>86</v>
      </c>
      <c r="H2311" s="4">
        <f t="shared" si="109"/>
        <v>1.0135533294048371E-2</v>
      </c>
      <c r="I2311" s="1">
        <f t="shared" si="110"/>
        <v>0</v>
      </c>
    </row>
    <row r="2312" spans="1:9" hidden="1" x14ac:dyDescent="0.2">
      <c r="A2312" s="6">
        <v>44115.708333333336</v>
      </c>
      <c r="B2312" s="1" t="s">
        <v>14</v>
      </c>
      <c r="C2312">
        <v>44</v>
      </c>
      <c r="D2312">
        <v>6</v>
      </c>
      <c r="E2312">
        <v>992</v>
      </c>
      <c r="F2312">
        <v>8593</v>
      </c>
      <c r="G2312" s="3">
        <f t="shared" si="108"/>
        <v>108</v>
      </c>
      <c r="H2312" s="4">
        <f t="shared" si="109"/>
        <v>1.2568369603165319E-2</v>
      </c>
      <c r="I2312" s="1">
        <f t="shared" si="110"/>
        <v>0</v>
      </c>
    </row>
    <row r="2313" spans="1:9" hidden="1" x14ac:dyDescent="0.2">
      <c r="A2313" s="6">
        <v>43885.75</v>
      </c>
      <c r="B2313" s="1" t="s">
        <v>15</v>
      </c>
      <c r="C2313">
        <v>0</v>
      </c>
      <c r="D2313">
        <v>0</v>
      </c>
      <c r="E2313">
        <v>0</v>
      </c>
      <c r="F2313">
        <v>0</v>
      </c>
      <c r="G2313" s="3">
        <f t="shared" si="108"/>
        <v>0</v>
      </c>
      <c r="H2313" s="4">
        <f t="shared" si="109"/>
        <v>0</v>
      </c>
      <c r="I2313" s="1">
        <f t="shared" si="110"/>
        <v>0</v>
      </c>
    </row>
    <row r="2314" spans="1:9" hidden="1" x14ac:dyDescent="0.2">
      <c r="A2314" s="6">
        <v>43886.75</v>
      </c>
      <c r="B2314" s="1" t="s">
        <v>15</v>
      </c>
      <c r="C2314">
        <v>0</v>
      </c>
      <c r="D2314">
        <v>0</v>
      </c>
      <c r="E2314">
        <v>0</v>
      </c>
      <c r="F2314">
        <v>0</v>
      </c>
      <c r="G2314" s="3">
        <f t="shared" si="108"/>
        <v>0</v>
      </c>
      <c r="H2314" s="4">
        <f t="shared" si="109"/>
        <v>0</v>
      </c>
      <c r="I2314" s="1">
        <f t="shared" si="110"/>
        <v>0</v>
      </c>
    </row>
    <row r="2315" spans="1:9" hidden="1" x14ac:dyDescent="0.2">
      <c r="A2315" s="6">
        <v>43887.75</v>
      </c>
      <c r="B2315" s="1" t="s">
        <v>15</v>
      </c>
      <c r="C2315">
        <v>0</v>
      </c>
      <c r="D2315">
        <v>0</v>
      </c>
      <c r="E2315">
        <v>0</v>
      </c>
      <c r="F2315">
        <v>0</v>
      </c>
      <c r="G2315" s="3">
        <f t="shared" si="108"/>
        <v>0</v>
      </c>
      <c r="H2315" s="4">
        <f t="shared" si="109"/>
        <v>0</v>
      </c>
      <c r="I2315" s="1">
        <f t="shared" si="110"/>
        <v>0</v>
      </c>
    </row>
    <row r="2316" spans="1:9" hidden="1" x14ac:dyDescent="0.2">
      <c r="A2316" s="6">
        <v>43888.75</v>
      </c>
      <c r="B2316" s="1" t="s">
        <v>15</v>
      </c>
      <c r="C2316">
        <v>0</v>
      </c>
      <c r="D2316">
        <v>0</v>
      </c>
      <c r="E2316">
        <v>0</v>
      </c>
      <c r="F2316">
        <v>0</v>
      </c>
      <c r="G2316" s="3">
        <f t="shared" si="108"/>
        <v>0</v>
      </c>
      <c r="H2316" s="4">
        <f t="shared" si="109"/>
        <v>0</v>
      </c>
      <c r="I2316" s="1">
        <f t="shared" si="110"/>
        <v>0</v>
      </c>
    </row>
    <row r="2317" spans="1:9" hidden="1" x14ac:dyDescent="0.2">
      <c r="A2317" s="6">
        <v>43889.75</v>
      </c>
      <c r="B2317" s="1" t="s">
        <v>15</v>
      </c>
      <c r="C2317">
        <v>0</v>
      </c>
      <c r="D2317">
        <v>0</v>
      </c>
      <c r="E2317">
        <v>0</v>
      </c>
      <c r="F2317">
        <v>0</v>
      </c>
      <c r="G2317" s="3">
        <f t="shared" si="108"/>
        <v>0</v>
      </c>
      <c r="H2317" s="4">
        <f t="shared" si="109"/>
        <v>0</v>
      </c>
      <c r="I2317" s="1">
        <f t="shared" si="110"/>
        <v>0</v>
      </c>
    </row>
    <row r="2318" spans="1:9" hidden="1" x14ac:dyDescent="0.2">
      <c r="A2318" s="6">
        <v>43890.708333333336</v>
      </c>
      <c r="B2318" s="1" t="s">
        <v>15</v>
      </c>
      <c r="C2318">
        <v>0</v>
      </c>
      <c r="D2318">
        <v>0</v>
      </c>
      <c r="E2318">
        <v>0</v>
      </c>
      <c r="F2318">
        <v>0</v>
      </c>
      <c r="G2318" s="3">
        <f t="shared" si="108"/>
        <v>0</v>
      </c>
      <c r="H2318" s="4">
        <f t="shared" si="109"/>
        <v>0</v>
      </c>
      <c r="I2318" s="1">
        <f t="shared" si="110"/>
        <v>0</v>
      </c>
    </row>
    <row r="2319" spans="1:9" hidden="1" x14ac:dyDescent="0.2">
      <c r="A2319" s="6">
        <v>43891.708333333336</v>
      </c>
      <c r="B2319" s="1" t="s">
        <v>15</v>
      </c>
      <c r="C2319">
        <v>0</v>
      </c>
      <c r="D2319">
        <v>0</v>
      </c>
      <c r="E2319">
        <v>0</v>
      </c>
      <c r="F2319">
        <v>0</v>
      </c>
      <c r="G2319" s="3">
        <f t="shared" si="108"/>
        <v>0</v>
      </c>
      <c r="H2319" s="4">
        <f t="shared" si="109"/>
        <v>0</v>
      </c>
      <c r="I2319" s="1">
        <f t="shared" si="110"/>
        <v>0</v>
      </c>
    </row>
    <row r="2320" spans="1:9" hidden="1" x14ac:dyDescent="0.2">
      <c r="A2320" s="6">
        <v>43892.75</v>
      </c>
      <c r="B2320" s="1" t="s">
        <v>15</v>
      </c>
      <c r="C2320">
        <v>0</v>
      </c>
      <c r="D2320">
        <v>0</v>
      </c>
      <c r="E2320">
        <v>0</v>
      </c>
      <c r="F2320">
        <v>0</v>
      </c>
      <c r="G2320" s="3">
        <f t="shared" si="108"/>
        <v>0</v>
      </c>
      <c r="H2320" s="4">
        <f t="shared" si="109"/>
        <v>0</v>
      </c>
      <c r="I2320" s="1">
        <f t="shared" si="110"/>
        <v>0</v>
      </c>
    </row>
    <row r="2321" spans="1:9" hidden="1" x14ac:dyDescent="0.2">
      <c r="A2321" s="6">
        <v>43893.75</v>
      </c>
      <c r="B2321" s="1" t="s">
        <v>15</v>
      </c>
      <c r="C2321">
        <v>3</v>
      </c>
      <c r="D2321">
        <v>0</v>
      </c>
      <c r="E2321">
        <v>0</v>
      </c>
      <c r="F2321">
        <v>3</v>
      </c>
      <c r="G2321" s="3">
        <f t="shared" si="108"/>
        <v>3</v>
      </c>
      <c r="H2321" s="4">
        <f t="shared" si="109"/>
        <v>0</v>
      </c>
      <c r="I2321" s="1">
        <f t="shared" si="110"/>
        <v>0</v>
      </c>
    </row>
    <row r="2322" spans="1:9" hidden="1" x14ac:dyDescent="0.2">
      <c r="A2322" s="6">
        <v>43894.708333333336</v>
      </c>
      <c r="B2322" s="1" t="s">
        <v>15</v>
      </c>
      <c r="C2322">
        <v>3</v>
      </c>
      <c r="D2322">
        <v>0</v>
      </c>
      <c r="E2322">
        <v>0</v>
      </c>
      <c r="F2322">
        <v>3</v>
      </c>
      <c r="G2322" s="3">
        <f t="shared" si="108"/>
        <v>0</v>
      </c>
      <c r="H2322" s="4">
        <f t="shared" si="109"/>
        <v>0</v>
      </c>
      <c r="I2322" s="1">
        <f t="shared" si="110"/>
        <v>0</v>
      </c>
    </row>
    <row r="2323" spans="1:9" hidden="1" x14ac:dyDescent="0.2">
      <c r="A2323" s="6">
        <v>43895.708333333336</v>
      </c>
      <c r="B2323" s="1" t="s">
        <v>15</v>
      </c>
      <c r="C2323">
        <v>4</v>
      </c>
      <c r="D2323">
        <v>0</v>
      </c>
      <c r="E2323">
        <v>0</v>
      </c>
      <c r="F2323">
        <v>7</v>
      </c>
      <c r="G2323" s="3">
        <f t="shared" si="108"/>
        <v>4</v>
      </c>
      <c r="H2323" s="4">
        <f t="shared" si="109"/>
        <v>0.5714285714285714</v>
      </c>
      <c r="I2323" s="1">
        <f t="shared" si="110"/>
        <v>0</v>
      </c>
    </row>
    <row r="2324" spans="1:9" hidden="1" x14ac:dyDescent="0.2">
      <c r="A2324" s="6">
        <v>43896.708333333336</v>
      </c>
      <c r="B2324" s="1" t="s">
        <v>15</v>
      </c>
      <c r="C2324">
        <v>3</v>
      </c>
      <c r="D2324">
        <v>2</v>
      </c>
      <c r="E2324">
        <v>0</v>
      </c>
      <c r="F2324">
        <v>12</v>
      </c>
      <c r="G2324" s="3">
        <f t="shared" si="108"/>
        <v>5</v>
      </c>
      <c r="H2324" s="4">
        <f t="shared" si="109"/>
        <v>0.41666666666666663</v>
      </c>
      <c r="I2324" s="1">
        <f t="shared" si="110"/>
        <v>0</v>
      </c>
    </row>
    <row r="2325" spans="1:9" hidden="1" x14ac:dyDescent="0.2">
      <c r="A2325" s="6">
        <v>43897.75</v>
      </c>
      <c r="B2325" s="1" t="s">
        <v>15</v>
      </c>
      <c r="C2325">
        <v>3</v>
      </c>
      <c r="D2325">
        <v>2</v>
      </c>
      <c r="E2325">
        <v>0</v>
      </c>
      <c r="F2325">
        <v>14</v>
      </c>
      <c r="G2325" s="3">
        <f t="shared" si="108"/>
        <v>2</v>
      </c>
      <c r="H2325" s="4">
        <f t="shared" si="109"/>
        <v>0.1428571428571429</v>
      </c>
      <c r="I2325" s="1">
        <f t="shared" si="110"/>
        <v>0</v>
      </c>
    </row>
    <row r="2326" spans="1:9" hidden="1" x14ac:dyDescent="0.2">
      <c r="A2326" s="6">
        <v>43898.75</v>
      </c>
      <c r="B2326" s="1" t="s">
        <v>15</v>
      </c>
      <c r="C2326">
        <v>4</v>
      </c>
      <c r="D2326">
        <v>2</v>
      </c>
      <c r="E2326">
        <v>0</v>
      </c>
      <c r="F2326">
        <v>14</v>
      </c>
      <c r="G2326" s="3">
        <f t="shared" si="108"/>
        <v>0</v>
      </c>
      <c r="H2326" s="4">
        <f t="shared" si="109"/>
        <v>0</v>
      </c>
      <c r="I2326" s="1">
        <f t="shared" si="110"/>
        <v>0</v>
      </c>
    </row>
    <row r="2327" spans="1:9" hidden="1" x14ac:dyDescent="0.2">
      <c r="A2327" s="6">
        <v>43899.75</v>
      </c>
      <c r="B2327" s="1" t="s">
        <v>15</v>
      </c>
      <c r="C2327">
        <v>4</v>
      </c>
      <c r="D2327">
        <v>2</v>
      </c>
      <c r="E2327">
        <v>0</v>
      </c>
      <c r="F2327">
        <v>14</v>
      </c>
      <c r="G2327" s="3">
        <f t="shared" si="108"/>
        <v>0</v>
      </c>
      <c r="H2327" s="4">
        <f t="shared" si="109"/>
        <v>0</v>
      </c>
      <c r="I2327" s="1">
        <f t="shared" si="110"/>
        <v>0</v>
      </c>
    </row>
    <row r="2328" spans="1:9" hidden="1" x14ac:dyDescent="0.2">
      <c r="A2328" s="6">
        <v>43900.75</v>
      </c>
      <c r="B2328" s="1" t="s">
        <v>15</v>
      </c>
      <c r="C2328">
        <v>3</v>
      </c>
      <c r="D2328">
        <v>3</v>
      </c>
      <c r="E2328">
        <v>0</v>
      </c>
      <c r="F2328">
        <v>15</v>
      </c>
      <c r="G2328" s="3">
        <f t="shared" si="108"/>
        <v>1</v>
      </c>
      <c r="H2328" s="4">
        <f t="shared" si="109"/>
        <v>6.6666666666666652E-2</v>
      </c>
      <c r="I2328" s="1">
        <f t="shared" si="110"/>
        <v>0</v>
      </c>
    </row>
    <row r="2329" spans="1:9" hidden="1" x14ac:dyDescent="0.2">
      <c r="A2329" s="6">
        <v>43901.708333333336</v>
      </c>
      <c r="B2329" s="1" t="s">
        <v>15</v>
      </c>
      <c r="C2329">
        <v>4</v>
      </c>
      <c r="D2329">
        <v>3</v>
      </c>
      <c r="E2329">
        <v>0</v>
      </c>
      <c r="F2329">
        <v>16</v>
      </c>
      <c r="G2329" s="3">
        <f t="shared" si="108"/>
        <v>1</v>
      </c>
      <c r="H2329" s="4">
        <f t="shared" si="109"/>
        <v>6.25E-2</v>
      </c>
      <c r="I2329" s="1">
        <f t="shared" si="110"/>
        <v>0</v>
      </c>
    </row>
    <row r="2330" spans="1:9" hidden="1" x14ac:dyDescent="0.2">
      <c r="A2330" s="6">
        <v>43902.708333333336</v>
      </c>
      <c r="B2330" s="1" t="s">
        <v>15</v>
      </c>
      <c r="C2330">
        <v>4</v>
      </c>
      <c r="D2330">
        <v>3</v>
      </c>
      <c r="E2330">
        <v>0</v>
      </c>
      <c r="F2330">
        <v>16</v>
      </c>
      <c r="G2330" s="3">
        <f t="shared" si="108"/>
        <v>0</v>
      </c>
      <c r="H2330" s="4">
        <f t="shared" si="109"/>
        <v>0</v>
      </c>
      <c r="I2330" s="1">
        <f t="shared" si="110"/>
        <v>0</v>
      </c>
    </row>
    <row r="2331" spans="1:9" hidden="1" x14ac:dyDescent="0.2">
      <c r="A2331" s="6">
        <v>43903.708333333336</v>
      </c>
      <c r="B2331" s="1" t="s">
        <v>15</v>
      </c>
      <c r="C2331">
        <v>5</v>
      </c>
      <c r="D2331">
        <v>3</v>
      </c>
      <c r="E2331">
        <v>0</v>
      </c>
      <c r="F2331">
        <v>17</v>
      </c>
      <c r="G2331" s="3">
        <f t="shared" si="108"/>
        <v>1</v>
      </c>
      <c r="H2331" s="4">
        <f t="shared" si="109"/>
        <v>5.8823529411764719E-2</v>
      </c>
      <c r="I2331" s="1">
        <f t="shared" si="110"/>
        <v>0</v>
      </c>
    </row>
    <row r="2332" spans="1:9" hidden="1" x14ac:dyDescent="0.2">
      <c r="A2332" s="6">
        <v>43904.708333333336</v>
      </c>
      <c r="B2332" s="1" t="s">
        <v>15</v>
      </c>
      <c r="C2332">
        <v>5</v>
      </c>
      <c r="D2332">
        <v>3</v>
      </c>
      <c r="E2332">
        <v>0</v>
      </c>
      <c r="F2332">
        <v>17</v>
      </c>
      <c r="G2332" s="3">
        <f t="shared" si="108"/>
        <v>0</v>
      </c>
      <c r="H2332" s="4">
        <f t="shared" si="109"/>
        <v>0</v>
      </c>
      <c r="I2332" s="1">
        <f t="shared" si="110"/>
        <v>0</v>
      </c>
    </row>
    <row r="2333" spans="1:9" hidden="1" x14ac:dyDescent="0.2">
      <c r="A2333" s="6">
        <v>43905.708333333336</v>
      </c>
      <c r="B2333" s="1" t="s">
        <v>15</v>
      </c>
      <c r="C2333">
        <v>3</v>
      </c>
      <c r="D2333">
        <v>4</v>
      </c>
      <c r="E2333">
        <v>0</v>
      </c>
      <c r="F2333">
        <v>17</v>
      </c>
      <c r="G2333" s="3">
        <f t="shared" si="108"/>
        <v>0</v>
      </c>
      <c r="H2333" s="4">
        <f t="shared" si="109"/>
        <v>0</v>
      </c>
      <c r="I2333" s="1">
        <f t="shared" si="110"/>
        <v>0</v>
      </c>
    </row>
    <row r="2334" spans="1:9" hidden="1" x14ac:dyDescent="0.2">
      <c r="A2334" s="6">
        <v>43906.708333333336</v>
      </c>
      <c r="B2334" s="1" t="s">
        <v>15</v>
      </c>
      <c r="C2334">
        <v>3</v>
      </c>
      <c r="D2334">
        <v>5</v>
      </c>
      <c r="E2334">
        <v>1</v>
      </c>
      <c r="F2334">
        <v>21</v>
      </c>
      <c r="G2334" s="3">
        <f t="shared" si="108"/>
        <v>4</v>
      </c>
      <c r="H2334" s="4">
        <f t="shared" si="109"/>
        <v>0.19047619047619047</v>
      </c>
      <c r="I2334" s="1">
        <f t="shared" si="110"/>
        <v>1</v>
      </c>
    </row>
    <row r="2335" spans="1:9" hidden="1" x14ac:dyDescent="0.2">
      <c r="A2335" s="6">
        <v>43907.708333333336</v>
      </c>
      <c r="B2335" s="1" t="s">
        <v>15</v>
      </c>
      <c r="C2335">
        <v>7</v>
      </c>
      <c r="D2335">
        <v>5</v>
      </c>
      <c r="E2335">
        <v>1</v>
      </c>
      <c r="F2335">
        <v>25</v>
      </c>
      <c r="G2335" s="3">
        <f t="shared" si="108"/>
        <v>4</v>
      </c>
      <c r="H2335" s="4">
        <f t="shared" si="109"/>
        <v>0.16000000000000003</v>
      </c>
      <c r="I2335" s="1">
        <f t="shared" si="110"/>
        <v>0</v>
      </c>
    </row>
    <row r="2336" spans="1:9" hidden="1" x14ac:dyDescent="0.2">
      <c r="A2336" s="6">
        <v>43908.708333333336</v>
      </c>
      <c r="B2336" s="1" t="s">
        <v>15</v>
      </c>
      <c r="C2336">
        <v>7</v>
      </c>
      <c r="D2336">
        <v>6</v>
      </c>
      <c r="E2336">
        <v>1</v>
      </c>
      <c r="F2336">
        <v>28</v>
      </c>
      <c r="G2336" s="3">
        <f t="shared" si="108"/>
        <v>3</v>
      </c>
      <c r="H2336" s="4">
        <f t="shared" si="109"/>
        <v>0.1071428571428571</v>
      </c>
      <c r="I2336" s="1">
        <f t="shared" si="110"/>
        <v>0</v>
      </c>
    </row>
    <row r="2337" spans="1:9" hidden="1" x14ac:dyDescent="0.2">
      <c r="A2337" s="6">
        <v>43909.708333333336</v>
      </c>
      <c r="B2337" s="1" t="s">
        <v>15</v>
      </c>
      <c r="C2337">
        <v>19</v>
      </c>
      <c r="D2337">
        <v>6</v>
      </c>
      <c r="E2337">
        <v>2</v>
      </c>
      <c r="F2337">
        <v>46</v>
      </c>
      <c r="G2337" s="3">
        <f t="shared" si="108"/>
        <v>18</v>
      </c>
      <c r="H2337" s="4">
        <f t="shared" si="109"/>
        <v>0.39130434782608692</v>
      </c>
      <c r="I2337" s="1">
        <f t="shared" si="110"/>
        <v>1</v>
      </c>
    </row>
    <row r="2338" spans="1:9" hidden="1" x14ac:dyDescent="0.2">
      <c r="A2338" s="6">
        <v>43910.708333333336</v>
      </c>
      <c r="B2338" s="1" t="s">
        <v>15</v>
      </c>
      <c r="C2338">
        <v>20</v>
      </c>
      <c r="D2338">
        <v>6</v>
      </c>
      <c r="E2338">
        <v>5</v>
      </c>
      <c r="F2338">
        <v>50</v>
      </c>
      <c r="G2338" s="3">
        <f t="shared" si="108"/>
        <v>4</v>
      </c>
      <c r="H2338" s="4">
        <f t="shared" si="109"/>
        <v>7.999999999999996E-2</v>
      </c>
      <c r="I2338" s="1">
        <f t="shared" si="110"/>
        <v>3</v>
      </c>
    </row>
    <row r="2339" spans="1:9" hidden="1" x14ac:dyDescent="0.2">
      <c r="A2339" s="6">
        <v>43911.708333333336</v>
      </c>
      <c r="B2339" s="1" t="s">
        <v>15</v>
      </c>
      <c r="C2339">
        <v>21</v>
      </c>
      <c r="D2339">
        <v>6</v>
      </c>
      <c r="E2339">
        <v>7</v>
      </c>
      <c r="F2339">
        <v>61</v>
      </c>
      <c r="G2339" s="3">
        <f t="shared" si="108"/>
        <v>11</v>
      </c>
      <c r="H2339" s="4">
        <f t="shared" si="109"/>
        <v>0.18032786885245899</v>
      </c>
      <c r="I2339" s="1">
        <f t="shared" si="110"/>
        <v>2</v>
      </c>
    </row>
    <row r="2340" spans="1:9" hidden="1" x14ac:dyDescent="0.2">
      <c r="A2340" s="6">
        <v>43912.708333333336</v>
      </c>
      <c r="B2340" s="1" t="s">
        <v>15</v>
      </c>
      <c r="C2340">
        <v>24</v>
      </c>
      <c r="D2340">
        <v>7</v>
      </c>
      <c r="E2340">
        <v>7</v>
      </c>
      <c r="F2340">
        <v>66</v>
      </c>
      <c r="G2340" s="3">
        <f t="shared" si="108"/>
        <v>5</v>
      </c>
      <c r="H2340" s="4">
        <f t="shared" si="109"/>
        <v>7.5757575757575801E-2</v>
      </c>
      <c r="I2340" s="1">
        <f t="shared" si="110"/>
        <v>0</v>
      </c>
    </row>
    <row r="2341" spans="1:9" hidden="1" x14ac:dyDescent="0.2">
      <c r="A2341" s="6">
        <v>43913.708333333336</v>
      </c>
      <c r="B2341" s="1" t="s">
        <v>15</v>
      </c>
      <c r="C2341">
        <v>25</v>
      </c>
      <c r="D2341">
        <v>7</v>
      </c>
      <c r="E2341">
        <v>7</v>
      </c>
      <c r="F2341">
        <v>67</v>
      </c>
      <c r="G2341" s="3">
        <f t="shared" si="108"/>
        <v>1</v>
      </c>
      <c r="H2341" s="4">
        <f t="shared" si="109"/>
        <v>1.4925373134328401E-2</v>
      </c>
      <c r="I2341" s="1">
        <f t="shared" si="110"/>
        <v>0</v>
      </c>
    </row>
    <row r="2342" spans="1:9" hidden="1" x14ac:dyDescent="0.2">
      <c r="A2342" s="6">
        <v>43914.708333333336</v>
      </c>
      <c r="B2342" s="1" t="s">
        <v>15</v>
      </c>
      <c r="C2342">
        <v>27</v>
      </c>
      <c r="D2342">
        <v>7</v>
      </c>
      <c r="E2342">
        <v>8</v>
      </c>
      <c r="F2342">
        <v>73</v>
      </c>
      <c r="G2342" s="3">
        <f t="shared" si="108"/>
        <v>6</v>
      </c>
      <c r="H2342" s="4">
        <f t="shared" si="109"/>
        <v>8.2191780821917804E-2</v>
      </c>
      <c r="I2342" s="1">
        <f t="shared" si="110"/>
        <v>1</v>
      </c>
    </row>
    <row r="2343" spans="1:9" hidden="1" x14ac:dyDescent="0.2">
      <c r="A2343" s="6">
        <v>43915.708333333336</v>
      </c>
      <c r="B2343" s="1" t="s">
        <v>15</v>
      </c>
      <c r="C2343">
        <v>26</v>
      </c>
      <c r="D2343">
        <v>7</v>
      </c>
      <c r="E2343">
        <v>8</v>
      </c>
      <c r="F2343">
        <v>73</v>
      </c>
      <c r="G2343" s="3">
        <f t="shared" si="108"/>
        <v>0</v>
      </c>
      <c r="H2343" s="4">
        <f t="shared" si="109"/>
        <v>0</v>
      </c>
      <c r="I2343" s="1">
        <f t="shared" si="110"/>
        <v>0</v>
      </c>
    </row>
    <row r="2344" spans="1:9" hidden="1" x14ac:dyDescent="0.2">
      <c r="A2344" s="6">
        <v>43916.708333333336</v>
      </c>
      <c r="B2344" s="1" t="s">
        <v>15</v>
      </c>
      <c r="C2344">
        <v>27</v>
      </c>
      <c r="D2344">
        <v>8</v>
      </c>
      <c r="E2344">
        <v>8</v>
      </c>
      <c r="F2344">
        <v>103</v>
      </c>
      <c r="G2344" s="3">
        <f t="shared" si="108"/>
        <v>30</v>
      </c>
      <c r="H2344" s="4">
        <f t="shared" si="109"/>
        <v>0.29126213592233008</v>
      </c>
      <c r="I2344" s="1">
        <f t="shared" si="110"/>
        <v>0</v>
      </c>
    </row>
    <row r="2345" spans="1:9" hidden="1" x14ac:dyDescent="0.2">
      <c r="A2345" s="6">
        <v>43917.708333333336</v>
      </c>
      <c r="B2345" s="1" t="s">
        <v>15</v>
      </c>
      <c r="C2345">
        <v>26</v>
      </c>
      <c r="D2345">
        <v>9</v>
      </c>
      <c r="E2345">
        <v>9</v>
      </c>
      <c r="F2345">
        <v>109</v>
      </c>
      <c r="G2345" s="3">
        <f t="shared" si="108"/>
        <v>6</v>
      </c>
      <c r="H2345" s="4">
        <f t="shared" si="109"/>
        <v>5.5045871559633031E-2</v>
      </c>
      <c r="I2345" s="1">
        <f t="shared" si="110"/>
        <v>1</v>
      </c>
    </row>
    <row r="2346" spans="1:9" hidden="1" x14ac:dyDescent="0.2">
      <c r="A2346" s="6">
        <v>43918.708333333336</v>
      </c>
      <c r="B2346" s="1" t="s">
        <v>15</v>
      </c>
      <c r="C2346">
        <v>26</v>
      </c>
      <c r="D2346">
        <v>9</v>
      </c>
      <c r="E2346">
        <v>9</v>
      </c>
      <c r="F2346">
        <v>123</v>
      </c>
      <c r="G2346" s="3">
        <f t="shared" si="108"/>
        <v>14</v>
      </c>
      <c r="H2346" s="4">
        <f t="shared" si="109"/>
        <v>0.11382113821138207</v>
      </c>
      <c r="I2346" s="1">
        <f t="shared" si="110"/>
        <v>0</v>
      </c>
    </row>
    <row r="2347" spans="1:9" hidden="1" x14ac:dyDescent="0.2">
      <c r="A2347" s="6">
        <v>43919.708333333336</v>
      </c>
      <c r="B2347" s="1" t="s">
        <v>15</v>
      </c>
      <c r="C2347">
        <v>25</v>
      </c>
      <c r="D2347">
        <v>9</v>
      </c>
      <c r="E2347">
        <v>9</v>
      </c>
      <c r="F2347">
        <v>127</v>
      </c>
      <c r="G2347" s="3">
        <f t="shared" si="108"/>
        <v>4</v>
      </c>
      <c r="H2347" s="4">
        <f t="shared" si="109"/>
        <v>3.1496062992126039E-2</v>
      </c>
      <c r="I2347" s="1">
        <f t="shared" si="110"/>
        <v>0</v>
      </c>
    </row>
    <row r="2348" spans="1:9" hidden="1" x14ac:dyDescent="0.2">
      <c r="A2348" s="6">
        <v>43920.708333333336</v>
      </c>
      <c r="B2348" s="1" t="s">
        <v>15</v>
      </c>
      <c r="C2348">
        <v>27</v>
      </c>
      <c r="D2348">
        <v>8</v>
      </c>
      <c r="E2348">
        <v>9</v>
      </c>
      <c r="F2348">
        <v>134</v>
      </c>
      <c r="G2348" s="3">
        <f t="shared" si="108"/>
        <v>7</v>
      </c>
      <c r="H2348" s="4">
        <f t="shared" si="109"/>
        <v>5.2238805970149294E-2</v>
      </c>
      <c r="I2348" s="1">
        <f t="shared" si="110"/>
        <v>0</v>
      </c>
    </row>
    <row r="2349" spans="1:9" hidden="1" x14ac:dyDescent="0.2">
      <c r="A2349" s="6">
        <v>43921.708333333336</v>
      </c>
      <c r="B2349" s="1" t="s">
        <v>15</v>
      </c>
      <c r="C2349">
        <v>29</v>
      </c>
      <c r="D2349">
        <v>8</v>
      </c>
      <c r="E2349">
        <v>9</v>
      </c>
      <c r="F2349">
        <v>144</v>
      </c>
      <c r="G2349" s="3">
        <f t="shared" si="108"/>
        <v>10</v>
      </c>
      <c r="H2349" s="4">
        <f t="shared" si="109"/>
        <v>6.944444444444442E-2</v>
      </c>
      <c r="I2349" s="1">
        <f t="shared" si="110"/>
        <v>0</v>
      </c>
    </row>
    <row r="2350" spans="1:9" hidden="1" x14ac:dyDescent="0.2">
      <c r="A2350" s="6">
        <v>43922.708333333336</v>
      </c>
      <c r="B2350" s="1" t="s">
        <v>15</v>
      </c>
      <c r="C2350">
        <v>32</v>
      </c>
      <c r="D2350">
        <v>8</v>
      </c>
      <c r="E2350">
        <v>10</v>
      </c>
      <c r="F2350">
        <v>160</v>
      </c>
      <c r="G2350" s="3">
        <f t="shared" si="108"/>
        <v>16</v>
      </c>
      <c r="H2350" s="4">
        <f t="shared" si="109"/>
        <v>9.9999999999999978E-2</v>
      </c>
      <c r="I2350" s="1">
        <f t="shared" si="110"/>
        <v>1</v>
      </c>
    </row>
    <row r="2351" spans="1:9" hidden="1" x14ac:dyDescent="0.2">
      <c r="A2351" s="6">
        <v>43923.708333333336</v>
      </c>
      <c r="B2351" s="1" t="s">
        <v>15</v>
      </c>
      <c r="C2351">
        <v>30</v>
      </c>
      <c r="D2351">
        <v>8</v>
      </c>
      <c r="E2351">
        <v>11</v>
      </c>
      <c r="F2351">
        <v>165</v>
      </c>
      <c r="G2351" s="3">
        <f t="shared" si="108"/>
        <v>5</v>
      </c>
      <c r="H2351" s="4">
        <f t="shared" si="109"/>
        <v>3.0303030303030276E-2</v>
      </c>
      <c r="I2351" s="1">
        <f t="shared" si="110"/>
        <v>1</v>
      </c>
    </row>
    <row r="2352" spans="1:9" hidden="1" x14ac:dyDescent="0.2">
      <c r="A2352" s="6">
        <v>43924.708333333336</v>
      </c>
      <c r="B2352" s="1" t="s">
        <v>15</v>
      </c>
      <c r="C2352">
        <v>31</v>
      </c>
      <c r="D2352">
        <v>8</v>
      </c>
      <c r="E2352">
        <v>11</v>
      </c>
      <c r="F2352">
        <v>176</v>
      </c>
      <c r="G2352" s="3">
        <f t="shared" si="108"/>
        <v>11</v>
      </c>
      <c r="H2352" s="4">
        <f t="shared" si="109"/>
        <v>6.25E-2</v>
      </c>
      <c r="I2352" s="1">
        <f t="shared" si="110"/>
        <v>0</v>
      </c>
    </row>
    <row r="2353" spans="1:9" hidden="1" x14ac:dyDescent="0.2">
      <c r="A2353" s="6">
        <v>43925.708333333336</v>
      </c>
      <c r="B2353" s="1" t="s">
        <v>15</v>
      </c>
      <c r="C2353">
        <v>31</v>
      </c>
      <c r="D2353">
        <v>6</v>
      </c>
      <c r="E2353">
        <v>11</v>
      </c>
      <c r="F2353">
        <v>206</v>
      </c>
      <c r="G2353" s="3">
        <f t="shared" si="108"/>
        <v>30</v>
      </c>
      <c r="H2353" s="4">
        <f t="shared" si="109"/>
        <v>0.14563106796116509</v>
      </c>
      <c r="I2353" s="1">
        <f t="shared" si="110"/>
        <v>0</v>
      </c>
    </row>
    <row r="2354" spans="1:9" hidden="1" x14ac:dyDescent="0.2">
      <c r="A2354" s="6">
        <v>43926.708333333336</v>
      </c>
      <c r="B2354" s="1" t="s">
        <v>15</v>
      </c>
      <c r="C2354">
        <v>33</v>
      </c>
      <c r="D2354">
        <v>6</v>
      </c>
      <c r="E2354">
        <v>13</v>
      </c>
      <c r="F2354">
        <v>224</v>
      </c>
      <c r="G2354" s="3">
        <f t="shared" si="108"/>
        <v>18</v>
      </c>
      <c r="H2354" s="4">
        <f t="shared" si="109"/>
        <v>8.0357142857142905E-2</v>
      </c>
      <c r="I2354" s="1">
        <f t="shared" si="110"/>
        <v>2</v>
      </c>
    </row>
    <row r="2355" spans="1:9" hidden="1" x14ac:dyDescent="0.2">
      <c r="A2355" s="6">
        <v>43927.708333333336</v>
      </c>
      <c r="B2355" s="1" t="s">
        <v>15</v>
      </c>
      <c r="C2355">
        <v>34</v>
      </c>
      <c r="D2355">
        <v>5</v>
      </c>
      <c r="E2355">
        <v>13</v>
      </c>
      <c r="F2355">
        <v>224</v>
      </c>
      <c r="G2355" s="3">
        <f t="shared" si="108"/>
        <v>0</v>
      </c>
      <c r="H2355" s="4">
        <f t="shared" si="109"/>
        <v>0</v>
      </c>
      <c r="I2355" s="1">
        <f t="shared" si="110"/>
        <v>0</v>
      </c>
    </row>
    <row r="2356" spans="1:9" hidden="1" x14ac:dyDescent="0.2">
      <c r="A2356" s="6">
        <v>43928.708333333336</v>
      </c>
      <c r="B2356" s="1" t="s">
        <v>15</v>
      </c>
      <c r="C2356">
        <v>35</v>
      </c>
      <c r="D2356">
        <v>5</v>
      </c>
      <c r="E2356">
        <v>13</v>
      </c>
      <c r="F2356">
        <v>224</v>
      </c>
      <c r="G2356" s="3">
        <f t="shared" si="108"/>
        <v>0</v>
      </c>
      <c r="H2356" s="4">
        <f t="shared" si="109"/>
        <v>0</v>
      </c>
      <c r="I2356" s="1">
        <f t="shared" si="110"/>
        <v>0</v>
      </c>
    </row>
    <row r="2357" spans="1:9" hidden="1" x14ac:dyDescent="0.2">
      <c r="A2357" s="6">
        <v>43929.708333333336</v>
      </c>
      <c r="B2357" s="1" t="s">
        <v>15</v>
      </c>
      <c r="C2357">
        <v>30</v>
      </c>
      <c r="D2357">
        <v>4</v>
      </c>
      <c r="E2357">
        <v>13</v>
      </c>
      <c r="F2357">
        <v>226</v>
      </c>
      <c r="G2357" s="3">
        <f t="shared" si="108"/>
        <v>2</v>
      </c>
      <c r="H2357" s="4">
        <f t="shared" si="109"/>
        <v>8.8495575221239076E-3</v>
      </c>
      <c r="I2357" s="1">
        <f t="shared" si="110"/>
        <v>0</v>
      </c>
    </row>
    <row r="2358" spans="1:9" hidden="1" x14ac:dyDescent="0.2">
      <c r="A2358" s="6">
        <v>43930.708333333336</v>
      </c>
      <c r="B2358" s="1" t="s">
        <v>15</v>
      </c>
      <c r="C2358">
        <v>30</v>
      </c>
      <c r="D2358">
        <v>4</v>
      </c>
      <c r="E2358">
        <v>13</v>
      </c>
      <c r="F2358">
        <v>234</v>
      </c>
      <c r="G2358" s="3">
        <f t="shared" si="108"/>
        <v>8</v>
      </c>
      <c r="H2358" s="4">
        <f t="shared" si="109"/>
        <v>3.4188034188034178E-2</v>
      </c>
      <c r="I2358" s="1">
        <f t="shared" si="110"/>
        <v>0</v>
      </c>
    </row>
    <row r="2359" spans="1:9" hidden="1" x14ac:dyDescent="0.2">
      <c r="A2359" s="6">
        <v>43931.708333333336</v>
      </c>
      <c r="B2359" s="1" t="s">
        <v>15</v>
      </c>
      <c r="C2359">
        <v>28</v>
      </c>
      <c r="D2359">
        <v>4</v>
      </c>
      <c r="E2359">
        <v>13</v>
      </c>
      <c r="F2359">
        <v>243</v>
      </c>
      <c r="G2359" s="3">
        <f t="shared" si="108"/>
        <v>9</v>
      </c>
      <c r="H2359" s="4">
        <f t="shared" si="109"/>
        <v>3.703703703703709E-2</v>
      </c>
      <c r="I2359" s="1">
        <f t="shared" si="110"/>
        <v>0</v>
      </c>
    </row>
    <row r="2360" spans="1:9" hidden="1" x14ac:dyDescent="0.2">
      <c r="A2360" s="6">
        <v>43932.708333333336</v>
      </c>
      <c r="B2360" s="1" t="s">
        <v>15</v>
      </c>
      <c r="C2360">
        <v>28</v>
      </c>
      <c r="D2360">
        <v>4</v>
      </c>
      <c r="E2360">
        <v>14</v>
      </c>
      <c r="F2360">
        <v>246</v>
      </c>
      <c r="G2360" s="3">
        <f t="shared" si="108"/>
        <v>3</v>
      </c>
      <c r="H2360" s="4">
        <f t="shared" si="109"/>
        <v>1.2195121951219523E-2</v>
      </c>
      <c r="I2360" s="1">
        <f t="shared" si="110"/>
        <v>1</v>
      </c>
    </row>
    <row r="2361" spans="1:9" hidden="1" x14ac:dyDescent="0.2">
      <c r="A2361" s="6">
        <v>43933.708333333336</v>
      </c>
      <c r="B2361" s="1" t="s">
        <v>15</v>
      </c>
      <c r="C2361">
        <v>27</v>
      </c>
      <c r="D2361">
        <v>4</v>
      </c>
      <c r="E2361">
        <v>15</v>
      </c>
      <c r="F2361">
        <v>257</v>
      </c>
      <c r="G2361" s="3">
        <f t="shared" si="108"/>
        <v>11</v>
      </c>
      <c r="H2361" s="4">
        <f t="shared" si="109"/>
        <v>4.2801556420233422E-2</v>
      </c>
      <c r="I2361" s="1">
        <f t="shared" si="110"/>
        <v>1</v>
      </c>
    </row>
    <row r="2362" spans="1:9" hidden="1" x14ac:dyDescent="0.2">
      <c r="A2362" s="6">
        <v>43934.708333333336</v>
      </c>
      <c r="B2362" s="1" t="s">
        <v>15</v>
      </c>
      <c r="C2362">
        <v>28</v>
      </c>
      <c r="D2362">
        <v>4</v>
      </c>
      <c r="E2362">
        <v>15</v>
      </c>
      <c r="F2362">
        <v>257</v>
      </c>
      <c r="G2362" s="3">
        <f t="shared" si="108"/>
        <v>0</v>
      </c>
      <c r="H2362" s="4">
        <f t="shared" si="109"/>
        <v>0</v>
      </c>
      <c r="I2362" s="1">
        <f t="shared" si="110"/>
        <v>0</v>
      </c>
    </row>
    <row r="2363" spans="1:9" hidden="1" x14ac:dyDescent="0.2">
      <c r="A2363" s="6">
        <v>43935.708333333336</v>
      </c>
      <c r="B2363" s="1" t="s">
        <v>15</v>
      </c>
      <c r="C2363">
        <v>26</v>
      </c>
      <c r="D2363">
        <v>4</v>
      </c>
      <c r="E2363">
        <v>15</v>
      </c>
      <c r="F2363">
        <v>257</v>
      </c>
      <c r="G2363" s="3">
        <f t="shared" si="108"/>
        <v>0</v>
      </c>
      <c r="H2363" s="4">
        <f t="shared" si="109"/>
        <v>0</v>
      </c>
      <c r="I2363" s="1">
        <f t="shared" si="110"/>
        <v>0</v>
      </c>
    </row>
    <row r="2364" spans="1:9" hidden="1" x14ac:dyDescent="0.2">
      <c r="A2364" s="6">
        <v>43936.708333333336</v>
      </c>
      <c r="B2364" s="1" t="s">
        <v>15</v>
      </c>
      <c r="C2364">
        <v>27</v>
      </c>
      <c r="D2364">
        <v>4</v>
      </c>
      <c r="E2364">
        <v>15</v>
      </c>
      <c r="F2364">
        <v>263</v>
      </c>
      <c r="G2364" s="3">
        <f t="shared" si="108"/>
        <v>6</v>
      </c>
      <c r="H2364" s="4">
        <f t="shared" si="109"/>
        <v>2.281368821292773E-2</v>
      </c>
      <c r="I2364" s="1">
        <f t="shared" si="110"/>
        <v>0</v>
      </c>
    </row>
    <row r="2365" spans="1:9" hidden="1" x14ac:dyDescent="0.2">
      <c r="A2365" s="6">
        <v>43937.708333333336</v>
      </c>
      <c r="B2365" s="1" t="s">
        <v>15</v>
      </c>
      <c r="C2365">
        <v>25</v>
      </c>
      <c r="D2365">
        <v>4</v>
      </c>
      <c r="E2365">
        <v>16</v>
      </c>
      <c r="F2365">
        <v>263</v>
      </c>
      <c r="G2365" s="3">
        <f t="shared" si="108"/>
        <v>0</v>
      </c>
      <c r="H2365" s="4">
        <f t="shared" si="109"/>
        <v>0</v>
      </c>
      <c r="I2365" s="1">
        <f t="shared" si="110"/>
        <v>1</v>
      </c>
    </row>
    <row r="2366" spans="1:9" hidden="1" x14ac:dyDescent="0.2">
      <c r="A2366" s="6">
        <v>43938.708333333336</v>
      </c>
      <c r="B2366" s="1" t="s">
        <v>15</v>
      </c>
      <c r="C2366">
        <v>26</v>
      </c>
      <c r="D2366">
        <v>4</v>
      </c>
      <c r="E2366">
        <v>16</v>
      </c>
      <c r="F2366">
        <v>269</v>
      </c>
      <c r="G2366" s="3">
        <f t="shared" si="108"/>
        <v>6</v>
      </c>
      <c r="H2366" s="4">
        <f t="shared" si="109"/>
        <v>2.2304832713754608E-2</v>
      </c>
      <c r="I2366" s="1">
        <f t="shared" si="110"/>
        <v>0</v>
      </c>
    </row>
    <row r="2367" spans="1:9" hidden="1" x14ac:dyDescent="0.2">
      <c r="A2367" s="6">
        <v>43939.708333333336</v>
      </c>
      <c r="B2367" s="1" t="s">
        <v>15</v>
      </c>
      <c r="C2367">
        <v>27</v>
      </c>
      <c r="D2367">
        <v>4</v>
      </c>
      <c r="E2367">
        <v>16</v>
      </c>
      <c r="F2367">
        <v>269</v>
      </c>
      <c r="G2367" s="3">
        <f t="shared" si="108"/>
        <v>0</v>
      </c>
      <c r="H2367" s="4">
        <f t="shared" si="109"/>
        <v>0</v>
      </c>
      <c r="I2367" s="1">
        <f t="shared" si="110"/>
        <v>0</v>
      </c>
    </row>
    <row r="2368" spans="1:9" hidden="1" x14ac:dyDescent="0.2">
      <c r="A2368" s="6">
        <v>43940.708333333336</v>
      </c>
      <c r="B2368" s="1" t="s">
        <v>15</v>
      </c>
      <c r="C2368">
        <v>27</v>
      </c>
      <c r="D2368">
        <v>4</v>
      </c>
      <c r="E2368">
        <v>17</v>
      </c>
      <c r="F2368">
        <v>279</v>
      </c>
      <c r="G2368" s="3">
        <f t="shared" si="108"/>
        <v>10</v>
      </c>
      <c r="H2368" s="4">
        <f t="shared" si="109"/>
        <v>3.5842293906810041E-2</v>
      </c>
      <c r="I2368" s="1">
        <f t="shared" si="110"/>
        <v>1</v>
      </c>
    </row>
    <row r="2369" spans="1:9" hidden="1" x14ac:dyDescent="0.2">
      <c r="A2369" s="6">
        <v>43941.708333333336</v>
      </c>
      <c r="B2369" s="1" t="s">
        <v>15</v>
      </c>
      <c r="C2369">
        <v>27</v>
      </c>
      <c r="D2369">
        <v>2</v>
      </c>
      <c r="E2369">
        <v>18</v>
      </c>
      <c r="F2369">
        <v>281</v>
      </c>
      <c r="G2369" s="3">
        <f t="shared" si="108"/>
        <v>2</v>
      </c>
      <c r="H2369" s="4">
        <f t="shared" si="109"/>
        <v>7.1174377224199059E-3</v>
      </c>
      <c r="I2369" s="1">
        <f t="shared" si="110"/>
        <v>1</v>
      </c>
    </row>
    <row r="2370" spans="1:9" hidden="1" x14ac:dyDescent="0.2">
      <c r="A2370" s="6">
        <v>43942.708333333336</v>
      </c>
      <c r="B2370" s="1" t="s">
        <v>15</v>
      </c>
      <c r="C2370">
        <v>27</v>
      </c>
      <c r="D2370">
        <v>2</v>
      </c>
      <c r="E2370">
        <v>18</v>
      </c>
      <c r="F2370">
        <v>282</v>
      </c>
      <c r="G2370" s="3">
        <f t="shared" si="108"/>
        <v>1</v>
      </c>
      <c r="H2370" s="4">
        <f t="shared" si="109"/>
        <v>3.5460992907800915E-3</v>
      </c>
      <c r="I2370" s="1">
        <f t="shared" si="110"/>
        <v>0</v>
      </c>
    </row>
    <row r="2371" spans="1:9" hidden="1" x14ac:dyDescent="0.2">
      <c r="A2371" s="6">
        <v>43943.708333333336</v>
      </c>
      <c r="B2371" s="1" t="s">
        <v>15</v>
      </c>
      <c r="C2371">
        <v>21</v>
      </c>
      <c r="D2371">
        <v>2</v>
      </c>
      <c r="E2371">
        <v>19</v>
      </c>
      <c r="F2371">
        <v>284</v>
      </c>
      <c r="G2371" s="3">
        <f t="shared" ref="G2371:G2434" si="111">IF(AND(F2371&gt;0,AND(B2371=B2370,F2371&gt;0)),F2371-F2370,0)</f>
        <v>2</v>
      </c>
      <c r="H2371" s="4">
        <f t="shared" ref="H2371:H2434" si="112">IF(AND(F2370&gt;0,AND(B2371=B2370,F2370&gt;0)),1-(F2370/F2371),0)</f>
        <v>7.0422535211267512E-3</v>
      </c>
      <c r="I2371" s="1">
        <f t="shared" ref="I2371:I2434" si="113">IF(AND(E2371&gt;0,AND(B2371=B2370,E2371&gt;0)),E2371-E2370,0)</f>
        <v>1</v>
      </c>
    </row>
    <row r="2372" spans="1:9" hidden="1" x14ac:dyDescent="0.2">
      <c r="A2372" s="6">
        <v>43944.708333333336</v>
      </c>
      <c r="B2372" s="1" t="s">
        <v>15</v>
      </c>
      <c r="C2372">
        <v>19</v>
      </c>
      <c r="D2372">
        <v>1</v>
      </c>
      <c r="E2372">
        <v>20</v>
      </c>
      <c r="F2372">
        <v>284</v>
      </c>
      <c r="G2372" s="3">
        <f t="shared" si="111"/>
        <v>0</v>
      </c>
      <c r="H2372" s="4">
        <f t="shared" si="112"/>
        <v>0</v>
      </c>
      <c r="I2372" s="1">
        <f t="shared" si="113"/>
        <v>1</v>
      </c>
    </row>
    <row r="2373" spans="1:9" hidden="1" x14ac:dyDescent="0.2">
      <c r="A2373" s="6">
        <v>43945.708333333336</v>
      </c>
      <c r="B2373" s="1" t="s">
        <v>15</v>
      </c>
      <c r="C2373">
        <v>19</v>
      </c>
      <c r="D2373">
        <v>1</v>
      </c>
      <c r="E2373">
        <v>20</v>
      </c>
      <c r="F2373">
        <v>287</v>
      </c>
      <c r="G2373" s="3">
        <f t="shared" si="111"/>
        <v>3</v>
      </c>
      <c r="H2373" s="4">
        <f t="shared" si="112"/>
        <v>1.0452961672473893E-2</v>
      </c>
      <c r="I2373" s="1">
        <f t="shared" si="113"/>
        <v>0</v>
      </c>
    </row>
    <row r="2374" spans="1:9" hidden="1" x14ac:dyDescent="0.2">
      <c r="A2374" s="6">
        <v>43946.708333333336</v>
      </c>
      <c r="B2374" s="1" t="s">
        <v>15</v>
      </c>
      <c r="C2374">
        <v>19</v>
      </c>
      <c r="D2374">
        <v>1</v>
      </c>
      <c r="E2374">
        <v>21</v>
      </c>
      <c r="F2374">
        <v>292</v>
      </c>
      <c r="G2374" s="3">
        <f t="shared" si="111"/>
        <v>5</v>
      </c>
      <c r="H2374" s="4">
        <f t="shared" si="112"/>
        <v>1.7123287671232834E-2</v>
      </c>
      <c r="I2374" s="1">
        <f t="shared" si="113"/>
        <v>1</v>
      </c>
    </row>
    <row r="2375" spans="1:9" hidden="1" x14ac:dyDescent="0.2">
      <c r="A2375" s="6">
        <v>43947.708333333336</v>
      </c>
      <c r="B2375" s="1" t="s">
        <v>15</v>
      </c>
      <c r="C2375">
        <v>20</v>
      </c>
      <c r="D2375">
        <v>1</v>
      </c>
      <c r="E2375">
        <v>21</v>
      </c>
      <c r="F2375">
        <v>296</v>
      </c>
      <c r="G2375" s="3">
        <f t="shared" si="111"/>
        <v>4</v>
      </c>
      <c r="H2375" s="4">
        <f t="shared" si="112"/>
        <v>1.3513513513513487E-2</v>
      </c>
      <c r="I2375" s="1">
        <f t="shared" si="113"/>
        <v>0</v>
      </c>
    </row>
    <row r="2376" spans="1:9" hidden="1" x14ac:dyDescent="0.2">
      <c r="A2376" s="6">
        <v>43948.708333333336</v>
      </c>
      <c r="B2376" s="1" t="s">
        <v>15</v>
      </c>
      <c r="C2376">
        <v>20</v>
      </c>
      <c r="D2376">
        <v>1</v>
      </c>
      <c r="E2376">
        <v>21</v>
      </c>
      <c r="F2376">
        <v>296</v>
      </c>
      <c r="G2376" s="3">
        <f t="shared" si="111"/>
        <v>0</v>
      </c>
      <c r="H2376" s="4">
        <f t="shared" si="112"/>
        <v>0</v>
      </c>
      <c r="I2376" s="1">
        <f t="shared" si="113"/>
        <v>0</v>
      </c>
    </row>
    <row r="2377" spans="1:9" hidden="1" x14ac:dyDescent="0.2">
      <c r="A2377" s="6">
        <v>43949.708333333336</v>
      </c>
      <c r="B2377" s="1" t="s">
        <v>15</v>
      </c>
      <c r="C2377">
        <v>18</v>
      </c>
      <c r="D2377">
        <v>1</v>
      </c>
      <c r="E2377">
        <v>21</v>
      </c>
      <c r="F2377">
        <v>297</v>
      </c>
      <c r="G2377" s="3">
        <f t="shared" si="111"/>
        <v>1</v>
      </c>
      <c r="H2377" s="4">
        <f t="shared" si="112"/>
        <v>3.3670033670033517E-3</v>
      </c>
      <c r="I2377" s="1">
        <f t="shared" si="113"/>
        <v>0</v>
      </c>
    </row>
    <row r="2378" spans="1:9" hidden="1" x14ac:dyDescent="0.2">
      <c r="A2378" s="6">
        <v>43950.708333333336</v>
      </c>
      <c r="B2378" s="1" t="s">
        <v>15</v>
      </c>
      <c r="C2378">
        <v>17</v>
      </c>
      <c r="D2378">
        <v>1</v>
      </c>
      <c r="E2378">
        <v>21</v>
      </c>
      <c r="F2378">
        <v>297</v>
      </c>
      <c r="G2378" s="3">
        <f t="shared" si="111"/>
        <v>0</v>
      </c>
      <c r="H2378" s="4">
        <f t="shared" si="112"/>
        <v>0</v>
      </c>
      <c r="I2378" s="1">
        <f t="shared" si="113"/>
        <v>0</v>
      </c>
    </row>
    <row r="2379" spans="1:9" hidden="1" x14ac:dyDescent="0.2">
      <c r="A2379" s="6">
        <v>43951.708333333336</v>
      </c>
      <c r="B2379" s="1" t="s">
        <v>15</v>
      </c>
      <c r="C2379">
        <v>17</v>
      </c>
      <c r="D2379">
        <v>1</v>
      </c>
      <c r="E2379">
        <v>21</v>
      </c>
      <c r="F2379">
        <v>298</v>
      </c>
      <c r="G2379" s="3">
        <f t="shared" si="111"/>
        <v>1</v>
      </c>
      <c r="H2379" s="4">
        <f t="shared" si="112"/>
        <v>3.3557046979866278E-3</v>
      </c>
      <c r="I2379" s="1">
        <f t="shared" si="113"/>
        <v>0</v>
      </c>
    </row>
    <row r="2380" spans="1:9" hidden="1" x14ac:dyDescent="0.2">
      <c r="A2380" s="6">
        <v>43952.708333333336</v>
      </c>
      <c r="B2380" s="1" t="s">
        <v>15</v>
      </c>
      <c r="C2380">
        <v>17</v>
      </c>
      <c r="D2380">
        <v>1</v>
      </c>
      <c r="E2380">
        <v>21</v>
      </c>
      <c r="F2380">
        <v>300</v>
      </c>
      <c r="G2380" s="3">
        <f t="shared" si="111"/>
        <v>2</v>
      </c>
      <c r="H2380" s="4">
        <f t="shared" si="112"/>
        <v>6.6666666666667096E-3</v>
      </c>
      <c r="I2380" s="1">
        <f t="shared" si="113"/>
        <v>0</v>
      </c>
    </row>
    <row r="2381" spans="1:9" hidden="1" x14ac:dyDescent="0.2">
      <c r="A2381" s="6">
        <v>43953.708333333336</v>
      </c>
      <c r="B2381" s="1" t="s">
        <v>15</v>
      </c>
      <c r="C2381">
        <v>9</v>
      </c>
      <c r="D2381">
        <v>1</v>
      </c>
      <c r="E2381">
        <v>21</v>
      </c>
      <c r="F2381">
        <v>301</v>
      </c>
      <c r="G2381" s="3">
        <f t="shared" si="111"/>
        <v>1</v>
      </c>
      <c r="H2381" s="4">
        <f t="shared" si="112"/>
        <v>3.3222591362126463E-3</v>
      </c>
      <c r="I2381" s="1">
        <f t="shared" si="113"/>
        <v>0</v>
      </c>
    </row>
    <row r="2382" spans="1:9" hidden="1" x14ac:dyDescent="0.2">
      <c r="A2382" s="6">
        <v>43954.708333333336</v>
      </c>
      <c r="B2382" s="1" t="s">
        <v>15</v>
      </c>
      <c r="C2382">
        <v>8</v>
      </c>
      <c r="D2382">
        <v>1</v>
      </c>
      <c r="E2382">
        <v>22</v>
      </c>
      <c r="F2382">
        <v>301</v>
      </c>
      <c r="G2382" s="3">
        <f t="shared" si="111"/>
        <v>0</v>
      </c>
      <c r="H2382" s="4">
        <f t="shared" si="112"/>
        <v>0</v>
      </c>
      <c r="I2382" s="1">
        <f t="shared" si="113"/>
        <v>1</v>
      </c>
    </row>
    <row r="2383" spans="1:9" hidden="1" x14ac:dyDescent="0.2">
      <c r="A2383" s="6">
        <v>43955.708333333336</v>
      </c>
      <c r="B2383" s="1" t="s">
        <v>15</v>
      </c>
      <c r="C2383">
        <v>9</v>
      </c>
      <c r="D2383">
        <v>1</v>
      </c>
      <c r="E2383">
        <v>22</v>
      </c>
      <c r="F2383">
        <v>301</v>
      </c>
      <c r="G2383" s="3">
        <f t="shared" si="111"/>
        <v>0</v>
      </c>
      <c r="H2383" s="4">
        <f t="shared" si="112"/>
        <v>0</v>
      </c>
      <c r="I2383" s="1">
        <f t="shared" si="113"/>
        <v>0</v>
      </c>
    </row>
    <row r="2384" spans="1:9" hidden="1" x14ac:dyDescent="0.2">
      <c r="A2384" s="6">
        <v>43956.708333333336</v>
      </c>
      <c r="B2384" s="1" t="s">
        <v>15</v>
      </c>
      <c r="C2384">
        <v>9</v>
      </c>
      <c r="D2384">
        <v>1</v>
      </c>
      <c r="E2384">
        <v>22</v>
      </c>
      <c r="F2384">
        <v>301</v>
      </c>
      <c r="G2384" s="3">
        <f t="shared" si="111"/>
        <v>0</v>
      </c>
      <c r="H2384" s="4">
        <f t="shared" si="112"/>
        <v>0</v>
      </c>
      <c r="I2384" s="1">
        <f t="shared" si="113"/>
        <v>0</v>
      </c>
    </row>
    <row r="2385" spans="1:9" hidden="1" x14ac:dyDescent="0.2">
      <c r="A2385" s="6">
        <v>43957.708333333336</v>
      </c>
      <c r="B2385" s="1" t="s">
        <v>15</v>
      </c>
      <c r="C2385">
        <v>9</v>
      </c>
      <c r="D2385">
        <v>0</v>
      </c>
      <c r="E2385">
        <v>22</v>
      </c>
      <c r="F2385">
        <v>304</v>
      </c>
      <c r="G2385" s="3">
        <f t="shared" si="111"/>
        <v>3</v>
      </c>
      <c r="H2385" s="4">
        <f t="shared" si="112"/>
        <v>9.8684210526315264E-3</v>
      </c>
      <c r="I2385" s="1">
        <f t="shared" si="113"/>
        <v>0</v>
      </c>
    </row>
    <row r="2386" spans="1:9" hidden="1" x14ac:dyDescent="0.2">
      <c r="A2386" s="6">
        <v>43958.708333333336</v>
      </c>
      <c r="B2386" s="1" t="s">
        <v>15</v>
      </c>
      <c r="C2386">
        <v>8</v>
      </c>
      <c r="D2386">
        <v>0</v>
      </c>
      <c r="E2386">
        <v>22</v>
      </c>
      <c r="F2386">
        <v>305</v>
      </c>
      <c r="G2386" s="3">
        <f t="shared" si="111"/>
        <v>1</v>
      </c>
      <c r="H2386" s="4">
        <f t="shared" si="112"/>
        <v>3.2786885245901232E-3</v>
      </c>
      <c r="I2386" s="1">
        <f t="shared" si="113"/>
        <v>0</v>
      </c>
    </row>
    <row r="2387" spans="1:9" hidden="1" x14ac:dyDescent="0.2">
      <c r="A2387" s="6">
        <v>43959.708333333336</v>
      </c>
      <c r="B2387" s="1" t="s">
        <v>15</v>
      </c>
      <c r="C2387">
        <v>6</v>
      </c>
      <c r="D2387">
        <v>0</v>
      </c>
      <c r="E2387">
        <v>22</v>
      </c>
      <c r="F2387">
        <v>327</v>
      </c>
      <c r="G2387" s="3">
        <f t="shared" si="111"/>
        <v>22</v>
      </c>
      <c r="H2387" s="4">
        <f t="shared" si="112"/>
        <v>6.7278287461773667E-2</v>
      </c>
      <c r="I2387" s="1">
        <f t="shared" si="113"/>
        <v>0</v>
      </c>
    </row>
    <row r="2388" spans="1:9" hidden="1" x14ac:dyDescent="0.2">
      <c r="A2388" s="6">
        <v>43960.708333333336</v>
      </c>
      <c r="B2388" s="1" t="s">
        <v>15</v>
      </c>
      <c r="C2388">
        <v>8</v>
      </c>
      <c r="D2388">
        <v>0</v>
      </c>
      <c r="E2388">
        <v>22</v>
      </c>
      <c r="F2388">
        <v>347</v>
      </c>
      <c r="G2388" s="3">
        <f t="shared" si="111"/>
        <v>20</v>
      </c>
      <c r="H2388" s="4">
        <f t="shared" si="112"/>
        <v>5.7636887608069176E-2</v>
      </c>
      <c r="I2388" s="1">
        <f t="shared" si="113"/>
        <v>0</v>
      </c>
    </row>
    <row r="2389" spans="1:9" hidden="1" x14ac:dyDescent="0.2">
      <c r="A2389" s="6">
        <v>43961.708333333336</v>
      </c>
      <c r="B2389" s="1" t="s">
        <v>15</v>
      </c>
      <c r="C2389">
        <v>9</v>
      </c>
      <c r="D2389">
        <v>0</v>
      </c>
      <c r="E2389">
        <v>22</v>
      </c>
      <c r="F2389">
        <v>370</v>
      </c>
      <c r="G2389" s="3">
        <f t="shared" si="111"/>
        <v>23</v>
      </c>
      <c r="H2389" s="4">
        <f t="shared" si="112"/>
        <v>6.2162162162162193E-2</v>
      </c>
      <c r="I2389" s="1">
        <f t="shared" si="113"/>
        <v>0</v>
      </c>
    </row>
    <row r="2390" spans="1:9" hidden="1" x14ac:dyDescent="0.2">
      <c r="A2390" s="6">
        <v>43962.708333333336</v>
      </c>
      <c r="B2390" s="1" t="s">
        <v>15</v>
      </c>
      <c r="C2390">
        <v>11</v>
      </c>
      <c r="D2390">
        <v>0</v>
      </c>
      <c r="E2390">
        <v>22</v>
      </c>
      <c r="F2390">
        <v>383</v>
      </c>
      <c r="G2390" s="3">
        <f t="shared" si="111"/>
        <v>13</v>
      </c>
      <c r="H2390" s="4">
        <f t="shared" si="112"/>
        <v>3.394255874673624E-2</v>
      </c>
      <c r="I2390" s="1">
        <f t="shared" si="113"/>
        <v>0</v>
      </c>
    </row>
    <row r="2391" spans="1:9" hidden="1" x14ac:dyDescent="0.2">
      <c r="A2391" s="6">
        <v>43963.708333333336</v>
      </c>
      <c r="B2391" s="1" t="s">
        <v>15</v>
      </c>
      <c r="C2391">
        <v>13</v>
      </c>
      <c r="D2391">
        <v>1</v>
      </c>
      <c r="E2391">
        <v>22</v>
      </c>
      <c r="F2391">
        <v>386</v>
      </c>
      <c r="G2391" s="3">
        <f t="shared" si="111"/>
        <v>3</v>
      </c>
      <c r="H2391" s="4">
        <f t="shared" si="112"/>
        <v>7.7720207253886286E-3</v>
      </c>
      <c r="I2391" s="1">
        <f t="shared" si="113"/>
        <v>0</v>
      </c>
    </row>
    <row r="2392" spans="1:9" hidden="1" x14ac:dyDescent="0.2">
      <c r="A2392" s="6">
        <v>43964.708333333336</v>
      </c>
      <c r="B2392" s="1" t="s">
        <v>15</v>
      </c>
      <c r="C2392">
        <v>9</v>
      </c>
      <c r="D2392">
        <v>1</v>
      </c>
      <c r="E2392">
        <v>22</v>
      </c>
      <c r="F2392">
        <v>401</v>
      </c>
      <c r="G2392" s="3">
        <f t="shared" si="111"/>
        <v>15</v>
      </c>
      <c r="H2392" s="4">
        <f t="shared" si="112"/>
        <v>3.7406483790523692E-2</v>
      </c>
      <c r="I2392" s="1">
        <f t="shared" si="113"/>
        <v>0</v>
      </c>
    </row>
    <row r="2393" spans="1:9" hidden="1" x14ac:dyDescent="0.2">
      <c r="A2393" s="6">
        <v>43965.708333333336</v>
      </c>
      <c r="B2393" s="1" t="s">
        <v>15</v>
      </c>
      <c r="C2393">
        <v>10</v>
      </c>
      <c r="D2393">
        <v>1</v>
      </c>
      <c r="E2393">
        <v>22</v>
      </c>
      <c r="F2393">
        <v>403</v>
      </c>
      <c r="G2393" s="3">
        <f t="shared" si="111"/>
        <v>2</v>
      </c>
      <c r="H2393" s="4">
        <f t="shared" si="112"/>
        <v>4.9627791563275903E-3</v>
      </c>
      <c r="I2393" s="1">
        <f t="shared" si="113"/>
        <v>0</v>
      </c>
    </row>
    <row r="2394" spans="1:9" hidden="1" x14ac:dyDescent="0.2">
      <c r="A2394" s="6">
        <v>43966.708333333336</v>
      </c>
      <c r="B2394" s="1" t="s">
        <v>15</v>
      </c>
      <c r="C2394">
        <v>8</v>
      </c>
      <c r="D2394">
        <v>2</v>
      </c>
      <c r="E2394">
        <v>22</v>
      </c>
      <c r="F2394">
        <v>407</v>
      </c>
      <c r="G2394" s="3">
        <f t="shared" si="111"/>
        <v>4</v>
      </c>
      <c r="H2394" s="4">
        <f t="shared" si="112"/>
        <v>9.8280098280097983E-3</v>
      </c>
      <c r="I2394" s="1">
        <f t="shared" si="113"/>
        <v>0</v>
      </c>
    </row>
    <row r="2395" spans="1:9" hidden="1" x14ac:dyDescent="0.2">
      <c r="A2395" s="6">
        <v>43967.708333333336</v>
      </c>
      <c r="B2395" s="1" t="s">
        <v>15</v>
      </c>
      <c r="C2395">
        <v>8</v>
      </c>
      <c r="D2395">
        <v>2</v>
      </c>
      <c r="E2395">
        <v>22</v>
      </c>
      <c r="F2395">
        <v>410</v>
      </c>
      <c r="G2395" s="3">
        <f t="shared" si="111"/>
        <v>3</v>
      </c>
      <c r="H2395" s="4">
        <f t="shared" si="112"/>
        <v>7.3170731707317138E-3</v>
      </c>
      <c r="I2395" s="1">
        <f t="shared" si="113"/>
        <v>0</v>
      </c>
    </row>
    <row r="2396" spans="1:9" hidden="1" x14ac:dyDescent="0.2">
      <c r="A2396" s="6">
        <v>43968.708333333336</v>
      </c>
      <c r="B2396" s="1" t="s">
        <v>15</v>
      </c>
      <c r="C2396">
        <v>11</v>
      </c>
      <c r="D2396">
        <v>2</v>
      </c>
      <c r="E2396">
        <v>22</v>
      </c>
      <c r="F2396">
        <v>411</v>
      </c>
      <c r="G2396" s="3">
        <f t="shared" si="111"/>
        <v>1</v>
      </c>
      <c r="H2396" s="4">
        <f t="shared" si="112"/>
        <v>2.4330900243308973E-3</v>
      </c>
      <c r="I2396" s="1">
        <f t="shared" si="113"/>
        <v>0</v>
      </c>
    </row>
    <row r="2397" spans="1:9" hidden="1" x14ac:dyDescent="0.2">
      <c r="A2397" s="6">
        <v>43969.708333333336</v>
      </c>
      <c r="B2397" s="1" t="s">
        <v>15</v>
      </c>
      <c r="C2397">
        <v>9</v>
      </c>
      <c r="D2397">
        <v>2</v>
      </c>
      <c r="E2397">
        <v>22</v>
      </c>
      <c r="F2397">
        <v>422</v>
      </c>
      <c r="G2397" s="3">
        <f t="shared" si="111"/>
        <v>11</v>
      </c>
      <c r="H2397" s="4">
        <f t="shared" si="112"/>
        <v>2.6066350710900466E-2</v>
      </c>
      <c r="I2397" s="1">
        <f t="shared" si="113"/>
        <v>0</v>
      </c>
    </row>
    <row r="2398" spans="1:9" hidden="1" x14ac:dyDescent="0.2">
      <c r="A2398" s="6">
        <v>43970.708333333336</v>
      </c>
      <c r="B2398" s="1" t="s">
        <v>15</v>
      </c>
      <c r="C2398">
        <v>9</v>
      </c>
      <c r="D2398">
        <v>2</v>
      </c>
      <c r="E2398">
        <v>22</v>
      </c>
      <c r="F2398">
        <v>422</v>
      </c>
      <c r="G2398" s="3">
        <f t="shared" si="111"/>
        <v>0</v>
      </c>
      <c r="H2398" s="4">
        <f t="shared" si="112"/>
        <v>0</v>
      </c>
      <c r="I2398" s="1">
        <f t="shared" si="113"/>
        <v>0</v>
      </c>
    </row>
    <row r="2399" spans="1:9" hidden="1" x14ac:dyDescent="0.2">
      <c r="A2399" s="6">
        <v>43971.708333333336</v>
      </c>
      <c r="B2399" s="1" t="s">
        <v>15</v>
      </c>
      <c r="C2399">
        <v>7</v>
      </c>
      <c r="D2399">
        <v>2</v>
      </c>
      <c r="E2399">
        <v>22</v>
      </c>
      <c r="F2399">
        <v>422</v>
      </c>
      <c r="G2399" s="3">
        <f t="shared" si="111"/>
        <v>0</v>
      </c>
      <c r="H2399" s="4">
        <f t="shared" si="112"/>
        <v>0</v>
      </c>
      <c r="I2399" s="1">
        <f t="shared" si="113"/>
        <v>0</v>
      </c>
    </row>
    <row r="2400" spans="1:9" hidden="1" x14ac:dyDescent="0.2">
      <c r="A2400" s="6">
        <v>43972.708333333336</v>
      </c>
      <c r="B2400" s="1" t="s">
        <v>15</v>
      </c>
      <c r="C2400">
        <v>8</v>
      </c>
      <c r="D2400">
        <v>2</v>
      </c>
      <c r="E2400">
        <v>22</v>
      </c>
      <c r="F2400">
        <v>423</v>
      </c>
      <c r="G2400" s="3">
        <f t="shared" si="111"/>
        <v>1</v>
      </c>
      <c r="H2400" s="4">
        <f t="shared" si="112"/>
        <v>2.3640661938534313E-3</v>
      </c>
      <c r="I2400" s="1">
        <f t="shared" si="113"/>
        <v>0</v>
      </c>
    </row>
    <row r="2401" spans="1:9" hidden="1" x14ac:dyDescent="0.2">
      <c r="A2401" s="6">
        <v>43973.708333333336</v>
      </c>
      <c r="B2401" s="1" t="s">
        <v>15</v>
      </c>
      <c r="C2401">
        <v>8</v>
      </c>
      <c r="D2401">
        <v>2</v>
      </c>
      <c r="E2401">
        <v>22</v>
      </c>
      <c r="F2401">
        <v>426</v>
      </c>
      <c r="G2401" s="3">
        <f t="shared" si="111"/>
        <v>3</v>
      </c>
      <c r="H2401" s="4">
        <f t="shared" si="112"/>
        <v>7.0422535211267512E-3</v>
      </c>
      <c r="I2401" s="1">
        <f t="shared" si="113"/>
        <v>0</v>
      </c>
    </row>
    <row r="2402" spans="1:9" hidden="1" x14ac:dyDescent="0.2">
      <c r="A2402" s="6">
        <v>43974.708333333336</v>
      </c>
      <c r="B2402" s="1" t="s">
        <v>15</v>
      </c>
      <c r="C2402">
        <v>8</v>
      </c>
      <c r="D2402">
        <v>2</v>
      </c>
      <c r="E2402">
        <v>22</v>
      </c>
      <c r="F2402">
        <v>431</v>
      </c>
      <c r="G2402" s="3">
        <f t="shared" si="111"/>
        <v>5</v>
      </c>
      <c r="H2402" s="4">
        <f t="shared" si="112"/>
        <v>1.1600928074245953E-2</v>
      </c>
      <c r="I2402" s="1">
        <f t="shared" si="113"/>
        <v>0</v>
      </c>
    </row>
    <row r="2403" spans="1:9" hidden="1" x14ac:dyDescent="0.2">
      <c r="A2403" s="6">
        <v>43975.708333333336</v>
      </c>
      <c r="B2403" s="1" t="s">
        <v>15</v>
      </c>
      <c r="C2403">
        <v>6</v>
      </c>
      <c r="D2403">
        <v>2</v>
      </c>
      <c r="E2403">
        <v>22</v>
      </c>
      <c r="F2403">
        <v>432</v>
      </c>
      <c r="G2403" s="3">
        <f t="shared" si="111"/>
        <v>1</v>
      </c>
      <c r="H2403" s="4">
        <f t="shared" si="112"/>
        <v>2.3148148148147696E-3</v>
      </c>
      <c r="I2403" s="1">
        <f t="shared" si="113"/>
        <v>0</v>
      </c>
    </row>
    <row r="2404" spans="1:9" hidden="1" x14ac:dyDescent="0.2">
      <c r="A2404" s="6">
        <v>43976.708333333336</v>
      </c>
      <c r="B2404" s="1" t="s">
        <v>15</v>
      </c>
      <c r="C2404">
        <v>5</v>
      </c>
      <c r="D2404">
        <v>2</v>
      </c>
      <c r="E2404">
        <v>22</v>
      </c>
      <c r="F2404">
        <v>432</v>
      </c>
      <c r="G2404" s="3">
        <f t="shared" si="111"/>
        <v>0</v>
      </c>
      <c r="H2404" s="4">
        <f t="shared" si="112"/>
        <v>0</v>
      </c>
      <c r="I2404" s="1">
        <f t="shared" si="113"/>
        <v>0</v>
      </c>
    </row>
    <row r="2405" spans="1:9" hidden="1" x14ac:dyDescent="0.2">
      <c r="A2405" s="6">
        <v>43977.708333333336</v>
      </c>
      <c r="B2405" s="1" t="s">
        <v>15</v>
      </c>
      <c r="C2405">
        <v>5</v>
      </c>
      <c r="D2405">
        <v>2</v>
      </c>
      <c r="E2405">
        <v>22</v>
      </c>
      <c r="F2405">
        <v>432</v>
      </c>
      <c r="G2405" s="3">
        <f t="shared" si="111"/>
        <v>0</v>
      </c>
      <c r="H2405" s="4">
        <f t="shared" si="112"/>
        <v>0</v>
      </c>
      <c r="I2405" s="1">
        <f t="shared" si="113"/>
        <v>0</v>
      </c>
    </row>
    <row r="2406" spans="1:9" hidden="1" x14ac:dyDescent="0.2">
      <c r="A2406" s="6">
        <v>43978.708333333336</v>
      </c>
      <c r="B2406" s="1" t="s">
        <v>15</v>
      </c>
      <c r="C2406">
        <v>3</v>
      </c>
      <c r="D2406">
        <v>2</v>
      </c>
      <c r="E2406">
        <v>22</v>
      </c>
      <c r="F2406">
        <v>434</v>
      </c>
      <c r="G2406" s="3">
        <f t="shared" si="111"/>
        <v>2</v>
      </c>
      <c r="H2406" s="4">
        <f t="shared" si="112"/>
        <v>4.6082949308755561E-3</v>
      </c>
      <c r="I2406" s="1">
        <f t="shared" si="113"/>
        <v>0</v>
      </c>
    </row>
    <row r="2407" spans="1:9" hidden="1" x14ac:dyDescent="0.2">
      <c r="A2407" s="6">
        <v>43979.708333333336</v>
      </c>
      <c r="B2407" s="1" t="s">
        <v>15</v>
      </c>
      <c r="C2407">
        <v>3</v>
      </c>
      <c r="D2407">
        <v>2</v>
      </c>
      <c r="E2407">
        <v>22</v>
      </c>
      <c r="F2407">
        <v>435</v>
      </c>
      <c r="G2407" s="3">
        <f t="shared" si="111"/>
        <v>1</v>
      </c>
      <c r="H2407" s="4">
        <f t="shared" si="112"/>
        <v>2.2988505747126853E-3</v>
      </c>
      <c r="I2407" s="1">
        <f t="shared" si="113"/>
        <v>0</v>
      </c>
    </row>
    <row r="2408" spans="1:9" hidden="1" x14ac:dyDescent="0.2">
      <c r="A2408" s="6">
        <v>43980.708333333336</v>
      </c>
      <c r="B2408" s="1" t="s">
        <v>15</v>
      </c>
      <c r="C2408">
        <v>3</v>
      </c>
      <c r="D2408">
        <v>2</v>
      </c>
      <c r="E2408">
        <v>22</v>
      </c>
      <c r="F2408">
        <v>436</v>
      </c>
      <c r="G2408" s="3">
        <f t="shared" si="111"/>
        <v>1</v>
      </c>
      <c r="H2408" s="4">
        <f t="shared" si="112"/>
        <v>2.2935779816514179E-3</v>
      </c>
      <c r="I2408" s="1">
        <f t="shared" si="113"/>
        <v>0</v>
      </c>
    </row>
    <row r="2409" spans="1:9" hidden="1" x14ac:dyDescent="0.2">
      <c r="A2409" s="6">
        <v>43981.708333333336</v>
      </c>
      <c r="B2409" s="1" t="s">
        <v>15</v>
      </c>
      <c r="C2409">
        <v>3</v>
      </c>
      <c r="D2409">
        <v>2</v>
      </c>
      <c r="E2409">
        <v>22</v>
      </c>
      <c r="F2409">
        <v>436</v>
      </c>
      <c r="G2409" s="3">
        <f t="shared" si="111"/>
        <v>0</v>
      </c>
      <c r="H2409" s="4">
        <f t="shared" si="112"/>
        <v>0</v>
      </c>
      <c r="I2409" s="1">
        <f t="shared" si="113"/>
        <v>0</v>
      </c>
    </row>
    <row r="2410" spans="1:9" hidden="1" x14ac:dyDescent="0.2">
      <c r="A2410" s="6">
        <v>43982.708333333336</v>
      </c>
      <c r="B2410" s="1" t="s">
        <v>15</v>
      </c>
      <c r="C2410">
        <v>2</v>
      </c>
      <c r="D2410">
        <v>2</v>
      </c>
      <c r="E2410">
        <v>22</v>
      </c>
      <c r="F2410">
        <v>436</v>
      </c>
      <c r="G2410" s="3">
        <f t="shared" si="111"/>
        <v>0</v>
      </c>
      <c r="H2410" s="4">
        <f t="shared" si="112"/>
        <v>0</v>
      </c>
      <c r="I2410" s="1">
        <f t="shared" si="113"/>
        <v>0</v>
      </c>
    </row>
    <row r="2411" spans="1:9" hidden="1" x14ac:dyDescent="0.2">
      <c r="A2411" s="6">
        <v>43983.708333333336</v>
      </c>
      <c r="B2411" s="1" t="s">
        <v>15</v>
      </c>
      <c r="C2411">
        <v>2</v>
      </c>
      <c r="D2411">
        <v>2</v>
      </c>
      <c r="E2411">
        <v>22</v>
      </c>
      <c r="F2411">
        <v>436</v>
      </c>
      <c r="G2411" s="3">
        <f t="shared" si="111"/>
        <v>0</v>
      </c>
      <c r="H2411" s="4">
        <f t="shared" si="112"/>
        <v>0</v>
      </c>
      <c r="I2411" s="1">
        <f t="shared" si="113"/>
        <v>0</v>
      </c>
    </row>
    <row r="2412" spans="1:9" hidden="1" x14ac:dyDescent="0.2">
      <c r="A2412" s="6">
        <v>43984.708333333336</v>
      </c>
      <c r="B2412" s="1" t="s">
        <v>15</v>
      </c>
      <c r="C2412">
        <v>3</v>
      </c>
      <c r="D2412">
        <v>2</v>
      </c>
      <c r="E2412">
        <v>22</v>
      </c>
      <c r="F2412">
        <v>436</v>
      </c>
      <c r="G2412" s="3">
        <f t="shared" si="111"/>
        <v>0</v>
      </c>
      <c r="H2412" s="4">
        <f t="shared" si="112"/>
        <v>0</v>
      </c>
      <c r="I2412" s="1">
        <f t="shared" si="113"/>
        <v>0</v>
      </c>
    </row>
    <row r="2413" spans="1:9" hidden="1" x14ac:dyDescent="0.2">
      <c r="A2413" s="6">
        <v>43985.708333333336</v>
      </c>
      <c r="B2413" s="1" t="s">
        <v>15</v>
      </c>
      <c r="C2413">
        <v>1</v>
      </c>
      <c r="D2413">
        <v>2</v>
      </c>
      <c r="E2413">
        <v>22</v>
      </c>
      <c r="F2413">
        <v>436</v>
      </c>
      <c r="G2413" s="3">
        <f t="shared" si="111"/>
        <v>0</v>
      </c>
      <c r="H2413" s="4">
        <f t="shared" si="112"/>
        <v>0</v>
      </c>
      <c r="I2413" s="1">
        <f t="shared" si="113"/>
        <v>0</v>
      </c>
    </row>
    <row r="2414" spans="1:9" hidden="1" x14ac:dyDescent="0.2">
      <c r="A2414" s="6">
        <v>43986.708333333336</v>
      </c>
      <c r="B2414" s="1" t="s">
        <v>15</v>
      </c>
      <c r="C2414">
        <v>0</v>
      </c>
      <c r="D2414">
        <v>2</v>
      </c>
      <c r="E2414">
        <v>23</v>
      </c>
      <c r="F2414">
        <v>436</v>
      </c>
      <c r="G2414" s="3">
        <f t="shared" si="111"/>
        <v>0</v>
      </c>
      <c r="H2414" s="4">
        <f t="shared" si="112"/>
        <v>0</v>
      </c>
      <c r="I2414" s="1">
        <f t="shared" si="113"/>
        <v>1</v>
      </c>
    </row>
    <row r="2415" spans="1:9" hidden="1" x14ac:dyDescent="0.2">
      <c r="A2415" s="6">
        <v>43987.708333333336</v>
      </c>
      <c r="B2415" s="1" t="s">
        <v>15</v>
      </c>
      <c r="C2415">
        <v>0</v>
      </c>
      <c r="D2415">
        <v>2</v>
      </c>
      <c r="E2415">
        <v>23</v>
      </c>
      <c r="F2415">
        <v>436</v>
      </c>
      <c r="G2415" s="3">
        <f t="shared" si="111"/>
        <v>0</v>
      </c>
      <c r="H2415" s="4">
        <f t="shared" si="112"/>
        <v>0</v>
      </c>
      <c r="I2415" s="1">
        <f t="shared" si="113"/>
        <v>0</v>
      </c>
    </row>
    <row r="2416" spans="1:9" hidden="1" x14ac:dyDescent="0.2">
      <c r="A2416" s="6">
        <v>43988.708333333336</v>
      </c>
      <c r="B2416" s="1" t="s">
        <v>15</v>
      </c>
      <c r="C2416">
        <v>0</v>
      </c>
      <c r="D2416">
        <v>2</v>
      </c>
      <c r="E2416">
        <v>23</v>
      </c>
      <c r="F2416">
        <v>436</v>
      </c>
      <c r="G2416" s="3">
        <f t="shared" si="111"/>
        <v>0</v>
      </c>
      <c r="H2416" s="4">
        <f t="shared" si="112"/>
        <v>0</v>
      </c>
      <c r="I2416" s="1">
        <f t="shared" si="113"/>
        <v>0</v>
      </c>
    </row>
    <row r="2417" spans="1:9" hidden="1" x14ac:dyDescent="0.2">
      <c r="A2417" s="6">
        <v>43989.708333333336</v>
      </c>
      <c r="B2417" s="1" t="s">
        <v>15</v>
      </c>
      <c r="C2417">
        <v>0</v>
      </c>
      <c r="D2417">
        <v>2</v>
      </c>
      <c r="E2417">
        <v>23</v>
      </c>
      <c r="F2417">
        <v>436</v>
      </c>
      <c r="G2417" s="3">
        <f t="shared" si="111"/>
        <v>0</v>
      </c>
      <c r="H2417" s="4">
        <f t="shared" si="112"/>
        <v>0</v>
      </c>
      <c r="I2417" s="1">
        <f t="shared" si="113"/>
        <v>0</v>
      </c>
    </row>
    <row r="2418" spans="1:9" hidden="1" x14ac:dyDescent="0.2">
      <c r="A2418" s="6">
        <v>43990.708333333336</v>
      </c>
      <c r="B2418" s="1" t="s">
        <v>15</v>
      </c>
      <c r="C2418">
        <v>0</v>
      </c>
      <c r="D2418">
        <v>2</v>
      </c>
      <c r="E2418">
        <v>23</v>
      </c>
      <c r="F2418">
        <v>436</v>
      </c>
      <c r="G2418" s="3">
        <f t="shared" si="111"/>
        <v>0</v>
      </c>
      <c r="H2418" s="4">
        <f t="shared" si="112"/>
        <v>0</v>
      </c>
      <c r="I2418" s="1">
        <f t="shared" si="113"/>
        <v>0</v>
      </c>
    </row>
    <row r="2419" spans="1:9" hidden="1" x14ac:dyDescent="0.2">
      <c r="A2419" s="6">
        <v>43991.708333333336</v>
      </c>
      <c r="B2419" s="1" t="s">
        <v>15</v>
      </c>
      <c r="C2419">
        <v>0</v>
      </c>
      <c r="D2419">
        <v>2</v>
      </c>
      <c r="E2419">
        <v>23</v>
      </c>
      <c r="F2419">
        <v>438</v>
      </c>
      <c r="G2419" s="3">
        <f t="shared" si="111"/>
        <v>2</v>
      </c>
      <c r="H2419" s="4">
        <f t="shared" si="112"/>
        <v>4.5662100456621557E-3</v>
      </c>
      <c r="I2419" s="1">
        <f t="shared" si="113"/>
        <v>0</v>
      </c>
    </row>
    <row r="2420" spans="1:9" hidden="1" x14ac:dyDescent="0.2">
      <c r="A2420" s="6">
        <v>43992.708333333336</v>
      </c>
      <c r="B2420" s="1" t="s">
        <v>15</v>
      </c>
      <c r="C2420">
        <v>0</v>
      </c>
      <c r="D2420">
        <v>2</v>
      </c>
      <c r="E2420">
        <v>23</v>
      </c>
      <c r="F2420">
        <v>439</v>
      </c>
      <c r="G2420" s="3">
        <f t="shared" si="111"/>
        <v>1</v>
      </c>
      <c r="H2420" s="4">
        <f t="shared" si="112"/>
        <v>2.277904328018221E-3</v>
      </c>
      <c r="I2420" s="1">
        <f t="shared" si="113"/>
        <v>0</v>
      </c>
    </row>
    <row r="2421" spans="1:9" hidden="1" x14ac:dyDescent="0.2">
      <c r="A2421" s="6">
        <v>43993.708333333336</v>
      </c>
      <c r="B2421" s="1" t="s">
        <v>15</v>
      </c>
      <c r="C2421">
        <v>1</v>
      </c>
      <c r="D2421">
        <v>1</v>
      </c>
      <c r="E2421">
        <v>23</v>
      </c>
      <c r="F2421">
        <v>439</v>
      </c>
      <c r="G2421" s="3">
        <f t="shared" si="111"/>
        <v>0</v>
      </c>
      <c r="H2421" s="4">
        <f t="shared" si="112"/>
        <v>0</v>
      </c>
      <c r="I2421" s="1">
        <f t="shared" si="113"/>
        <v>0</v>
      </c>
    </row>
    <row r="2422" spans="1:9" hidden="1" x14ac:dyDescent="0.2">
      <c r="A2422" s="6">
        <v>43994.708333333336</v>
      </c>
      <c r="B2422" s="1" t="s">
        <v>15</v>
      </c>
      <c r="C2422">
        <v>1</v>
      </c>
      <c r="D2422">
        <v>1</v>
      </c>
      <c r="E2422">
        <v>23</v>
      </c>
      <c r="F2422">
        <v>439</v>
      </c>
      <c r="G2422" s="3">
        <f t="shared" si="111"/>
        <v>0</v>
      </c>
      <c r="H2422" s="4">
        <f t="shared" si="112"/>
        <v>0</v>
      </c>
      <c r="I2422" s="1">
        <f t="shared" si="113"/>
        <v>0</v>
      </c>
    </row>
    <row r="2423" spans="1:9" hidden="1" x14ac:dyDescent="0.2">
      <c r="A2423" s="6">
        <v>43995.708333333336</v>
      </c>
      <c r="B2423" s="1" t="s">
        <v>15</v>
      </c>
      <c r="C2423">
        <v>0</v>
      </c>
      <c r="D2423">
        <v>0</v>
      </c>
      <c r="E2423">
        <v>23</v>
      </c>
      <c r="F2423">
        <v>439</v>
      </c>
      <c r="G2423" s="3">
        <f t="shared" si="111"/>
        <v>0</v>
      </c>
      <c r="H2423" s="4">
        <f t="shared" si="112"/>
        <v>0</v>
      </c>
      <c r="I2423" s="1">
        <f t="shared" si="113"/>
        <v>0</v>
      </c>
    </row>
    <row r="2424" spans="1:9" hidden="1" x14ac:dyDescent="0.2">
      <c r="A2424" s="6">
        <v>43996.708333333336</v>
      </c>
      <c r="B2424" s="1" t="s">
        <v>15</v>
      </c>
      <c r="C2424">
        <v>0</v>
      </c>
      <c r="D2424">
        <v>0</v>
      </c>
      <c r="E2424">
        <v>23</v>
      </c>
      <c r="F2424">
        <v>439</v>
      </c>
      <c r="G2424" s="3">
        <f t="shared" si="111"/>
        <v>0</v>
      </c>
      <c r="H2424" s="4">
        <f t="shared" si="112"/>
        <v>0</v>
      </c>
      <c r="I2424" s="1">
        <f t="shared" si="113"/>
        <v>0</v>
      </c>
    </row>
    <row r="2425" spans="1:9" hidden="1" x14ac:dyDescent="0.2">
      <c r="A2425" s="6">
        <v>43997.708333333336</v>
      </c>
      <c r="B2425" s="1" t="s">
        <v>15</v>
      </c>
      <c r="C2425">
        <v>0</v>
      </c>
      <c r="D2425">
        <v>0</v>
      </c>
      <c r="E2425">
        <v>23</v>
      </c>
      <c r="F2425">
        <v>439</v>
      </c>
      <c r="G2425" s="3">
        <f t="shared" si="111"/>
        <v>0</v>
      </c>
      <c r="H2425" s="4">
        <f t="shared" si="112"/>
        <v>0</v>
      </c>
      <c r="I2425" s="1">
        <f t="shared" si="113"/>
        <v>0</v>
      </c>
    </row>
    <row r="2426" spans="1:9" hidden="1" x14ac:dyDescent="0.2">
      <c r="A2426" s="6">
        <v>43998.708333333336</v>
      </c>
      <c r="B2426" s="1" t="s">
        <v>15</v>
      </c>
      <c r="C2426">
        <v>1</v>
      </c>
      <c r="D2426">
        <v>0</v>
      </c>
      <c r="E2426">
        <v>23</v>
      </c>
      <c r="F2426">
        <v>439</v>
      </c>
      <c r="G2426" s="3">
        <f t="shared" si="111"/>
        <v>0</v>
      </c>
      <c r="H2426" s="4">
        <f t="shared" si="112"/>
        <v>0</v>
      </c>
      <c r="I2426" s="1">
        <f t="shared" si="113"/>
        <v>0</v>
      </c>
    </row>
    <row r="2427" spans="1:9" hidden="1" x14ac:dyDescent="0.2">
      <c r="A2427" s="6">
        <v>43999.708333333336</v>
      </c>
      <c r="B2427" s="1" t="s">
        <v>15</v>
      </c>
      <c r="C2427">
        <v>1</v>
      </c>
      <c r="D2427">
        <v>0</v>
      </c>
      <c r="E2427">
        <v>23</v>
      </c>
      <c r="F2427">
        <v>440</v>
      </c>
      <c r="G2427" s="3">
        <f t="shared" si="111"/>
        <v>1</v>
      </c>
      <c r="H2427" s="4">
        <f t="shared" si="112"/>
        <v>2.2727272727273151E-3</v>
      </c>
      <c r="I2427" s="1">
        <f t="shared" si="113"/>
        <v>0</v>
      </c>
    </row>
    <row r="2428" spans="1:9" hidden="1" x14ac:dyDescent="0.2">
      <c r="A2428" s="6">
        <v>44000.708333333336</v>
      </c>
      <c r="B2428" s="1" t="s">
        <v>15</v>
      </c>
      <c r="C2428">
        <v>1</v>
      </c>
      <c r="D2428">
        <v>0</v>
      </c>
      <c r="E2428">
        <v>23</v>
      </c>
      <c r="F2428">
        <v>440</v>
      </c>
      <c r="G2428" s="3">
        <f t="shared" si="111"/>
        <v>0</v>
      </c>
      <c r="H2428" s="4">
        <f t="shared" si="112"/>
        <v>0</v>
      </c>
      <c r="I2428" s="1">
        <f t="shared" si="113"/>
        <v>0</v>
      </c>
    </row>
    <row r="2429" spans="1:9" hidden="1" x14ac:dyDescent="0.2">
      <c r="A2429" s="6">
        <v>44001.708333333336</v>
      </c>
      <c r="B2429" s="1" t="s">
        <v>15</v>
      </c>
      <c r="C2429">
        <v>2</v>
      </c>
      <c r="D2429">
        <v>0</v>
      </c>
      <c r="E2429">
        <v>23</v>
      </c>
      <c r="F2429">
        <v>441</v>
      </c>
      <c r="G2429" s="3">
        <f t="shared" si="111"/>
        <v>1</v>
      </c>
      <c r="H2429" s="4">
        <f t="shared" si="112"/>
        <v>2.2675736961451642E-3</v>
      </c>
      <c r="I2429" s="1">
        <f t="shared" si="113"/>
        <v>0</v>
      </c>
    </row>
    <row r="2430" spans="1:9" hidden="1" x14ac:dyDescent="0.2">
      <c r="A2430" s="6">
        <v>44002.708333333336</v>
      </c>
      <c r="B2430" s="1" t="s">
        <v>15</v>
      </c>
      <c r="C2430">
        <v>2</v>
      </c>
      <c r="D2430">
        <v>0</v>
      </c>
      <c r="E2430">
        <v>23</v>
      </c>
      <c r="F2430">
        <v>441</v>
      </c>
      <c r="G2430" s="3">
        <f t="shared" si="111"/>
        <v>0</v>
      </c>
      <c r="H2430" s="4">
        <f t="shared" si="112"/>
        <v>0</v>
      </c>
      <c r="I2430" s="1">
        <f t="shared" si="113"/>
        <v>0</v>
      </c>
    </row>
    <row r="2431" spans="1:9" hidden="1" x14ac:dyDescent="0.2">
      <c r="A2431" s="6">
        <v>44003.708333333336</v>
      </c>
      <c r="B2431" s="1" t="s">
        <v>15</v>
      </c>
      <c r="C2431">
        <v>2</v>
      </c>
      <c r="D2431">
        <v>0</v>
      </c>
      <c r="E2431">
        <v>23</v>
      </c>
      <c r="F2431">
        <v>441</v>
      </c>
      <c r="G2431" s="3">
        <f t="shared" si="111"/>
        <v>0</v>
      </c>
      <c r="H2431" s="4">
        <f t="shared" si="112"/>
        <v>0</v>
      </c>
      <c r="I2431" s="1">
        <f t="shared" si="113"/>
        <v>0</v>
      </c>
    </row>
    <row r="2432" spans="1:9" hidden="1" x14ac:dyDescent="0.2">
      <c r="A2432" s="6">
        <v>44004.708333333336</v>
      </c>
      <c r="B2432" s="1" t="s">
        <v>15</v>
      </c>
      <c r="C2432">
        <v>3</v>
      </c>
      <c r="D2432">
        <v>0</v>
      </c>
      <c r="E2432">
        <v>23</v>
      </c>
      <c r="F2432">
        <v>444</v>
      </c>
      <c r="G2432" s="3">
        <f t="shared" si="111"/>
        <v>3</v>
      </c>
      <c r="H2432" s="4">
        <f t="shared" si="112"/>
        <v>6.7567567567567988E-3</v>
      </c>
      <c r="I2432" s="1">
        <f t="shared" si="113"/>
        <v>0</v>
      </c>
    </row>
    <row r="2433" spans="1:9" hidden="1" x14ac:dyDescent="0.2">
      <c r="A2433" s="6">
        <v>44005.708333333336</v>
      </c>
      <c r="B2433" s="1" t="s">
        <v>15</v>
      </c>
      <c r="C2433">
        <v>3</v>
      </c>
      <c r="D2433">
        <v>0</v>
      </c>
      <c r="E2433">
        <v>23</v>
      </c>
      <c r="F2433">
        <v>444</v>
      </c>
      <c r="G2433" s="3">
        <f t="shared" si="111"/>
        <v>0</v>
      </c>
      <c r="H2433" s="4">
        <f t="shared" si="112"/>
        <v>0</v>
      </c>
      <c r="I2433" s="1">
        <f t="shared" si="113"/>
        <v>0</v>
      </c>
    </row>
    <row r="2434" spans="1:9" hidden="1" x14ac:dyDescent="0.2">
      <c r="A2434" s="6">
        <v>44006.708333333336</v>
      </c>
      <c r="B2434" s="1" t="s">
        <v>15</v>
      </c>
      <c r="C2434">
        <v>2</v>
      </c>
      <c r="D2434">
        <v>0</v>
      </c>
      <c r="E2434">
        <v>23</v>
      </c>
      <c r="F2434">
        <v>444</v>
      </c>
      <c r="G2434" s="3">
        <f t="shared" si="111"/>
        <v>0</v>
      </c>
      <c r="H2434" s="4">
        <f t="shared" si="112"/>
        <v>0</v>
      </c>
      <c r="I2434" s="1">
        <f t="shared" si="113"/>
        <v>0</v>
      </c>
    </row>
    <row r="2435" spans="1:9" hidden="1" x14ac:dyDescent="0.2">
      <c r="A2435" s="6">
        <v>44007.708333333336</v>
      </c>
      <c r="B2435" s="1" t="s">
        <v>15</v>
      </c>
      <c r="C2435">
        <v>2</v>
      </c>
      <c r="D2435">
        <v>0</v>
      </c>
      <c r="E2435">
        <v>23</v>
      </c>
      <c r="F2435">
        <v>444</v>
      </c>
      <c r="G2435" s="3">
        <f t="shared" ref="G2435:G2498" si="114">IF(AND(F2435&gt;0,AND(B2435=B2434,F2435&gt;0)),F2435-F2434,0)</f>
        <v>0</v>
      </c>
      <c r="H2435" s="4">
        <f t="shared" ref="H2435:H2498" si="115">IF(AND(F2434&gt;0,AND(B2435=B2434,F2434&gt;0)),1-(F2434/F2435),0)</f>
        <v>0</v>
      </c>
      <c r="I2435" s="1">
        <f t="shared" ref="I2435:I2498" si="116">IF(AND(E2435&gt;0,AND(B2435=B2434,E2435&gt;0)),E2435-E2434,0)</f>
        <v>0</v>
      </c>
    </row>
    <row r="2436" spans="1:9" hidden="1" x14ac:dyDescent="0.2">
      <c r="A2436" s="6">
        <v>44008.708333333336</v>
      </c>
      <c r="B2436" s="1" t="s">
        <v>15</v>
      </c>
      <c r="C2436">
        <v>1</v>
      </c>
      <c r="D2436">
        <v>0</v>
      </c>
      <c r="E2436">
        <v>23</v>
      </c>
      <c r="F2436">
        <v>445</v>
      </c>
      <c r="G2436" s="3">
        <f t="shared" si="114"/>
        <v>1</v>
      </c>
      <c r="H2436" s="4">
        <f t="shared" si="115"/>
        <v>2.2471910112359383E-3</v>
      </c>
      <c r="I2436" s="1">
        <f t="shared" si="116"/>
        <v>0</v>
      </c>
    </row>
    <row r="2437" spans="1:9" hidden="1" x14ac:dyDescent="0.2">
      <c r="A2437" s="6">
        <v>44009.708333333336</v>
      </c>
      <c r="B2437" s="1" t="s">
        <v>15</v>
      </c>
      <c r="C2437">
        <v>0</v>
      </c>
      <c r="D2437">
        <v>0</v>
      </c>
      <c r="E2437">
        <v>23</v>
      </c>
      <c r="F2437">
        <v>445</v>
      </c>
      <c r="G2437" s="3">
        <f t="shared" si="114"/>
        <v>0</v>
      </c>
      <c r="H2437" s="4">
        <f t="shared" si="115"/>
        <v>0</v>
      </c>
      <c r="I2437" s="1">
        <f t="shared" si="116"/>
        <v>0</v>
      </c>
    </row>
    <row r="2438" spans="1:9" hidden="1" x14ac:dyDescent="0.2">
      <c r="A2438" s="6">
        <v>44010.708333333336</v>
      </c>
      <c r="B2438" s="1" t="s">
        <v>15</v>
      </c>
      <c r="C2438">
        <v>0</v>
      </c>
      <c r="D2438">
        <v>0</v>
      </c>
      <c r="E2438">
        <v>23</v>
      </c>
      <c r="F2438">
        <v>445</v>
      </c>
      <c r="G2438" s="3">
        <f t="shared" si="114"/>
        <v>0</v>
      </c>
      <c r="H2438" s="4">
        <f t="shared" si="115"/>
        <v>0</v>
      </c>
      <c r="I2438" s="1">
        <f t="shared" si="116"/>
        <v>0</v>
      </c>
    </row>
    <row r="2439" spans="1:9" hidden="1" x14ac:dyDescent="0.2">
      <c r="A2439" s="6">
        <v>44011.708333333336</v>
      </c>
      <c r="B2439" s="1" t="s">
        <v>15</v>
      </c>
      <c r="C2439">
        <v>0</v>
      </c>
      <c r="D2439">
        <v>0</v>
      </c>
      <c r="E2439">
        <v>23</v>
      </c>
      <c r="F2439">
        <v>445</v>
      </c>
      <c r="G2439" s="3">
        <f t="shared" si="114"/>
        <v>0</v>
      </c>
      <c r="H2439" s="4">
        <f t="shared" si="115"/>
        <v>0</v>
      </c>
      <c r="I2439" s="1">
        <f t="shared" si="116"/>
        <v>0</v>
      </c>
    </row>
    <row r="2440" spans="1:9" hidden="1" x14ac:dyDescent="0.2">
      <c r="A2440" s="6">
        <v>44012.708333333336</v>
      </c>
      <c r="B2440" s="1" t="s">
        <v>15</v>
      </c>
      <c r="C2440">
        <v>0</v>
      </c>
      <c r="D2440">
        <v>0</v>
      </c>
      <c r="E2440">
        <v>23</v>
      </c>
      <c r="F2440">
        <v>445</v>
      </c>
      <c r="G2440" s="3">
        <f t="shared" si="114"/>
        <v>0</v>
      </c>
      <c r="H2440" s="4">
        <f t="shared" si="115"/>
        <v>0</v>
      </c>
      <c r="I2440" s="1">
        <f t="shared" si="116"/>
        <v>0</v>
      </c>
    </row>
    <row r="2441" spans="1:9" hidden="1" x14ac:dyDescent="0.2">
      <c r="A2441" s="6">
        <v>44013.708333333336</v>
      </c>
      <c r="B2441" s="1" t="s">
        <v>15</v>
      </c>
      <c r="C2441">
        <v>0</v>
      </c>
      <c r="D2441">
        <v>0</v>
      </c>
      <c r="E2441">
        <v>23</v>
      </c>
      <c r="F2441">
        <v>445</v>
      </c>
      <c r="G2441" s="3">
        <f t="shared" si="114"/>
        <v>0</v>
      </c>
      <c r="H2441" s="4">
        <f t="shared" si="115"/>
        <v>0</v>
      </c>
      <c r="I2441" s="1">
        <f t="shared" si="116"/>
        <v>0</v>
      </c>
    </row>
    <row r="2442" spans="1:9" hidden="1" x14ac:dyDescent="0.2">
      <c r="A2442" s="6">
        <v>44014.708333333336</v>
      </c>
      <c r="B2442" s="1" t="s">
        <v>15</v>
      </c>
      <c r="C2442">
        <v>0</v>
      </c>
      <c r="D2442">
        <v>0</v>
      </c>
      <c r="E2442">
        <v>23</v>
      </c>
      <c r="F2442">
        <v>445</v>
      </c>
      <c r="G2442" s="3">
        <f t="shared" si="114"/>
        <v>0</v>
      </c>
      <c r="H2442" s="4">
        <f t="shared" si="115"/>
        <v>0</v>
      </c>
      <c r="I2442" s="1">
        <f t="shared" si="116"/>
        <v>0</v>
      </c>
    </row>
    <row r="2443" spans="1:9" hidden="1" x14ac:dyDescent="0.2">
      <c r="A2443" s="6">
        <v>44015.708333333336</v>
      </c>
      <c r="B2443" s="1" t="s">
        <v>15</v>
      </c>
      <c r="C2443">
        <v>0</v>
      </c>
      <c r="D2443">
        <v>0</v>
      </c>
      <c r="E2443">
        <v>23</v>
      </c>
      <c r="F2443">
        <v>445</v>
      </c>
      <c r="G2443" s="3">
        <f t="shared" si="114"/>
        <v>0</v>
      </c>
      <c r="H2443" s="4">
        <f t="shared" si="115"/>
        <v>0</v>
      </c>
      <c r="I2443" s="1">
        <f t="shared" si="116"/>
        <v>0</v>
      </c>
    </row>
    <row r="2444" spans="1:9" hidden="1" x14ac:dyDescent="0.2">
      <c r="A2444" s="6">
        <v>44016.708333333336</v>
      </c>
      <c r="B2444" s="1" t="s">
        <v>15</v>
      </c>
      <c r="C2444">
        <v>0</v>
      </c>
      <c r="D2444">
        <v>0</v>
      </c>
      <c r="E2444">
        <v>23</v>
      </c>
      <c r="F2444">
        <v>445</v>
      </c>
      <c r="G2444" s="3">
        <f t="shared" si="114"/>
        <v>0</v>
      </c>
      <c r="H2444" s="4">
        <f t="shared" si="115"/>
        <v>0</v>
      </c>
      <c r="I2444" s="1">
        <f t="shared" si="116"/>
        <v>0</v>
      </c>
    </row>
    <row r="2445" spans="1:9" hidden="1" x14ac:dyDescent="0.2">
      <c r="A2445" s="6">
        <v>44017.708333333336</v>
      </c>
      <c r="B2445" s="1" t="s">
        <v>15</v>
      </c>
      <c r="C2445">
        <v>0</v>
      </c>
      <c r="D2445">
        <v>0</v>
      </c>
      <c r="E2445">
        <v>23</v>
      </c>
      <c r="F2445">
        <v>445</v>
      </c>
      <c r="G2445" s="3">
        <f t="shared" si="114"/>
        <v>0</v>
      </c>
      <c r="H2445" s="4">
        <f t="shared" si="115"/>
        <v>0</v>
      </c>
      <c r="I2445" s="1">
        <f t="shared" si="116"/>
        <v>0</v>
      </c>
    </row>
    <row r="2446" spans="1:9" hidden="1" x14ac:dyDescent="0.2">
      <c r="A2446" s="6">
        <v>44018.708333333336</v>
      </c>
      <c r="B2446" s="1" t="s">
        <v>15</v>
      </c>
      <c r="C2446">
        <v>0</v>
      </c>
      <c r="D2446">
        <v>0</v>
      </c>
      <c r="E2446">
        <v>23</v>
      </c>
      <c r="F2446">
        <v>445</v>
      </c>
      <c r="G2446" s="3">
        <f t="shared" si="114"/>
        <v>0</v>
      </c>
      <c r="H2446" s="4">
        <f t="shared" si="115"/>
        <v>0</v>
      </c>
      <c r="I2446" s="1">
        <f t="shared" si="116"/>
        <v>0</v>
      </c>
    </row>
    <row r="2447" spans="1:9" hidden="1" x14ac:dyDescent="0.2">
      <c r="A2447" s="6">
        <v>44019.708333333336</v>
      </c>
      <c r="B2447" s="1" t="s">
        <v>15</v>
      </c>
      <c r="C2447">
        <v>0</v>
      </c>
      <c r="D2447">
        <v>0</v>
      </c>
      <c r="E2447">
        <v>23</v>
      </c>
      <c r="F2447">
        <v>445</v>
      </c>
      <c r="G2447" s="3">
        <f t="shared" si="114"/>
        <v>0</v>
      </c>
      <c r="H2447" s="4">
        <f t="shared" si="115"/>
        <v>0</v>
      </c>
      <c r="I2447" s="1">
        <f t="shared" si="116"/>
        <v>0</v>
      </c>
    </row>
    <row r="2448" spans="1:9" hidden="1" x14ac:dyDescent="0.2">
      <c r="A2448" s="6">
        <v>44020.708333333336</v>
      </c>
      <c r="B2448" s="1" t="s">
        <v>15</v>
      </c>
      <c r="C2448">
        <v>0</v>
      </c>
      <c r="D2448">
        <v>0</v>
      </c>
      <c r="E2448">
        <v>23</v>
      </c>
      <c r="F2448">
        <v>445</v>
      </c>
      <c r="G2448" s="3">
        <f t="shared" si="114"/>
        <v>0</v>
      </c>
      <c r="H2448" s="4">
        <f t="shared" si="115"/>
        <v>0</v>
      </c>
      <c r="I2448" s="1">
        <f t="shared" si="116"/>
        <v>0</v>
      </c>
    </row>
    <row r="2449" spans="1:9" hidden="1" x14ac:dyDescent="0.2">
      <c r="A2449" s="6">
        <v>44021.708333333336</v>
      </c>
      <c r="B2449" s="1" t="s">
        <v>15</v>
      </c>
      <c r="C2449">
        <v>0</v>
      </c>
      <c r="D2449">
        <v>0</v>
      </c>
      <c r="E2449">
        <v>23</v>
      </c>
      <c r="F2449">
        <v>445</v>
      </c>
      <c r="G2449" s="3">
        <f t="shared" si="114"/>
        <v>0</v>
      </c>
      <c r="H2449" s="4">
        <f t="shared" si="115"/>
        <v>0</v>
      </c>
      <c r="I2449" s="1">
        <f t="shared" si="116"/>
        <v>0</v>
      </c>
    </row>
    <row r="2450" spans="1:9" hidden="1" x14ac:dyDescent="0.2">
      <c r="A2450" s="6">
        <v>44022.708333333336</v>
      </c>
      <c r="B2450" s="1" t="s">
        <v>15</v>
      </c>
      <c r="C2450">
        <v>0</v>
      </c>
      <c r="D2450">
        <v>0</v>
      </c>
      <c r="E2450">
        <v>23</v>
      </c>
      <c r="F2450">
        <v>445</v>
      </c>
      <c r="G2450" s="3">
        <f t="shared" si="114"/>
        <v>0</v>
      </c>
      <c r="H2450" s="4">
        <f t="shared" si="115"/>
        <v>0</v>
      </c>
      <c r="I2450" s="1">
        <f t="shared" si="116"/>
        <v>0</v>
      </c>
    </row>
    <row r="2451" spans="1:9" hidden="1" x14ac:dyDescent="0.2">
      <c r="A2451" s="6">
        <v>44023.708333333336</v>
      </c>
      <c r="B2451" s="1" t="s">
        <v>15</v>
      </c>
      <c r="C2451">
        <v>0</v>
      </c>
      <c r="D2451">
        <v>0</v>
      </c>
      <c r="E2451">
        <v>23</v>
      </c>
      <c r="F2451">
        <v>445</v>
      </c>
      <c r="G2451" s="3">
        <f t="shared" si="114"/>
        <v>0</v>
      </c>
      <c r="H2451" s="4">
        <f t="shared" si="115"/>
        <v>0</v>
      </c>
      <c r="I2451" s="1">
        <f t="shared" si="116"/>
        <v>0</v>
      </c>
    </row>
    <row r="2452" spans="1:9" hidden="1" x14ac:dyDescent="0.2">
      <c r="A2452" s="6">
        <v>44024.708333333336</v>
      </c>
      <c r="B2452" s="1" t="s">
        <v>15</v>
      </c>
      <c r="C2452">
        <v>1</v>
      </c>
      <c r="D2452">
        <v>0</v>
      </c>
      <c r="E2452">
        <v>23</v>
      </c>
      <c r="F2452">
        <v>446</v>
      </c>
      <c r="G2452" s="3">
        <f t="shared" si="114"/>
        <v>1</v>
      </c>
      <c r="H2452" s="4">
        <f t="shared" si="115"/>
        <v>2.2421524663677195E-3</v>
      </c>
      <c r="I2452" s="1">
        <f t="shared" si="116"/>
        <v>0</v>
      </c>
    </row>
    <row r="2453" spans="1:9" hidden="1" x14ac:dyDescent="0.2">
      <c r="A2453" s="6">
        <v>44025.708333333336</v>
      </c>
      <c r="B2453" s="1" t="s">
        <v>15</v>
      </c>
      <c r="C2453">
        <v>1</v>
      </c>
      <c r="D2453">
        <v>0</v>
      </c>
      <c r="E2453">
        <v>23</v>
      </c>
      <c r="F2453">
        <v>446</v>
      </c>
      <c r="G2453" s="3">
        <f t="shared" si="114"/>
        <v>0</v>
      </c>
      <c r="H2453" s="4">
        <f t="shared" si="115"/>
        <v>0</v>
      </c>
      <c r="I2453" s="1">
        <f t="shared" si="116"/>
        <v>0</v>
      </c>
    </row>
    <row r="2454" spans="1:9" hidden="1" x14ac:dyDescent="0.2">
      <c r="A2454" s="6">
        <v>44026.708333333336</v>
      </c>
      <c r="B2454" s="1" t="s">
        <v>15</v>
      </c>
      <c r="C2454">
        <v>1</v>
      </c>
      <c r="D2454">
        <v>0</v>
      </c>
      <c r="E2454">
        <v>23</v>
      </c>
      <c r="F2454">
        <v>446</v>
      </c>
      <c r="G2454" s="3">
        <f t="shared" si="114"/>
        <v>0</v>
      </c>
      <c r="H2454" s="4">
        <f t="shared" si="115"/>
        <v>0</v>
      </c>
      <c r="I2454" s="1">
        <f t="shared" si="116"/>
        <v>0</v>
      </c>
    </row>
    <row r="2455" spans="1:9" hidden="1" x14ac:dyDescent="0.2">
      <c r="A2455" s="6">
        <v>44027.708333333336</v>
      </c>
      <c r="B2455" s="1" t="s">
        <v>15</v>
      </c>
      <c r="C2455">
        <v>1</v>
      </c>
      <c r="D2455">
        <v>0</v>
      </c>
      <c r="E2455">
        <v>23</v>
      </c>
      <c r="F2455">
        <v>446</v>
      </c>
      <c r="G2455" s="3">
        <f t="shared" si="114"/>
        <v>0</v>
      </c>
      <c r="H2455" s="4">
        <f t="shared" si="115"/>
        <v>0</v>
      </c>
      <c r="I2455" s="1">
        <f t="shared" si="116"/>
        <v>0</v>
      </c>
    </row>
    <row r="2456" spans="1:9" hidden="1" x14ac:dyDescent="0.2">
      <c r="A2456" s="6">
        <v>44028.708333333336</v>
      </c>
      <c r="B2456" s="1" t="s">
        <v>15</v>
      </c>
      <c r="C2456">
        <v>1</v>
      </c>
      <c r="D2456">
        <v>0</v>
      </c>
      <c r="E2456">
        <v>23</v>
      </c>
      <c r="F2456">
        <v>446</v>
      </c>
      <c r="G2456" s="3">
        <f t="shared" si="114"/>
        <v>0</v>
      </c>
      <c r="H2456" s="4">
        <f t="shared" si="115"/>
        <v>0</v>
      </c>
      <c r="I2456" s="1">
        <f t="shared" si="116"/>
        <v>0</v>
      </c>
    </row>
    <row r="2457" spans="1:9" hidden="1" x14ac:dyDescent="0.2">
      <c r="A2457" s="6">
        <v>44029.708333333336</v>
      </c>
      <c r="B2457" s="1" t="s">
        <v>15</v>
      </c>
      <c r="C2457">
        <v>1</v>
      </c>
      <c r="D2457">
        <v>0</v>
      </c>
      <c r="E2457">
        <v>23</v>
      </c>
      <c r="F2457">
        <v>446</v>
      </c>
      <c r="G2457" s="3">
        <f t="shared" si="114"/>
        <v>0</v>
      </c>
      <c r="H2457" s="4">
        <f t="shared" si="115"/>
        <v>0</v>
      </c>
      <c r="I2457" s="1">
        <f t="shared" si="116"/>
        <v>0</v>
      </c>
    </row>
    <row r="2458" spans="1:9" hidden="1" x14ac:dyDescent="0.2">
      <c r="A2458" s="6">
        <v>44030.708333333336</v>
      </c>
      <c r="B2458" s="1" t="s">
        <v>15</v>
      </c>
      <c r="C2458">
        <v>1</v>
      </c>
      <c r="D2458">
        <v>0</v>
      </c>
      <c r="E2458">
        <v>23</v>
      </c>
      <c r="F2458">
        <v>446</v>
      </c>
      <c r="G2458" s="3">
        <f t="shared" si="114"/>
        <v>0</v>
      </c>
      <c r="H2458" s="4">
        <f t="shared" si="115"/>
        <v>0</v>
      </c>
      <c r="I2458" s="1">
        <f t="shared" si="116"/>
        <v>0</v>
      </c>
    </row>
    <row r="2459" spans="1:9" hidden="1" x14ac:dyDescent="0.2">
      <c r="A2459" s="6">
        <v>44031.708333333336</v>
      </c>
      <c r="B2459" s="1" t="s">
        <v>15</v>
      </c>
      <c r="C2459">
        <v>1</v>
      </c>
      <c r="D2459">
        <v>0</v>
      </c>
      <c r="E2459">
        <v>23</v>
      </c>
      <c r="F2459">
        <v>446</v>
      </c>
      <c r="G2459" s="3">
        <f t="shared" si="114"/>
        <v>0</v>
      </c>
      <c r="H2459" s="4">
        <f t="shared" si="115"/>
        <v>0</v>
      </c>
      <c r="I2459" s="1">
        <f t="shared" si="116"/>
        <v>0</v>
      </c>
    </row>
    <row r="2460" spans="1:9" hidden="1" x14ac:dyDescent="0.2">
      <c r="A2460" s="6">
        <v>44032.708333333336</v>
      </c>
      <c r="B2460" s="1" t="s">
        <v>15</v>
      </c>
      <c r="C2460">
        <v>1</v>
      </c>
      <c r="D2460">
        <v>0</v>
      </c>
      <c r="E2460">
        <v>23</v>
      </c>
      <c r="F2460">
        <v>446</v>
      </c>
      <c r="G2460" s="3">
        <f t="shared" si="114"/>
        <v>0</v>
      </c>
      <c r="H2460" s="4">
        <f t="shared" si="115"/>
        <v>0</v>
      </c>
      <c r="I2460" s="1">
        <f t="shared" si="116"/>
        <v>0</v>
      </c>
    </row>
    <row r="2461" spans="1:9" hidden="1" x14ac:dyDescent="0.2">
      <c r="A2461" s="6">
        <v>44033.708333333336</v>
      </c>
      <c r="B2461" s="1" t="s">
        <v>15</v>
      </c>
      <c r="C2461">
        <v>1</v>
      </c>
      <c r="D2461">
        <v>0</v>
      </c>
      <c r="E2461">
        <v>23</v>
      </c>
      <c r="F2461">
        <v>446</v>
      </c>
      <c r="G2461" s="3">
        <f t="shared" si="114"/>
        <v>0</v>
      </c>
      <c r="H2461" s="4">
        <f t="shared" si="115"/>
        <v>0</v>
      </c>
      <c r="I2461" s="1">
        <f t="shared" si="116"/>
        <v>0</v>
      </c>
    </row>
    <row r="2462" spans="1:9" hidden="1" x14ac:dyDescent="0.2">
      <c r="A2462" s="6">
        <v>44034.708333333336</v>
      </c>
      <c r="B2462" s="1" t="s">
        <v>15</v>
      </c>
      <c r="C2462">
        <v>1</v>
      </c>
      <c r="D2462">
        <v>0</v>
      </c>
      <c r="E2462">
        <v>23</v>
      </c>
      <c r="F2462">
        <v>450</v>
      </c>
      <c r="G2462" s="3">
        <f t="shared" si="114"/>
        <v>4</v>
      </c>
      <c r="H2462" s="4">
        <f t="shared" si="115"/>
        <v>8.8888888888888351E-3</v>
      </c>
      <c r="I2462" s="1">
        <f t="shared" si="116"/>
        <v>0</v>
      </c>
    </row>
    <row r="2463" spans="1:9" hidden="1" x14ac:dyDescent="0.2">
      <c r="A2463" s="6">
        <v>44035.708333333336</v>
      </c>
      <c r="B2463" s="1" t="s">
        <v>15</v>
      </c>
      <c r="C2463">
        <v>0</v>
      </c>
      <c r="D2463">
        <v>0</v>
      </c>
      <c r="E2463">
        <v>23</v>
      </c>
      <c r="F2463">
        <v>459</v>
      </c>
      <c r="G2463" s="3">
        <f t="shared" si="114"/>
        <v>9</v>
      </c>
      <c r="H2463" s="4">
        <f t="shared" si="115"/>
        <v>1.9607843137254943E-2</v>
      </c>
      <c r="I2463" s="1">
        <f t="shared" si="116"/>
        <v>0</v>
      </c>
    </row>
    <row r="2464" spans="1:9" hidden="1" x14ac:dyDescent="0.2">
      <c r="A2464" s="6">
        <v>44036.708333333336</v>
      </c>
      <c r="B2464" s="1" t="s">
        <v>15</v>
      </c>
      <c r="C2464">
        <v>0</v>
      </c>
      <c r="D2464">
        <v>0</v>
      </c>
      <c r="E2464">
        <v>23</v>
      </c>
      <c r="F2464">
        <v>460</v>
      </c>
      <c r="G2464" s="3">
        <f t="shared" si="114"/>
        <v>1</v>
      </c>
      <c r="H2464" s="4">
        <f t="shared" si="115"/>
        <v>2.1739130434782483E-3</v>
      </c>
      <c r="I2464" s="1">
        <f t="shared" si="116"/>
        <v>0</v>
      </c>
    </row>
    <row r="2465" spans="1:9" hidden="1" x14ac:dyDescent="0.2">
      <c r="A2465" s="6">
        <v>44037.708333333336</v>
      </c>
      <c r="B2465" s="1" t="s">
        <v>15</v>
      </c>
      <c r="C2465">
        <v>0</v>
      </c>
      <c r="D2465">
        <v>0</v>
      </c>
      <c r="E2465">
        <v>23</v>
      </c>
      <c r="F2465">
        <v>463</v>
      </c>
      <c r="G2465" s="3">
        <f t="shared" si="114"/>
        <v>3</v>
      </c>
      <c r="H2465" s="4">
        <f t="shared" si="115"/>
        <v>6.4794816414687206E-3</v>
      </c>
      <c r="I2465" s="1">
        <f t="shared" si="116"/>
        <v>0</v>
      </c>
    </row>
    <row r="2466" spans="1:9" hidden="1" x14ac:dyDescent="0.2">
      <c r="A2466" s="6">
        <v>44038.708333333336</v>
      </c>
      <c r="B2466" s="1" t="s">
        <v>15</v>
      </c>
      <c r="C2466">
        <v>1</v>
      </c>
      <c r="D2466">
        <v>0</v>
      </c>
      <c r="E2466">
        <v>23</v>
      </c>
      <c r="F2466">
        <v>466</v>
      </c>
      <c r="G2466" s="3">
        <f t="shared" si="114"/>
        <v>3</v>
      </c>
      <c r="H2466" s="4">
        <f t="shared" si="115"/>
        <v>6.4377682403433667E-3</v>
      </c>
      <c r="I2466" s="1">
        <f t="shared" si="116"/>
        <v>0</v>
      </c>
    </row>
    <row r="2467" spans="1:9" hidden="1" x14ac:dyDescent="0.2">
      <c r="A2467" s="6">
        <v>44039.708333333336</v>
      </c>
      <c r="B2467" s="1" t="s">
        <v>15</v>
      </c>
      <c r="C2467">
        <v>1</v>
      </c>
      <c r="D2467">
        <v>0</v>
      </c>
      <c r="E2467">
        <v>23</v>
      </c>
      <c r="F2467">
        <v>469</v>
      </c>
      <c r="G2467" s="3">
        <f t="shared" si="114"/>
        <v>3</v>
      </c>
      <c r="H2467" s="4">
        <f t="shared" si="115"/>
        <v>6.3965884861407751E-3</v>
      </c>
      <c r="I2467" s="1">
        <f t="shared" si="116"/>
        <v>0</v>
      </c>
    </row>
    <row r="2468" spans="1:9" hidden="1" x14ac:dyDescent="0.2">
      <c r="A2468" s="6">
        <v>44040.708333333336</v>
      </c>
      <c r="B2468" s="1" t="s">
        <v>15</v>
      </c>
      <c r="C2468">
        <v>1</v>
      </c>
      <c r="D2468">
        <v>0</v>
      </c>
      <c r="E2468">
        <v>23</v>
      </c>
      <c r="F2468">
        <v>469</v>
      </c>
      <c r="G2468" s="3">
        <f t="shared" si="114"/>
        <v>0</v>
      </c>
      <c r="H2468" s="4">
        <f t="shared" si="115"/>
        <v>0</v>
      </c>
      <c r="I2468" s="1">
        <f t="shared" si="116"/>
        <v>0</v>
      </c>
    </row>
    <row r="2469" spans="1:9" hidden="1" x14ac:dyDescent="0.2">
      <c r="A2469" s="6">
        <v>44041.708333333336</v>
      </c>
      <c r="B2469" s="1" t="s">
        <v>15</v>
      </c>
      <c r="C2469">
        <v>1</v>
      </c>
      <c r="D2469">
        <v>0</v>
      </c>
      <c r="E2469">
        <v>23</v>
      </c>
      <c r="F2469">
        <v>470</v>
      </c>
      <c r="G2469" s="3">
        <f t="shared" si="114"/>
        <v>1</v>
      </c>
      <c r="H2469" s="4">
        <f t="shared" si="115"/>
        <v>2.1276595744680327E-3</v>
      </c>
      <c r="I2469" s="1">
        <f t="shared" si="116"/>
        <v>0</v>
      </c>
    </row>
    <row r="2470" spans="1:9" hidden="1" x14ac:dyDescent="0.2">
      <c r="A2470" s="6">
        <v>44042.708333333336</v>
      </c>
      <c r="B2470" s="1" t="s">
        <v>15</v>
      </c>
      <c r="C2470">
        <v>1</v>
      </c>
      <c r="D2470">
        <v>0</v>
      </c>
      <c r="E2470">
        <v>23</v>
      </c>
      <c r="F2470">
        <v>470</v>
      </c>
      <c r="G2470" s="3">
        <f t="shared" si="114"/>
        <v>0</v>
      </c>
      <c r="H2470" s="4">
        <f t="shared" si="115"/>
        <v>0</v>
      </c>
      <c r="I2470" s="1">
        <f t="shared" si="116"/>
        <v>0</v>
      </c>
    </row>
    <row r="2471" spans="1:9" hidden="1" x14ac:dyDescent="0.2">
      <c r="A2471" s="6">
        <v>44043.708333333336</v>
      </c>
      <c r="B2471" s="1" t="s">
        <v>15</v>
      </c>
      <c r="C2471">
        <v>1</v>
      </c>
      <c r="D2471">
        <v>0</v>
      </c>
      <c r="E2471">
        <v>23</v>
      </c>
      <c r="F2471">
        <v>471</v>
      </c>
      <c r="G2471" s="3">
        <f t="shared" si="114"/>
        <v>1</v>
      </c>
      <c r="H2471" s="4">
        <f t="shared" si="115"/>
        <v>2.1231422505307851E-3</v>
      </c>
      <c r="I2471" s="1">
        <f t="shared" si="116"/>
        <v>0</v>
      </c>
    </row>
    <row r="2472" spans="1:9" hidden="1" x14ac:dyDescent="0.2">
      <c r="A2472" s="6">
        <v>44044.708333333336</v>
      </c>
      <c r="B2472" s="1" t="s">
        <v>15</v>
      </c>
      <c r="C2472">
        <v>1</v>
      </c>
      <c r="D2472">
        <v>0</v>
      </c>
      <c r="E2472">
        <v>23</v>
      </c>
      <c r="F2472">
        <v>473</v>
      </c>
      <c r="G2472" s="3">
        <f t="shared" si="114"/>
        <v>2</v>
      </c>
      <c r="H2472" s="4">
        <f t="shared" si="115"/>
        <v>4.2283298097252064E-3</v>
      </c>
      <c r="I2472" s="1">
        <f t="shared" si="116"/>
        <v>0</v>
      </c>
    </row>
    <row r="2473" spans="1:9" hidden="1" x14ac:dyDescent="0.2">
      <c r="A2473" s="6">
        <v>44045.708333333336</v>
      </c>
      <c r="B2473" s="1" t="s">
        <v>15</v>
      </c>
      <c r="C2473">
        <v>1</v>
      </c>
      <c r="D2473">
        <v>0</v>
      </c>
      <c r="E2473">
        <v>23</v>
      </c>
      <c r="F2473">
        <v>475</v>
      </c>
      <c r="G2473" s="3">
        <f t="shared" si="114"/>
        <v>2</v>
      </c>
      <c r="H2473" s="4">
        <f t="shared" si="115"/>
        <v>4.2105263157894424E-3</v>
      </c>
      <c r="I2473" s="1">
        <f t="shared" si="116"/>
        <v>0</v>
      </c>
    </row>
    <row r="2474" spans="1:9" hidden="1" x14ac:dyDescent="0.2">
      <c r="A2474" s="6">
        <v>44046.708333333336</v>
      </c>
      <c r="B2474" s="1" t="s">
        <v>15</v>
      </c>
      <c r="C2474">
        <v>1</v>
      </c>
      <c r="D2474">
        <v>0</v>
      </c>
      <c r="E2474">
        <v>23</v>
      </c>
      <c r="F2474">
        <v>477</v>
      </c>
      <c r="G2474" s="3">
        <f t="shared" si="114"/>
        <v>2</v>
      </c>
      <c r="H2474" s="4">
        <f t="shared" si="115"/>
        <v>4.1928721174003813E-3</v>
      </c>
      <c r="I2474" s="1">
        <f t="shared" si="116"/>
        <v>0</v>
      </c>
    </row>
    <row r="2475" spans="1:9" hidden="1" x14ac:dyDescent="0.2">
      <c r="A2475" s="6">
        <v>44047.708333333336</v>
      </c>
      <c r="B2475" s="1" t="s">
        <v>15</v>
      </c>
      <c r="C2475">
        <v>1</v>
      </c>
      <c r="D2475">
        <v>0</v>
      </c>
      <c r="E2475">
        <v>23</v>
      </c>
      <c r="F2475">
        <v>477</v>
      </c>
      <c r="G2475" s="3">
        <f t="shared" si="114"/>
        <v>0</v>
      </c>
      <c r="H2475" s="4">
        <f t="shared" si="115"/>
        <v>0</v>
      </c>
      <c r="I2475" s="1">
        <f t="shared" si="116"/>
        <v>0</v>
      </c>
    </row>
    <row r="2476" spans="1:9" hidden="1" x14ac:dyDescent="0.2">
      <c r="A2476" s="6">
        <v>44048.708333333336</v>
      </c>
      <c r="B2476" s="1" t="s">
        <v>15</v>
      </c>
      <c r="C2476">
        <v>1</v>
      </c>
      <c r="D2476">
        <v>0</v>
      </c>
      <c r="E2476">
        <v>23</v>
      </c>
      <c r="F2476">
        <v>478</v>
      </c>
      <c r="G2476" s="3">
        <f t="shared" si="114"/>
        <v>1</v>
      </c>
      <c r="H2476" s="4">
        <f t="shared" si="115"/>
        <v>2.0920502092049986E-3</v>
      </c>
      <c r="I2476" s="1">
        <f t="shared" si="116"/>
        <v>0</v>
      </c>
    </row>
    <row r="2477" spans="1:9" hidden="1" x14ac:dyDescent="0.2">
      <c r="A2477" s="6">
        <v>44049.708333333336</v>
      </c>
      <c r="B2477" s="1" t="s">
        <v>15</v>
      </c>
      <c r="C2477">
        <v>1</v>
      </c>
      <c r="D2477">
        <v>0</v>
      </c>
      <c r="E2477">
        <v>23</v>
      </c>
      <c r="F2477">
        <v>478</v>
      </c>
      <c r="G2477" s="3">
        <f t="shared" si="114"/>
        <v>0</v>
      </c>
      <c r="H2477" s="4">
        <f t="shared" si="115"/>
        <v>0</v>
      </c>
      <c r="I2477" s="1">
        <f t="shared" si="116"/>
        <v>0</v>
      </c>
    </row>
    <row r="2478" spans="1:9" hidden="1" x14ac:dyDescent="0.2">
      <c r="A2478" s="6">
        <v>44050.708333333336</v>
      </c>
      <c r="B2478" s="1" t="s">
        <v>15</v>
      </c>
      <c r="C2478">
        <v>1</v>
      </c>
      <c r="D2478">
        <v>0</v>
      </c>
      <c r="E2478">
        <v>23</v>
      </c>
      <c r="F2478">
        <v>479</v>
      </c>
      <c r="G2478" s="3">
        <f t="shared" si="114"/>
        <v>1</v>
      </c>
      <c r="H2478" s="4">
        <f t="shared" si="115"/>
        <v>2.0876826722338038E-3</v>
      </c>
      <c r="I2478" s="1">
        <f t="shared" si="116"/>
        <v>0</v>
      </c>
    </row>
    <row r="2479" spans="1:9" hidden="1" x14ac:dyDescent="0.2">
      <c r="A2479" s="6">
        <v>44051.708333333336</v>
      </c>
      <c r="B2479" s="1" t="s">
        <v>15</v>
      </c>
      <c r="C2479">
        <v>1</v>
      </c>
      <c r="D2479">
        <v>0</v>
      </c>
      <c r="E2479">
        <v>23</v>
      </c>
      <c r="F2479">
        <v>479</v>
      </c>
      <c r="G2479" s="3">
        <f t="shared" si="114"/>
        <v>0</v>
      </c>
      <c r="H2479" s="4">
        <f t="shared" si="115"/>
        <v>0</v>
      </c>
      <c r="I2479" s="1">
        <f t="shared" si="116"/>
        <v>0</v>
      </c>
    </row>
    <row r="2480" spans="1:9" hidden="1" x14ac:dyDescent="0.2">
      <c r="A2480" s="6">
        <v>44052.708333333336</v>
      </c>
      <c r="B2480" s="1" t="s">
        <v>15</v>
      </c>
      <c r="C2480">
        <v>1</v>
      </c>
      <c r="D2480">
        <v>0</v>
      </c>
      <c r="E2480">
        <v>23</v>
      </c>
      <c r="F2480">
        <v>479</v>
      </c>
      <c r="G2480" s="3">
        <f t="shared" si="114"/>
        <v>0</v>
      </c>
      <c r="H2480" s="4">
        <f t="shared" si="115"/>
        <v>0</v>
      </c>
      <c r="I2480" s="1">
        <f t="shared" si="116"/>
        <v>0</v>
      </c>
    </row>
    <row r="2481" spans="1:9" hidden="1" x14ac:dyDescent="0.2">
      <c r="A2481" s="6">
        <v>44053.708333333336</v>
      </c>
      <c r="B2481" s="1" t="s">
        <v>15</v>
      </c>
      <c r="C2481">
        <v>1</v>
      </c>
      <c r="D2481">
        <v>0</v>
      </c>
      <c r="E2481">
        <v>23</v>
      </c>
      <c r="F2481">
        <v>479</v>
      </c>
      <c r="G2481" s="3">
        <f t="shared" si="114"/>
        <v>0</v>
      </c>
      <c r="H2481" s="4">
        <f t="shared" si="115"/>
        <v>0</v>
      </c>
      <c r="I2481" s="1">
        <f t="shared" si="116"/>
        <v>0</v>
      </c>
    </row>
    <row r="2482" spans="1:9" hidden="1" x14ac:dyDescent="0.2">
      <c r="A2482" s="6">
        <v>44054.708333333336</v>
      </c>
      <c r="B2482" s="1" t="s">
        <v>15</v>
      </c>
      <c r="C2482">
        <v>1</v>
      </c>
      <c r="D2482">
        <v>0</v>
      </c>
      <c r="E2482">
        <v>23</v>
      </c>
      <c r="F2482">
        <v>479</v>
      </c>
      <c r="G2482" s="3">
        <f t="shared" si="114"/>
        <v>0</v>
      </c>
      <c r="H2482" s="4">
        <f t="shared" si="115"/>
        <v>0</v>
      </c>
      <c r="I2482" s="1">
        <f t="shared" si="116"/>
        <v>0</v>
      </c>
    </row>
    <row r="2483" spans="1:9" hidden="1" x14ac:dyDescent="0.2">
      <c r="A2483" s="6">
        <v>44055.708333333336</v>
      </c>
      <c r="B2483" s="1" t="s">
        <v>15</v>
      </c>
      <c r="C2483">
        <v>0</v>
      </c>
      <c r="D2483">
        <v>0</v>
      </c>
      <c r="E2483">
        <v>23</v>
      </c>
      <c r="F2483">
        <v>479</v>
      </c>
      <c r="G2483" s="3">
        <f t="shared" si="114"/>
        <v>0</v>
      </c>
      <c r="H2483" s="4">
        <f t="shared" si="115"/>
        <v>0</v>
      </c>
      <c r="I2483" s="1">
        <f t="shared" si="116"/>
        <v>0</v>
      </c>
    </row>
    <row r="2484" spans="1:9" hidden="1" x14ac:dyDescent="0.2">
      <c r="A2484" s="6">
        <v>44056.708333333336</v>
      </c>
      <c r="B2484" s="1" t="s">
        <v>15</v>
      </c>
      <c r="C2484">
        <v>0</v>
      </c>
      <c r="D2484">
        <v>0</v>
      </c>
      <c r="E2484">
        <v>23</v>
      </c>
      <c r="F2484">
        <v>485</v>
      </c>
      <c r="G2484" s="3">
        <f t="shared" si="114"/>
        <v>6</v>
      </c>
      <c r="H2484" s="4">
        <f t="shared" si="115"/>
        <v>1.2371134020618513E-2</v>
      </c>
      <c r="I2484" s="1">
        <f t="shared" si="116"/>
        <v>0</v>
      </c>
    </row>
    <row r="2485" spans="1:9" hidden="1" x14ac:dyDescent="0.2">
      <c r="A2485" s="6">
        <v>44057.708333333336</v>
      </c>
      <c r="B2485" s="1" t="s">
        <v>15</v>
      </c>
      <c r="C2485">
        <v>0</v>
      </c>
      <c r="D2485">
        <v>0</v>
      </c>
      <c r="E2485">
        <v>23</v>
      </c>
      <c r="F2485">
        <v>485</v>
      </c>
      <c r="G2485" s="3">
        <f t="shared" si="114"/>
        <v>0</v>
      </c>
      <c r="H2485" s="4">
        <f t="shared" si="115"/>
        <v>0</v>
      </c>
      <c r="I2485" s="1">
        <f t="shared" si="116"/>
        <v>0</v>
      </c>
    </row>
    <row r="2486" spans="1:9" hidden="1" x14ac:dyDescent="0.2">
      <c r="A2486" s="6">
        <v>44058.708333333336</v>
      </c>
      <c r="B2486" s="1" t="s">
        <v>15</v>
      </c>
      <c r="C2486">
        <v>0</v>
      </c>
      <c r="D2486">
        <v>0</v>
      </c>
      <c r="E2486">
        <v>23</v>
      </c>
      <c r="F2486">
        <v>487</v>
      </c>
      <c r="G2486" s="3">
        <f t="shared" si="114"/>
        <v>2</v>
      </c>
      <c r="H2486" s="4">
        <f t="shared" si="115"/>
        <v>4.1067761806981018E-3</v>
      </c>
      <c r="I2486" s="1">
        <f t="shared" si="116"/>
        <v>0</v>
      </c>
    </row>
    <row r="2487" spans="1:9" hidden="1" x14ac:dyDescent="0.2">
      <c r="A2487" s="6">
        <v>44059.708333333336</v>
      </c>
      <c r="B2487" s="1" t="s">
        <v>15</v>
      </c>
      <c r="C2487">
        <v>0</v>
      </c>
      <c r="D2487">
        <v>0</v>
      </c>
      <c r="E2487">
        <v>23</v>
      </c>
      <c r="F2487">
        <v>487</v>
      </c>
      <c r="G2487" s="3">
        <f t="shared" si="114"/>
        <v>0</v>
      </c>
      <c r="H2487" s="4">
        <f t="shared" si="115"/>
        <v>0</v>
      </c>
      <c r="I2487" s="1">
        <f t="shared" si="116"/>
        <v>0</v>
      </c>
    </row>
    <row r="2488" spans="1:9" hidden="1" x14ac:dyDescent="0.2">
      <c r="A2488" s="6">
        <v>44060.708333333336</v>
      </c>
      <c r="B2488" s="1" t="s">
        <v>15</v>
      </c>
      <c r="C2488">
        <v>0</v>
      </c>
      <c r="D2488">
        <v>0</v>
      </c>
      <c r="E2488">
        <v>23</v>
      </c>
      <c r="F2488">
        <v>487</v>
      </c>
      <c r="G2488" s="3">
        <f t="shared" si="114"/>
        <v>0</v>
      </c>
      <c r="H2488" s="4">
        <f t="shared" si="115"/>
        <v>0</v>
      </c>
      <c r="I2488" s="1">
        <f t="shared" si="116"/>
        <v>0</v>
      </c>
    </row>
    <row r="2489" spans="1:9" hidden="1" x14ac:dyDescent="0.2">
      <c r="A2489" s="6">
        <v>44061.708333333336</v>
      </c>
      <c r="B2489" s="1" t="s">
        <v>15</v>
      </c>
      <c r="C2489">
        <v>0</v>
      </c>
      <c r="D2489">
        <v>0</v>
      </c>
      <c r="E2489">
        <v>23</v>
      </c>
      <c r="F2489">
        <v>496</v>
      </c>
      <c r="G2489" s="3">
        <f t="shared" si="114"/>
        <v>9</v>
      </c>
      <c r="H2489" s="4">
        <f t="shared" si="115"/>
        <v>1.814516129032262E-2</v>
      </c>
      <c r="I2489" s="1">
        <f t="shared" si="116"/>
        <v>0</v>
      </c>
    </row>
    <row r="2490" spans="1:9" hidden="1" x14ac:dyDescent="0.2">
      <c r="A2490" s="6">
        <v>44062.708333333336</v>
      </c>
      <c r="B2490" s="1" t="s">
        <v>15</v>
      </c>
      <c r="C2490">
        <v>0</v>
      </c>
      <c r="D2490">
        <v>0</v>
      </c>
      <c r="E2490">
        <v>23</v>
      </c>
      <c r="F2490">
        <v>503</v>
      </c>
      <c r="G2490" s="3">
        <f t="shared" si="114"/>
        <v>7</v>
      </c>
      <c r="H2490" s="4">
        <f t="shared" si="115"/>
        <v>1.3916500994035741E-2</v>
      </c>
      <c r="I2490" s="1">
        <f t="shared" si="116"/>
        <v>0</v>
      </c>
    </row>
    <row r="2491" spans="1:9" hidden="1" x14ac:dyDescent="0.2">
      <c r="A2491" s="6">
        <v>44063.708333333336</v>
      </c>
      <c r="B2491" s="1" t="s">
        <v>15</v>
      </c>
      <c r="C2491">
        <v>1</v>
      </c>
      <c r="D2491">
        <v>0</v>
      </c>
      <c r="E2491">
        <v>23</v>
      </c>
      <c r="F2491">
        <v>507</v>
      </c>
      <c r="G2491" s="3">
        <f t="shared" si="114"/>
        <v>4</v>
      </c>
      <c r="H2491" s="4">
        <f t="shared" si="115"/>
        <v>7.8895463510848529E-3</v>
      </c>
      <c r="I2491" s="1">
        <f t="shared" si="116"/>
        <v>0</v>
      </c>
    </row>
    <row r="2492" spans="1:9" hidden="1" x14ac:dyDescent="0.2">
      <c r="A2492" s="6">
        <v>44064.708333333336</v>
      </c>
      <c r="B2492" s="1" t="s">
        <v>15</v>
      </c>
      <c r="C2492">
        <v>1</v>
      </c>
      <c r="D2492">
        <v>0</v>
      </c>
      <c r="E2492">
        <v>23</v>
      </c>
      <c r="F2492">
        <v>509</v>
      </c>
      <c r="G2492" s="3">
        <f t="shared" si="114"/>
        <v>2</v>
      </c>
      <c r="H2492" s="4">
        <f t="shared" si="115"/>
        <v>3.9292730844793233E-3</v>
      </c>
      <c r="I2492" s="1">
        <f t="shared" si="116"/>
        <v>0</v>
      </c>
    </row>
    <row r="2493" spans="1:9" hidden="1" x14ac:dyDescent="0.2">
      <c r="A2493" s="6">
        <v>44065.708333333336</v>
      </c>
      <c r="B2493" s="1" t="s">
        <v>15</v>
      </c>
      <c r="C2493">
        <v>1</v>
      </c>
      <c r="D2493">
        <v>0</v>
      </c>
      <c r="E2493">
        <v>23</v>
      </c>
      <c r="F2493">
        <v>510</v>
      </c>
      <c r="G2493" s="3">
        <f t="shared" si="114"/>
        <v>1</v>
      </c>
      <c r="H2493" s="4">
        <f t="shared" si="115"/>
        <v>1.9607843137254832E-3</v>
      </c>
      <c r="I2493" s="1">
        <f t="shared" si="116"/>
        <v>0</v>
      </c>
    </row>
    <row r="2494" spans="1:9" hidden="1" x14ac:dyDescent="0.2">
      <c r="A2494" s="6">
        <v>44066.708333333336</v>
      </c>
      <c r="B2494" s="1" t="s">
        <v>15</v>
      </c>
      <c r="C2494">
        <v>1</v>
      </c>
      <c r="D2494">
        <v>0</v>
      </c>
      <c r="E2494">
        <v>23</v>
      </c>
      <c r="F2494">
        <v>511</v>
      </c>
      <c r="G2494" s="3">
        <f t="shared" si="114"/>
        <v>1</v>
      </c>
      <c r="H2494" s="4">
        <f t="shared" si="115"/>
        <v>1.9569471624266699E-3</v>
      </c>
      <c r="I2494" s="1">
        <f t="shared" si="116"/>
        <v>0</v>
      </c>
    </row>
    <row r="2495" spans="1:9" hidden="1" x14ac:dyDescent="0.2">
      <c r="A2495" s="6">
        <v>44067.708333333336</v>
      </c>
      <c r="B2495" s="1" t="s">
        <v>15</v>
      </c>
      <c r="C2495">
        <v>2</v>
      </c>
      <c r="D2495">
        <v>0</v>
      </c>
      <c r="E2495">
        <v>23</v>
      </c>
      <c r="F2495">
        <v>511</v>
      </c>
      <c r="G2495" s="3">
        <f t="shared" si="114"/>
        <v>0</v>
      </c>
      <c r="H2495" s="4">
        <f t="shared" si="115"/>
        <v>0</v>
      </c>
      <c r="I2495" s="1">
        <f t="shared" si="116"/>
        <v>0</v>
      </c>
    </row>
    <row r="2496" spans="1:9" hidden="1" x14ac:dyDescent="0.2">
      <c r="A2496" s="6">
        <v>44068.708333333336</v>
      </c>
      <c r="B2496" s="1" t="s">
        <v>15</v>
      </c>
      <c r="C2496">
        <v>2</v>
      </c>
      <c r="D2496">
        <v>0</v>
      </c>
      <c r="E2496">
        <v>23</v>
      </c>
      <c r="F2496">
        <v>511</v>
      </c>
      <c r="G2496" s="3">
        <f t="shared" si="114"/>
        <v>0</v>
      </c>
      <c r="H2496" s="4">
        <f t="shared" si="115"/>
        <v>0</v>
      </c>
      <c r="I2496" s="1">
        <f t="shared" si="116"/>
        <v>0</v>
      </c>
    </row>
    <row r="2497" spans="1:9" hidden="1" x14ac:dyDescent="0.2">
      <c r="A2497" s="6">
        <v>44069.708333333336</v>
      </c>
      <c r="B2497" s="1" t="s">
        <v>15</v>
      </c>
      <c r="C2497">
        <v>3</v>
      </c>
      <c r="D2497">
        <v>0</v>
      </c>
      <c r="E2497">
        <v>23</v>
      </c>
      <c r="F2497">
        <v>520</v>
      </c>
      <c r="G2497" s="3">
        <f t="shared" si="114"/>
        <v>9</v>
      </c>
      <c r="H2497" s="4">
        <f t="shared" si="115"/>
        <v>1.7307692307692357E-2</v>
      </c>
      <c r="I2497" s="1">
        <f t="shared" si="116"/>
        <v>0</v>
      </c>
    </row>
    <row r="2498" spans="1:9" hidden="1" x14ac:dyDescent="0.2">
      <c r="A2498" s="6">
        <v>44070.708333333336</v>
      </c>
      <c r="B2498" s="1" t="s">
        <v>15</v>
      </c>
      <c r="C2498">
        <v>3</v>
      </c>
      <c r="D2498">
        <v>0</v>
      </c>
      <c r="E2498">
        <v>23</v>
      </c>
      <c r="F2498">
        <v>521</v>
      </c>
      <c r="G2498" s="3">
        <f t="shared" si="114"/>
        <v>1</v>
      </c>
      <c r="H2498" s="4">
        <f t="shared" si="115"/>
        <v>1.9193857965451588E-3</v>
      </c>
      <c r="I2498" s="1">
        <f t="shared" si="116"/>
        <v>0</v>
      </c>
    </row>
    <row r="2499" spans="1:9" hidden="1" x14ac:dyDescent="0.2">
      <c r="A2499" s="6">
        <v>44071.708333333336</v>
      </c>
      <c r="B2499" s="1" t="s">
        <v>15</v>
      </c>
      <c r="C2499">
        <v>3</v>
      </c>
      <c r="D2499">
        <v>0</v>
      </c>
      <c r="E2499">
        <v>23</v>
      </c>
      <c r="F2499">
        <v>522</v>
      </c>
      <c r="G2499" s="3">
        <f t="shared" ref="G2499:G2562" si="117">IF(AND(F2499&gt;0,AND(B2499=B2498,F2499&gt;0)),F2499-F2498,0)</f>
        <v>1</v>
      </c>
      <c r="H2499" s="4">
        <f t="shared" ref="H2499:H2562" si="118">IF(AND(F2498&gt;0,AND(B2499=B2498,F2498&gt;0)),1-(F2498/F2499),0)</f>
        <v>1.9157088122605526E-3</v>
      </c>
      <c r="I2499" s="1">
        <f t="shared" ref="I2499:I2562" si="119">IF(AND(E2499&gt;0,AND(B2499=B2498,E2499&gt;0)),E2499-E2498,0)</f>
        <v>0</v>
      </c>
    </row>
    <row r="2500" spans="1:9" hidden="1" x14ac:dyDescent="0.2">
      <c r="A2500" s="6">
        <v>44072.708333333336</v>
      </c>
      <c r="B2500" s="1" t="s">
        <v>15</v>
      </c>
      <c r="C2500">
        <v>3</v>
      </c>
      <c r="D2500">
        <v>0</v>
      </c>
      <c r="E2500">
        <v>23</v>
      </c>
      <c r="F2500">
        <v>524</v>
      </c>
      <c r="G2500" s="3">
        <f t="shared" si="117"/>
        <v>2</v>
      </c>
      <c r="H2500" s="4">
        <f t="shared" si="118"/>
        <v>3.8167938931297218E-3</v>
      </c>
      <c r="I2500" s="1">
        <f t="shared" si="119"/>
        <v>0</v>
      </c>
    </row>
    <row r="2501" spans="1:9" hidden="1" x14ac:dyDescent="0.2">
      <c r="A2501" s="6">
        <v>44073.708333333336</v>
      </c>
      <c r="B2501" s="1" t="s">
        <v>15</v>
      </c>
      <c r="C2501">
        <v>3</v>
      </c>
      <c r="D2501">
        <v>0</v>
      </c>
      <c r="E2501">
        <v>23</v>
      </c>
      <c r="F2501">
        <v>525</v>
      </c>
      <c r="G2501" s="3">
        <f t="shared" si="117"/>
        <v>1</v>
      </c>
      <c r="H2501" s="4">
        <f t="shared" si="118"/>
        <v>1.9047619047618536E-3</v>
      </c>
      <c r="I2501" s="1">
        <f t="shared" si="119"/>
        <v>0</v>
      </c>
    </row>
    <row r="2502" spans="1:9" hidden="1" x14ac:dyDescent="0.2">
      <c r="A2502" s="6">
        <v>44074.708333333336</v>
      </c>
      <c r="B2502" s="1" t="s">
        <v>15</v>
      </c>
      <c r="C2502">
        <v>3</v>
      </c>
      <c r="D2502">
        <v>0</v>
      </c>
      <c r="E2502">
        <v>23</v>
      </c>
      <c r="F2502">
        <v>525</v>
      </c>
      <c r="G2502" s="3">
        <f t="shared" si="117"/>
        <v>0</v>
      </c>
      <c r="H2502" s="4">
        <f t="shared" si="118"/>
        <v>0</v>
      </c>
      <c r="I2502" s="1">
        <f t="shared" si="119"/>
        <v>0</v>
      </c>
    </row>
    <row r="2503" spans="1:9" hidden="1" x14ac:dyDescent="0.2">
      <c r="A2503" s="6">
        <v>44075.708333333336</v>
      </c>
      <c r="B2503" s="1" t="s">
        <v>15</v>
      </c>
      <c r="C2503">
        <v>3</v>
      </c>
      <c r="D2503">
        <v>0</v>
      </c>
      <c r="E2503">
        <v>23</v>
      </c>
      <c r="F2503">
        <v>528</v>
      </c>
      <c r="G2503" s="3">
        <f t="shared" si="117"/>
        <v>3</v>
      </c>
      <c r="H2503" s="4">
        <f t="shared" si="118"/>
        <v>5.6818181818182323E-3</v>
      </c>
      <c r="I2503" s="1">
        <f t="shared" si="119"/>
        <v>0</v>
      </c>
    </row>
    <row r="2504" spans="1:9" hidden="1" x14ac:dyDescent="0.2">
      <c r="A2504" s="6">
        <v>44076.708333333336</v>
      </c>
      <c r="B2504" s="1" t="s">
        <v>15</v>
      </c>
      <c r="C2504">
        <v>3</v>
      </c>
      <c r="D2504">
        <v>0</v>
      </c>
      <c r="E2504">
        <v>23</v>
      </c>
      <c r="F2504">
        <v>528</v>
      </c>
      <c r="G2504" s="3">
        <f t="shared" si="117"/>
        <v>0</v>
      </c>
      <c r="H2504" s="4">
        <f t="shared" si="118"/>
        <v>0</v>
      </c>
      <c r="I2504" s="1">
        <f t="shared" si="119"/>
        <v>0</v>
      </c>
    </row>
    <row r="2505" spans="1:9" hidden="1" x14ac:dyDescent="0.2">
      <c r="A2505" s="6">
        <v>44077.708333333336</v>
      </c>
      <c r="B2505" s="1" t="s">
        <v>15</v>
      </c>
      <c r="C2505">
        <v>3</v>
      </c>
      <c r="D2505">
        <v>0</v>
      </c>
      <c r="E2505">
        <v>23</v>
      </c>
      <c r="F2505">
        <v>530</v>
      </c>
      <c r="G2505" s="3">
        <f t="shared" si="117"/>
        <v>2</v>
      </c>
      <c r="H2505" s="4">
        <f t="shared" si="118"/>
        <v>3.7735849056603765E-3</v>
      </c>
      <c r="I2505" s="1">
        <f t="shared" si="119"/>
        <v>0</v>
      </c>
    </row>
    <row r="2506" spans="1:9" hidden="1" x14ac:dyDescent="0.2">
      <c r="A2506" s="6">
        <v>44078.708333333336</v>
      </c>
      <c r="B2506" s="1" t="s">
        <v>15</v>
      </c>
      <c r="C2506">
        <v>3</v>
      </c>
      <c r="D2506">
        <v>0</v>
      </c>
      <c r="E2506">
        <v>23</v>
      </c>
      <c r="F2506">
        <v>534</v>
      </c>
      <c r="G2506" s="3">
        <f t="shared" si="117"/>
        <v>4</v>
      </c>
      <c r="H2506" s="4">
        <f t="shared" si="118"/>
        <v>7.4906367041198685E-3</v>
      </c>
      <c r="I2506" s="1">
        <f t="shared" si="119"/>
        <v>0</v>
      </c>
    </row>
    <row r="2507" spans="1:9" hidden="1" x14ac:dyDescent="0.2">
      <c r="A2507" s="6">
        <v>44079.708333333336</v>
      </c>
      <c r="B2507" s="1" t="s">
        <v>15</v>
      </c>
      <c r="C2507">
        <v>3</v>
      </c>
      <c r="D2507">
        <v>0</v>
      </c>
      <c r="E2507">
        <v>23</v>
      </c>
      <c r="F2507">
        <v>534</v>
      </c>
      <c r="G2507" s="3">
        <f t="shared" si="117"/>
        <v>0</v>
      </c>
      <c r="H2507" s="4">
        <f t="shared" si="118"/>
        <v>0</v>
      </c>
      <c r="I2507" s="1">
        <f t="shared" si="119"/>
        <v>0</v>
      </c>
    </row>
    <row r="2508" spans="1:9" hidden="1" x14ac:dyDescent="0.2">
      <c r="A2508" s="6">
        <v>44080.708333333336</v>
      </c>
      <c r="B2508" s="1" t="s">
        <v>15</v>
      </c>
      <c r="C2508">
        <v>3</v>
      </c>
      <c r="D2508">
        <v>0</v>
      </c>
      <c r="E2508">
        <v>23</v>
      </c>
      <c r="F2508">
        <v>536</v>
      </c>
      <c r="G2508" s="3">
        <f t="shared" si="117"/>
        <v>2</v>
      </c>
      <c r="H2508" s="4">
        <f t="shared" si="118"/>
        <v>3.7313432835820448E-3</v>
      </c>
      <c r="I2508" s="1">
        <f t="shared" si="119"/>
        <v>0</v>
      </c>
    </row>
    <row r="2509" spans="1:9" hidden="1" x14ac:dyDescent="0.2">
      <c r="A2509" s="6">
        <v>44081.708333333336</v>
      </c>
      <c r="B2509" s="1" t="s">
        <v>15</v>
      </c>
      <c r="C2509">
        <v>3</v>
      </c>
      <c r="D2509">
        <v>0</v>
      </c>
      <c r="E2509">
        <v>23</v>
      </c>
      <c r="F2509">
        <v>545</v>
      </c>
      <c r="G2509" s="3">
        <f t="shared" si="117"/>
        <v>9</v>
      </c>
      <c r="H2509" s="4">
        <f t="shared" si="118"/>
        <v>1.6513761467889854E-2</v>
      </c>
      <c r="I2509" s="1">
        <f t="shared" si="119"/>
        <v>0</v>
      </c>
    </row>
    <row r="2510" spans="1:9" hidden="1" x14ac:dyDescent="0.2">
      <c r="A2510" s="6">
        <v>44082.708333333336</v>
      </c>
      <c r="B2510" s="1" t="s">
        <v>15</v>
      </c>
      <c r="C2510">
        <v>5</v>
      </c>
      <c r="D2510">
        <v>0</v>
      </c>
      <c r="E2510">
        <v>23</v>
      </c>
      <c r="F2510">
        <v>548</v>
      </c>
      <c r="G2510" s="3">
        <f t="shared" si="117"/>
        <v>3</v>
      </c>
      <c r="H2510" s="4">
        <f t="shared" si="118"/>
        <v>5.4744525547445466E-3</v>
      </c>
      <c r="I2510" s="1">
        <f t="shared" si="119"/>
        <v>0</v>
      </c>
    </row>
    <row r="2511" spans="1:9" hidden="1" x14ac:dyDescent="0.2">
      <c r="A2511" s="6">
        <v>44083.708333333336</v>
      </c>
      <c r="B2511" s="1" t="s">
        <v>15</v>
      </c>
      <c r="C2511">
        <v>4</v>
      </c>
      <c r="D2511">
        <v>0</v>
      </c>
      <c r="E2511">
        <v>23</v>
      </c>
      <c r="F2511">
        <v>552</v>
      </c>
      <c r="G2511" s="3">
        <f t="shared" si="117"/>
        <v>4</v>
      </c>
      <c r="H2511" s="4">
        <f t="shared" si="118"/>
        <v>7.2463768115942351E-3</v>
      </c>
      <c r="I2511" s="1">
        <f t="shared" si="119"/>
        <v>0</v>
      </c>
    </row>
    <row r="2512" spans="1:9" hidden="1" x14ac:dyDescent="0.2">
      <c r="A2512" s="6">
        <v>44084.708333333336</v>
      </c>
      <c r="B2512" s="1" t="s">
        <v>15</v>
      </c>
      <c r="C2512">
        <v>4</v>
      </c>
      <c r="D2512">
        <v>0</v>
      </c>
      <c r="E2512">
        <v>23</v>
      </c>
      <c r="F2512">
        <v>555</v>
      </c>
      <c r="G2512" s="3">
        <f t="shared" si="117"/>
        <v>3</v>
      </c>
      <c r="H2512" s="4">
        <f t="shared" si="118"/>
        <v>5.4054054054053502E-3</v>
      </c>
      <c r="I2512" s="1">
        <f t="shared" si="119"/>
        <v>0</v>
      </c>
    </row>
    <row r="2513" spans="1:9" hidden="1" x14ac:dyDescent="0.2">
      <c r="A2513" s="6">
        <v>44085.708333333336</v>
      </c>
      <c r="B2513" s="1" t="s">
        <v>15</v>
      </c>
      <c r="C2513">
        <v>4</v>
      </c>
      <c r="D2513">
        <v>0</v>
      </c>
      <c r="E2513">
        <v>23</v>
      </c>
      <c r="F2513">
        <v>559</v>
      </c>
      <c r="G2513" s="3">
        <f t="shared" si="117"/>
        <v>4</v>
      </c>
      <c r="H2513" s="4">
        <f t="shared" si="118"/>
        <v>7.1556350626118537E-3</v>
      </c>
      <c r="I2513" s="1">
        <f t="shared" si="119"/>
        <v>0</v>
      </c>
    </row>
    <row r="2514" spans="1:9" hidden="1" x14ac:dyDescent="0.2">
      <c r="A2514" s="6">
        <v>44086.708333333336</v>
      </c>
      <c r="B2514" s="1" t="s">
        <v>15</v>
      </c>
      <c r="C2514">
        <v>3</v>
      </c>
      <c r="D2514">
        <v>0</v>
      </c>
      <c r="E2514">
        <v>23</v>
      </c>
      <c r="F2514">
        <v>562</v>
      </c>
      <c r="G2514" s="3">
        <f t="shared" si="117"/>
        <v>3</v>
      </c>
      <c r="H2514" s="4">
        <f t="shared" si="118"/>
        <v>5.3380782918149849E-3</v>
      </c>
      <c r="I2514" s="1">
        <f t="shared" si="119"/>
        <v>0</v>
      </c>
    </row>
    <row r="2515" spans="1:9" hidden="1" x14ac:dyDescent="0.2">
      <c r="A2515" s="6">
        <v>44087.708333333336</v>
      </c>
      <c r="B2515" s="1" t="s">
        <v>15</v>
      </c>
      <c r="C2515">
        <v>3</v>
      </c>
      <c r="D2515">
        <v>1</v>
      </c>
      <c r="E2515">
        <v>23</v>
      </c>
      <c r="F2515">
        <v>565</v>
      </c>
      <c r="G2515" s="3">
        <f t="shared" si="117"/>
        <v>3</v>
      </c>
      <c r="H2515" s="4">
        <f t="shared" si="118"/>
        <v>5.3097345132743223E-3</v>
      </c>
      <c r="I2515" s="1">
        <f t="shared" si="119"/>
        <v>0</v>
      </c>
    </row>
    <row r="2516" spans="1:9" hidden="1" x14ac:dyDescent="0.2">
      <c r="A2516" s="6">
        <v>44088.708333333336</v>
      </c>
      <c r="B2516" s="1" t="s">
        <v>15</v>
      </c>
      <c r="C2516">
        <v>4</v>
      </c>
      <c r="D2516">
        <v>1</v>
      </c>
      <c r="E2516">
        <v>23</v>
      </c>
      <c r="F2516">
        <v>569</v>
      </c>
      <c r="G2516" s="3">
        <f t="shared" si="117"/>
        <v>4</v>
      </c>
      <c r="H2516" s="4">
        <f t="shared" si="118"/>
        <v>7.0298769771528491E-3</v>
      </c>
      <c r="I2516" s="1">
        <f t="shared" si="119"/>
        <v>0</v>
      </c>
    </row>
    <row r="2517" spans="1:9" hidden="1" x14ac:dyDescent="0.2">
      <c r="A2517" s="6">
        <v>44089.708333333336</v>
      </c>
      <c r="B2517" s="1" t="s">
        <v>15</v>
      </c>
      <c r="C2517">
        <v>5</v>
      </c>
      <c r="D2517">
        <v>1</v>
      </c>
      <c r="E2517">
        <v>23</v>
      </c>
      <c r="F2517">
        <v>570</v>
      </c>
      <c r="G2517" s="3">
        <f t="shared" si="117"/>
        <v>1</v>
      </c>
      <c r="H2517" s="4">
        <f t="shared" si="118"/>
        <v>1.7543859649122862E-3</v>
      </c>
      <c r="I2517" s="1">
        <f t="shared" si="119"/>
        <v>0</v>
      </c>
    </row>
    <row r="2518" spans="1:9" hidden="1" x14ac:dyDescent="0.2">
      <c r="A2518" s="6">
        <v>44090.708333333336</v>
      </c>
      <c r="B2518" s="1" t="s">
        <v>15</v>
      </c>
      <c r="C2518">
        <v>3</v>
      </c>
      <c r="D2518">
        <v>1</v>
      </c>
      <c r="E2518">
        <v>23</v>
      </c>
      <c r="F2518">
        <v>576</v>
      </c>
      <c r="G2518" s="3">
        <f t="shared" si="117"/>
        <v>6</v>
      </c>
      <c r="H2518" s="4">
        <f t="shared" si="118"/>
        <v>1.041666666666663E-2</v>
      </c>
      <c r="I2518" s="1">
        <f t="shared" si="119"/>
        <v>0</v>
      </c>
    </row>
    <row r="2519" spans="1:9" hidden="1" x14ac:dyDescent="0.2">
      <c r="A2519" s="6">
        <v>44091.708333333336</v>
      </c>
      <c r="B2519" s="1" t="s">
        <v>15</v>
      </c>
      <c r="C2519">
        <v>3</v>
      </c>
      <c r="D2519">
        <v>1</v>
      </c>
      <c r="E2519">
        <v>23</v>
      </c>
      <c r="F2519">
        <v>578</v>
      </c>
      <c r="G2519" s="3">
        <f t="shared" si="117"/>
        <v>2</v>
      </c>
      <c r="H2519" s="4">
        <f t="shared" si="118"/>
        <v>3.4602076124568004E-3</v>
      </c>
      <c r="I2519" s="1">
        <f t="shared" si="119"/>
        <v>0</v>
      </c>
    </row>
    <row r="2520" spans="1:9" hidden="1" x14ac:dyDescent="0.2">
      <c r="A2520" s="6">
        <v>44092.708333333336</v>
      </c>
      <c r="B2520" s="1" t="s">
        <v>15</v>
      </c>
      <c r="C2520">
        <v>3</v>
      </c>
      <c r="D2520">
        <v>1</v>
      </c>
      <c r="E2520">
        <v>23</v>
      </c>
      <c r="F2520">
        <v>581</v>
      </c>
      <c r="G2520" s="3">
        <f t="shared" si="117"/>
        <v>3</v>
      </c>
      <c r="H2520" s="4">
        <f t="shared" si="118"/>
        <v>5.1635111876076056E-3</v>
      </c>
      <c r="I2520" s="1">
        <f t="shared" si="119"/>
        <v>0</v>
      </c>
    </row>
    <row r="2521" spans="1:9" hidden="1" x14ac:dyDescent="0.2">
      <c r="A2521" s="6">
        <v>44093.708333333336</v>
      </c>
      <c r="B2521" s="1" t="s">
        <v>15</v>
      </c>
      <c r="C2521">
        <v>5</v>
      </c>
      <c r="D2521">
        <v>1</v>
      </c>
      <c r="E2521">
        <v>23</v>
      </c>
      <c r="F2521">
        <v>586</v>
      </c>
      <c r="G2521" s="3">
        <f t="shared" si="117"/>
        <v>5</v>
      </c>
      <c r="H2521" s="4">
        <f t="shared" si="118"/>
        <v>8.5324232081911422E-3</v>
      </c>
      <c r="I2521" s="1">
        <f t="shared" si="119"/>
        <v>0</v>
      </c>
    </row>
    <row r="2522" spans="1:9" hidden="1" x14ac:dyDescent="0.2">
      <c r="A2522" s="6">
        <v>44094.708333333336</v>
      </c>
      <c r="B2522" s="1" t="s">
        <v>15</v>
      </c>
      <c r="C2522">
        <v>4</v>
      </c>
      <c r="D2522">
        <v>1</v>
      </c>
      <c r="E2522">
        <v>23</v>
      </c>
      <c r="F2522">
        <v>587</v>
      </c>
      <c r="G2522" s="3">
        <f t="shared" si="117"/>
        <v>1</v>
      </c>
      <c r="H2522" s="4">
        <f t="shared" si="118"/>
        <v>1.7035775127768327E-3</v>
      </c>
      <c r="I2522" s="1">
        <f t="shared" si="119"/>
        <v>0</v>
      </c>
    </row>
    <row r="2523" spans="1:9" hidden="1" x14ac:dyDescent="0.2">
      <c r="A2523" s="6">
        <v>44095.708333333336</v>
      </c>
      <c r="B2523" s="1" t="s">
        <v>15</v>
      </c>
      <c r="C2523">
        <v>5</v>
      </c>
      <c r="D2523">
        <v>1</v>
      </c>
      <c r="E2523">
        <v>23</v>
      </c>
      <c r="F2523">
        <v>618</v>
      </c>
      <c r="G2523" s="3">
        <f t="shared" si="117"/>
        <v>31</v>
      </c>
      <c r="H2523" s="4">
        <f t="shared" si="118"/>
        <v>5.0161812297734643E-2</v>
      </c>
      <c r="I2523" s="1">
        <f t="shared" si="119"/>
        <v>0</v>
      </c>
    </row>
    <row r="2524" spans="1:9" hidden="1" x14ac:dyDescent="0.2">
      <c r="A2524" s="6">
        <v>44096.708333333336</v>
      </c>
      <c r="B2524" s="1" t="s">
        <v>15</v>
      </c>
      <c r="C2524">
        <v>5</v>
      </c>
      <c r="D2524">
        <v>1</v>
      </c>
      <c r="E2524">
        <v>23</v>
      </c>
      <c r="F2524">
        <v>620</v>
      </c>
      <c r="G2524" s="3">
        <f t="shared" si="117"/>
        <v>2</v>
      </c>
      <c r="H2524" s="4">
        <f t="shared" si="118"/>
        <v>3.225806451612856E-3</v>
      </c>
      <c r="I2524" s="1">
        <f t="shared" si="119"/>
        <v>0</v>
      </c>
    </row>
    <row r="2525" spans="1:9" hidden="1" x14ac:dyDescent="0.2">
      <c r="A2525" s="6">
        <v>44097.708333333336</v>
      </c>
      <c r="B2525" s="1" t="s">
        <v>15</v>
      </c>
      <c r="C2525">
        <v>3</v>
      </c>
      <c r="D2525">
        <v>1</v>
      </c>
      <c r="E2525">
        <v>23</v>
      </c>
      <c r="F2525">
        <v>623</v>
      </c>
      <c r="G2525" s="3">
        <f t="shared" si="117"/>
        <v>3</v>
      </c>
      <c r="H2525" s="4">
        <f t="shared" si="118"/>
        <v>4.8154093097912964E-3</v>
      </c>
      <c r="I2525" s="1">
        <f t="shared" si="119"/>
        <v>0</v>
      </c>
    </row>
    <row r="2526" spans="1:9" hidden="1" x14ac:dyDescent="0.2">
      <c r="A2526" s="6">
        <v>44098.708333333336</v>
      </c>
      <c r="B2526" s="1" t="s">
        <v>15</v>
      </c>
      <c r="C2526">
        <v>3</v>
      </c>
      <c r="D2526">
        <v>1</v>
      </c>
      <c r="E2526">
        <v>23</v>
      </c>
      <c r="F2526">
        <v>627</v>
      </c>
      <c r="G2526" s="3">
        <f t="shared" si="117"/>
        <v>4</v>
      </c>
      <c r="H2526" s="4">
        <f t="shared" si="118"/>
        <v>6.3795853269537073E-3</v>
      </c>
      <c r="I2526" s="1">
        <f t="shared" si="119"/>
        <v>0</v>
      </c>
    </row>
    <row r="2527" spans="1:9" hidden="1" x14ac:dyDescent="0.2">
      <c r="A2527" s="6">
        <v>44099.708333333336</v>
      </c>
      <c r="B2527" s="1" t="s">
        <v>15</v>
      </c>
      <c r="C2527">
        <v>3</v>
      </c>
      <c r="D2527">
        <v>1</v>
      </c>
      <c r="E2527">
        <v>23</v>
      </c>
      <c r="F2527">
        <v>632</v>
      </c>
      <c r="G2527" s="3">
        <f t="shared" si="117"/>
        <v>5</v>
      </c>
      <c r="H2527" s="4">
        <f t="shared" si="118"/>
        <v>7.9113924050633333E-3</v>
      </c>
      <c r="I2527" s="1">
        <f t="shared" si="119"/>
        <v>0</v>
      </c>
    </row>
    <row r="2528" spans="1:9" hidden="1" x14ac:dyDescent="0.2">
      <c r="A2528" s="6">
        <v>44100.708333333336</v>
      </c>
      <c r="B2528" s="1" t="s">
        <v>15</v>
      </c>
      <c r="C2528">
        <v>4</v>
      </c>
      <c r="D2528">
        <v>1</v>
      </c>
      <c r="E2528">
        <v>23</v>
      </c>
      <c r="F2528">
        <v>637</v>
      </c>
      <c r="G2528" s="3">
        <f t="shared" si="117"/>
        <v>5</v>
      </c>
      <c r="H2528" s="4">
        <f t="shared" si="118"/>
        <v>7.8492935635793293E-3</v>
      </c>
      <c r="I2528" s="1">
        <f t="shared" si="119"/>
        <v>0</v>
      </c>
    </row>
    <row r="2529" spans="1:9" hidden="1" x14ac:dyDescent="0.2">
      <c r="A2529" s="6">
        <v>44101.708333333336</v>
      </c>
      <c r="B2529" s="1" t="s">
        <v>15</v>
      </c>
      <c r="C2529">
        <v>2</v>
      </c>
      <c r="D2529">
        <v>1</v>
      </c>
      <c r="E2529">
        <v>24</v>
      </c>
      <c r="F2529">
        <v>644</v>
      </c>
      <c r="G2529" s="3">
        <f t="shared" si="117"/>
        <v>7</v>
      </c>
      <c r="H2529" s="4">
        <f t="shared" si="118"/>
        <v>1.0869565217391353E-2</v>
      </c>
      <c r="I2529" s="1">
        <f t="shared" si="119"/>
        <v>1</v>
      </c>
    </row>
    <row r="2530" spans="1:9" hidden="1" x14ac:dyDescent="0.2">
      <c r="A2530" s="6">
        <v>44102.708333333336</v>
      </c>
      <c r="B2530" s="1" t="s">
        <v>15</v>
      </c>
      <c r="C2530">
        <v>4</v>
      </c>
      <c r="D2530">
        <v>1</v>
      </c>
      <c r="E2530">
        <v>24</v>
      </c>
      <c r="F2530">
        <v>648</v>
      </c>
      <c r="G2530" s="3">
        <f t="shared" si="117"/>
        <v>4</v>
      </c>
      <c r="H2530" s="4">
        <f t="shared" si="118"/>
        <v>6.1728395061728669E-3</v>
      </c>
      <c r="I2530" s="1">
        <f t="shared" si="119"/>
        <v>0</v>
      </c>
    </row>
    <row r="2531" spans="1:9" hidden="1" x14ac:dyDescent="0.2">
      <c r="A2531" s="6">
        <v>44103.708333333336</v>
      </c>
      <c r="B2531" s="1" t="s">
        <v>15</v>
      </c>
      <c r="C2531">
        <v>5</v>
      </c>
      <c r="D2531">
        <v>1</v>
      </c>
      <c r="E2531">
        <v>24</v>
      </c>
      <c r="F2531">
        <v>649</v>
      </c>
      <c r="G2531" s="3">
        <f t="shared" si="117"/>
        <v>1</v>
      </c>
      <c r="H2531" s="4">
        <f t="shared" si="118"/>
        <v>1.5408320493066618E-3</v>
      </c>
      <c r="I2531" s="1">
        <f t="shared" si="119"/>
        <v>0</v>
      </c>
    </row>
    <row r="2532" spans="1:9" hidden="1" x14ac:dyDescent="0.2">
      <c r="A2532" s="6">
        <v>44104.708333333336</v>
      </c>
      <c r="B2532" s="1" t="s">
        <v>15</v>
      </c>
      <c r="C2532">
        <v>4</v>
      </c>
      <c r="D2532">
        <v>0</v>
      </c>
      <c r="E2532">
        <v>24</v>
      </c>
      <c r="F2532">
        <v>655</v>
      </c>
      <c r="G2532" s="3">
        <f t="shared" si="117"/>
        <v>6</v>
      </c>
      <c r="H2532" s="4">
        <f t="shared" si="118"/>
        <v>9.1603053435114212E-3</v>
      </c>
      <c r="I2532" s="1">
        <f t="shared" si="119"/>
        <v>0</v>
      </c>
    </row>
    <row r="2533" spans="1:9" hidden="1" x14ac:dyDescent="0.2">
      <c r="A2533" s="6">
        <v>44105.708333333336</v>
      </c>
      <c r="B2533" s="1" t="s">
        <v>15</v>
      </c>
      <c r="C2533">
        <v>4</v>
      </c>
      <c r="D2533">
        <v>0</v>
      </c>
      <c r="E2533">
        <v>24</v>
      </c>
      <c r="F2533">
        <v>656</v>
      </c>
      <c r="G2533" s="3">
        <f t="shared" si="117"/>
        <v>1</v>
      </c>
      <c r="H2533" s="4">
        <f t="shared" si="118"/>
        <v>1.5243902439023849E-3</v>
      </c>
      <c r="I2533" s="1">
        <f t="shared" si="119"/>
        <v>0</v>
      </c>
    </row>
    <row r="2534" spans="1:9" hidden="1" x14ac:dyDescent="0.2">
      <c r="A2534" s="6">
        <v>44106.708333333336</v>
      </c>
      <c r="B2534" s="1" t="s">
        <v>15</v>
      </c>
      <c r="C2534">
        <v>5</v>
      </c>
      <c r="D2534">
        <v>0</v>
      </c>
      <c r="E2534">
        <v>24</v>
      </c>
      <c r="F2534">
        <v>660</v>
      </c>
      <c r="G2534" s="3">
        <f t="shared" si="117"/>
        <v>4</v>
      </c>
      <c r="H2534" s="4">
        <f t="shared" si="118"/>
        <v>6.0606060606060996E-3</v>
      </c>
      <c r="I2534" s="1">
        <f t="shared" si="119"/>
        <v>0</v>
      </c>
    </row>
    <row r="2535" spans="1:9" hidden="1" x14ac:dyDescent="0.2">
      <c r="A2535" s="6">
        <v>44107.708333333336</v>
      </c>
      <c r="B2535" s="1" t="s">
        <v>15</v>
      </c>
      <c r="C2535">
        <v>3</v>
      </c>
      <c r="D2535">
        <v>0</v>
      </c>
      <c r="E2535">
        <v>25</v>
      </c>
      <c r="F2535">
        <v>660</v>
      </c>
      <c r="G2535" s="3">
        <f t="shared" si="117"/>
        <v>0</v>
      </c>
      <c r="H2535" s="4">
        <f t="shared" si="118"/>
        <v>0</v>
      </c>
      <c r="I2535" s="1">
        <f t="shared" si="119"/>
        <v>1</v>
      </c>
    </row>
    <row r="2536" spans="1:9" hidden="1" x14ac:dyDescent="0.2">
      <c r="A2536" s="6">
        <v>44108.708333333336</v>
      </c>
      <c r="B2536" s="1" t="s">
        <v>15</v>
      </c>
      <c r="C2536">
        <v>2</v>
      </c>
      <c r="D2536">
        <v>0</v>
      </c>
      <c r="E2536">
        <v>25</v>
      </c>
      <c r="F2536">
        <v>675</v>
      </c>
      <c r="G2536" s="3">
        <f t="shared" si="117"/>
        <v>15</v>
      </c>
      <c r="H2536" s="4">
        <f t="shared" si="118"/>
        <v>2.2222222222222254E-2</v>
      </c>
      <c r="I2536" s="1">
        <f t="shared" si="119"/>
        <v>0</v>
      </c>
    </row>
    <row r="2537" spans="1:9" hidden="1" x14ac:dyDescent="0.2">
      <c r="A2537" s="6">
        <v>44109.708333333336</v>
      </c>
      <c r="B2537" s="1" t="s">
        <v>15</v>
      </c>
      <c r="C2537">
        <v>3</v>
      </c>
      <c r="D2537">
        <v>0</v>
      </c>
      <c r="E2537">
        <v>25</v>
      </c>
      <c r="F2537">
        <v>677</v>
      </c>
      <c r="G2537" s="3">
        <f t="shared" si="117"/>
        <v>2</v>
      </c>
      <c r="H2537" s="4">
        <f t="shared" si="118"/>
        <v>2.9542097488921559E-3</v>
      </c>
      <c r="I2537" s="1">
        <f t="shared" si="119"/>
        <v>0</v>
      </c>
    </row>
    <row r="2538" spans="1:9" hidden="1" x14ac:dyDescent="0.2">
      <c r="A2538" s="6">
        <v>44110.708333333336</v>
      </c>
      <c r="B2538" s="1" t="s">
        <v>15</v>
      </c>
      <c r="C2538">
        <v>3</v>
      </c>
      <c r="D2538">
        <v>0</v>
      </c>
      <c r="E2538">
        <v>25</v>
      </c>
      <c r="F2538">
        <v>683</v>
      </c>
      <c r="G2538" s="3">
        <f t="shared" si="117"/>
        <v>6</v>
      </c>
      <c r="H2538" s="4">
        <f t="shared" si="118"/>
        <v>8.7847730600292273E-3</v>
      </c>
      <c r="I2538" s="1">
        <f t="shared" si="119"/>
        <v>0</v>
      </c>
    </row>
    <row r="2539" spans="1:9" hidden="1" x14ac:dyDescent="0.2">
      <c r="A2539" s="6">
        <v>44111.708333333336</v>
      </c>
      <c r="B2539" s="1" t="s">
        <v>15</v>
      </c>
      <c r="C2539">
        <v>4</v>
      </c>
      <c r="D2539">
        <v>0</v>
      </c>
      <c r="E2539">
        <v>25</v>
      </c>
      <c r="F2539">
        <v>684</v>
      </c>
      <c r="G2539" s="3">
        <f t="shared" si="117"/>
        <v>1</v>
      </c>
      <c r="H2539" s="4">
        <f t="shared" si="118"/>
        <v>1.4619883040936088E-3</v>
      </c>
      <c r="I2539" s="1">
        <f t="shared" si="119"/>
        <v>0</v>
      </c>
    </row>
    <row r="2540" spans="1:9" hidden="1" x14ac:dyDescent="0.2">
      <c r="A2540" s="6">
        <v>44112.708333333336</v>
      </c>
      <c r="B2540" s="1" t="s">
        <v>15</v>
      </c>
      <c r="C2540">
        <v>6</v>
      </c>
      <c r="D2540">
        <v>0</v>
      </c>
      <c r="E2540">
        <v>25</v>
      </c>
      <c r="F2540">
        <v>690</v>
      </c>
      <c r="G2540" s="3">
        <f t="shared" si="117"/>
        <v>6</v>
      </c>
      <c r="H2540" s="4">
        <f t="shared" si="118"/>
        <v>8.6956521739129933E-3</v>
      </c>
      <c r="I2540" s="1">
        <f t="shared" si="119"/>
        <v>0</v>
      </c>
    </row>
    <row r="2541" spans="1:9" hidden="1" x14ac:dyDescent="0.2">
      <c r="A2541" s="6">
        <v>44113.708333333336</v>
      </c>
      <c r="B2541" s="1" t="s">
        <v>15</v>
      </c>
      <c r="C2541">
        <v>8</v>
      </c>
      <c r="D2541">
        <v>0</v>
      </c>
      <c r="E2541">
        <v>25</v>
      </c>
      <c r="F2541">
        <v>701</v>
      </c>
      <c r="G2541" s="3">
        <f t="shared" si="117"/>
        <v>11</v>
      </c>
      <c r="H2541" s="4">
        <f t="shared" si="118"/>
        <v>1.5691868758915817E-2</v>
      </c>
      <c r="I2541" s="1">
        <f t="shared" si="119"/>
        <v>0</v>
      </c>
    </row>
    <row r="2542" spans="1:9" hidden="1" x14ac:dyDescent="0.2">
      <c r="A2542" s="6">
        <v>44114.708333333336</v>
      </c>
      <c r="B2542" s="1" t="s">
        <v>15</v>
      </c>
      <c r="C2542">
        <v>7</v>
      </c>
      <c r="D2542">
        <v>0</v>
      </c>
      <c r="E2542">
        <v>26</v>
      </c>
      <c r="F2542">
        <v>711</v>
      </c>
      <c r="G2542" s="3">
        <f t="shared" si="117"/>
        <v>10</v>
      </c>
      <c r="H2542" s="4">
        <f t="shared" si="118"/>
        <v>1.406469760900142E-2</v>
      </c>
      <c r="I2542" s="1">
        <f t="shared" si="119"/>
        <v>1</v>
      </c>
    </row>
    <row r="2543" spans="1:9" hidden="1" x14ac:dyDescent="0.2">
      <c r="A2543" s="6">
        <v>44115.708333333336</v>
      </c>
      <c r="B2543" s="1" t="s">
        <v>15</v>
      </c>
      <c r="C2543">
        <v>9</v>
      </c>
      <c r="D2543">
        <v>0</v>
      </c>
      <c r="E2543">
        <v>26</v>
      </c>
      <c r="F2543">
        <v>739</v>
      </c>
      <c r="G2543" s="3">
        <f t="shared" si="117"/>
        <v>28</v>
      </c>
      <c r="H2543" s="4">
        <f t="shared" si="118"/>
        <v>3.7889039242219202E-2</v>
      </c>
      <c r="I2543" s="1">
        <f t="shared" si="119"/>
        <v>0</v>
      </c>
    </row>
    <row r="2544" spans="1:9" hidden="1" x14ac:dyDescent="0.2">
      <c r="A2544" s="6">
        <v>43885.75</v>
      </c>
      <c r="B2544" s="1" t="s">
        <v>16</v>
      </c>
      <c r="C2544">
        <v>0</v>
      </c>
      <c r="D2544">
        <v>0</v>
      </c>
      <c r="E2544">
        <v>0</v>
      </c>
      <c r="F2544">
        <v>0</v>
      </c>
      <c r="G2544" s="3">
        <f t="shared" si="117"/>
        <v>0</v>
      </c>
      <c r="H2544" s="4">
        <f t="shared" si="118"/>
        <v>0</v>
      </c>
      <c r="I2544" s="1">
        <f t="shared" si="119"/>
        <v>0</v>
      </c>
    </row>
    <row r="2545" spans="1:9" hidden="1" x14ac:dyDescent="0.2">
      <c r="A2545" s="6">
        <v>43886.75</v>
      </c>
      <c r="B2545" s="1" t="s">
        <v>16</v>
      </c>
      <c r="C2545">
        <v>1</v>
      </c>
      <c r="D2545">
        <v>0</v>
      </c>
      <c r="E2545">
        <v>0</v>
      </c>
      <c r="F2545">
        <v>1</v>
      </c>
      <c r="G2545" s="3">
        <f t="shared" si="117"/>
        <v>1</v>
      </c>
      <c r="H2545" s="4">
        <f t="shared" si="118"/>
        <v>0</v>
      </c>
      <c r="I2545" s="1">
        <f t="shared" si="119"/>
        <v>0</v>
      </c>
    </row>
    <row r="2546" spans="1:9" hidden="1" x14ac:dyDescent="0.2">
      <c r="A2546" s="6">
        <v>43887.75</v>
      </c>
      <c r="B2546" s="1" t="s">
        <v>16</v>
      </c>
      <c r="C2546">
        <v>1</v>
      </c>
      <c r="D2546">
        <v>0</v>
      </c>
      <c r="E2546">
        <v>0</v>
      </c>
      <c r="F2546">
        <v>1</v>
      </c>
      <c r="G2546" s="3">
        <f t="shared" si="117"/>
        <v>0</v>
      </c>
      <c r="H2546" s="4">
        <f t="shared" si="118"/>
        <v>0</v>
      </c>
      <c r="I2546" s="1">
        <f t="shared" si="119"/>
        <v>0</v>
      </c>
    </row>
    <row r="2547" spans="1:9" hidden="1" x14ac:dyDescent="0.2">
      <c r="A2547" s="6">
        <v>43888.75</v>
      </c>
      <c r="B2547" s="1" t="s">
        <v>16</v>
      </c>
      <c r="C2547">
        <v>1</v>
      </c>
      <c r="D2547">
        <v>0</v>
      </c>
      <c r="E2547">
        <v>0</v>
      </c>
      <c r="F2547">
        <v>1</v>
      </c>
      <c r="G2547" s="3">
        <f t="shared" si="117"/>
        <v>0</v>
      </c>
      <c r="H2547" s="4">
        <f t="shared" si="118"/>
        <v>0</v>
      </c>
      <c r="I2547" s="1">
        <f t="shared" si="119"/>
        <v>0</v>
      </c>
    </row>
    <row r="2548" spans="1:9" hidden="1" x14ac:dyDescent="0.2">
      <c r="A2548" s="6">
        <v>43889.75</v>
      </c>
      <c r="B2548" s="1" t="s">
        <v>16</v>
      </c>
      <c r="C2548">
        <v>1</v>
      </c>
      <c r="D2548">
        <v>0</v>
      </c>
      <c r="E2548">
        <v>0</v>
      </c>
      <c r="F2548">
        <v>1</v>
      </c>
      <c r="G2548" s="3">
        <f t="shared" si="117"/>
        <v>0</v>
      </c>
      <c r="H2548" s="4">
        <f t="shared" si="118"/>
        <v>0</v>
      </c>
      <c r="I2548" s="1">
        <f t="shared" si="119"/>
        <v>0</v>
      </c>
    </row>
    <row r="2549" spans="1:9" hidden="1" x14ac:dyDescent="0.2">
      <c r="A2549" s="6">
        <v>43890.708333333336</v>
      </c>
      <c r="B2549" s="1" t="s">
        <v>16</v>
      </c>
      <c r="C2549">
        <v>1</v>
      </c>
      <c r="D2549">
        <v>0</v>
      </c>
      <c r="E2549">
        <v>0</v>
      </c>
      <c r="F2549">
        <v>1</v>
      </c>
      <c r="G2549" s="3">
        <f t="shared" si="117"/>
        <v>0</v>
      </c>
      <c r="H2549" s="4">
        <f t="shared" si="118"/>
        <v>0</v>
      </c>
      <c r="I2549" s="1">
        <f t="shared" si="119"/>
        <v>0</v>
      </c>
    </row>
    <row r="2550" spans="1:9" hidden="1" x14ac:dyDescent="0.2">
      <c r="A2550" s="6">
        <v>43891.708333333336</v>
      </c>
      <c r="B2550" s="1" t="s">
        <v>16</v>
      </c>
      <c r="C2550">
        <v>1</v>
      </c>
      <c r="D2550">
        <v>0</v>
      </c>
      <c r="E2550">
        <v>0</v>
      </c>
      <c r="F2550">
        <v>1</v>
      </c>
      <c r="G2550" s="3">
        <f t="shared" si="117"/>
        <v>0</v>
      </c>
      <c r="H2550" s="4">
        <f t="shared" si="118"/>
        <v>0</v>
      </c>
      <c r="I2550" s="1">
        <f t="shared" si="119"/>
        <v>0</v>
      </c>
    </row>
    <row r="2551" spans="1:9" hidden="1" x14ac:dyDescent="0.2">
      <c r="A2551" s="6">
        <v>43892.75</v>
      </c>
      <c r="B2551" s="1" t="s">
        <v>16</v>
      </c>
      <c r="C2551">
        <v>1</v>
      </c>
      <c r="D2551">
        <v>0</v>
      </c>
      <c r="E2551">
        <v>0</v>
      </c>
      <c r="F2551">
        <v>1</v>
      </c>
      <c r="G2551" s="3">
        <f t="shared" si="117"/>
        <v>0</v>
      </c>
      <c r="H2551" s="4">
        <f t="shared" si="118"/>
        <v>0</v>
      </c>
      <c r="I2551" s="1">
        <f t="shared" si="119"/>
        <v>0</v>
      </c>
    </row>
    <row r="2552" spans="1:9" hidden="1" x14ac:dyDescent="0.2">
      <c r="A2552" s="6">
        <v>43893.75</v>
      </c>
      <c r="B2552" s="1" t="s">
        <v>16</v>
      </c>
      <c r="C2552">
        <v>1</v>
      </c>
      <c r="D2552">
        <v>0</v>
      </c>
      <c r="E2552">
        <v>0</v>
      </c>
      <c r="F2552">
        <v>1</v>
      </c>
      <c r="G2552" s="3">
        <f t="shared" si="117"/>
        <v>0</v>
      </c>
      <c r="H2552" s="4">
        <f t="shared" si="118"/>
        <v>0</v>
      </c>
      <c r="I2552" s="1">
        <f t="shared" si="119"/>
        <v>0</v>
      </c>
    </row>
    <row r="2553" spans="1:9" hidden="1" x14ac:dyDescent="0.2">
      <c r="A2553" s="6">
        <v>43894.708333333336</v>
      </c>
      <c r="B2553" s="1" t="s">
        <v>16</v>
      </c>
      <c r="C2553">
        <v>1</v>
      </c>
      <c r="D2553">
        <v>0</v>
      </c>
      <c r="E2553">
        <v>0</v>
      </c>
      <c r="F2553">
        <v>1</v>
      </c>
      <c r="G2553" s="3">
        <f t="shared" si="117"/>
        <v>0</v>
      </c>
      <c r="H2553" s="4">
        <f t="shared" si="118"/>
        <v>0</v>
      </c>
      <c r="I2553" s="1">
        <f t="shared" si="119"/>
        <v>0</v>
      </c>
    </row>
    <row r="2554" spans="1:9" hidden="1" x14ac:dyDescent="0.2">
      <c r="A2554" s="6">
        <v>43895.708333333336</v>
      </c>
      <c r="B2554" s="1" t="s">
        <v>16</v>
      </c>
      <c r="C2554">
        <v>1</v>
      </c>
      <c r="D2554">
        <v>0</v>
      </c>
      <c r="E2554">
        <v>0</v>
      </c>
      <c r="F2554">
        <v>1</v>
      </c>
      <c r="G2554" s="3">
        <f t="shared" si="117"/>
        <v>0</v>
      </c>
      <c r="H2554" s="4">
        <f t="shared" si="118"/>
        <v>0</v>
      </c>
      <c r="I2554" s="1">
        <f t="shared" si="119"/>
        <v>0</v>
      </c>
    </row>
    <row r="2555" spans="1:9" hidden="1" x14ac:dyDescent="0.2">
      <c r="A2555" s="6">
        <v>43896.708333333336</v>
      </c>
      <c r="B2555" s="1" t="s">
        <v>16</v>
      </c>
      <c r="C2555">
        <v>4</v>
      </c>
      <c r="D2555">
        <v>0</v>
      </c>
      <c r="E2555">
        <v>0</v>
      </c>
      <c r="F2555">
        <v>4</v>
      </c>
      <c r="G2555" s="3">
        <f t="shared" si="117"/>
        <v>3</v>
      </c>
      <c r="H2555" s="4">
        <f t="shared" si="118"/>
        <v>0.75</v>
      </c>
      <c r="I2555" s="1">
        <f t="shared" si="119"/>
        <v>0</v>
      </c>
    </row>
    <row r="2556" spans="1:9" hidden="1" x14ac:dyDescent="0.2">
      <c r="A2556" s="6">
        <v>43897.75</v>
      </c>
      <c r="B2556" s="1" t="s">
        <v>16</v>
      </c>
      <c r="C2556">
        <v>8</v>
      </c>
      <c r="D2556">
        <v>0</v>
      </c>
      <c r="E2556">
        <v>0</v>
      </c>
      <c r="F2556">
        <v>9</v>
      </c>
      <c r="G2556" s="3">
        <f t="shared" si="117"/>
        <v>5</v>
      </c>
      <c r="H2556" s="4">
        <f t="shared" si="118"/>
        <v>0.55555555555555558</v>
      </c>
      <c r="I2556" s="1">
        <f t="shared" si="119"/>
        <v>0</v>
      </c>
    </row>
    <row r="2557" spans="1:9" hidden="1" x14ac:dyDescent="0.2">
      <c r="A2557" s="6">
        <v>43898.75</v>
      </c>
      <c r="B2557" s="1" t="s">
        <v>16</v>
      </c>
      <c r="C2557">
        <v>8</v>
      </c>
      <c r="D2557">
        <v>0</v>
      </c>
      <c r="E2557">
        <v>0</v>
      </c>
      <c r="F2557">
        <v>9</v>
      </c>
      <c r="G2557" s="3">
        <f t="shared" si="117"/>
        <v>0</v>
      </c>
      <c r="H2557" s="4">
        <f t="shared" si="118"/>
        <v>0</v>
      </c>
      <c r="I2557" s="1">
        <f t="shared" si="119"/>
        <v>0</v>
      </c>
    </row>
    <row r="2558" spans="1:9" hidden="1" x14ac:dyDescent="0.2">
      <c r="A2558" s="6">
        <v>43899.75</v>
      </c>
      <c r="B2558" s="1" t="s">
        <v>16</v>
      </c>
      <c r="C2558">
        <v>8</v>
      </c>
      <c r="D2558">
        <v>0</v>
      </c>
      <c r="E2558">
        <v>0</v>
      </c>
      <c r="F2558">
        <v>9</v>
      </c>
      <c r="G2558" s="3">
        <f t="shared" si="117"/>
        <v>0</v>
      </c>
      <c r="H2558" s="4">
        <f t="shared" si="118"/>
        <v>0</v>
      </c>
      <c r="I2558" s="1">
        <f t="shared" si="119"/>
        <v>0</v>
      </c>
    </row>
    <row r="2559" spans="1:9" hidden="1" x14ac:dyDescent="0.2">
      <c r="A2559" s="6">
        <v>43900.75</v>
      </c>
      <c r="B2559" s="1" t="s">
        <v>16</v>
      </c>
      <c r="C2559">
        <v>17</v>
      </c>
      <c r="D2559">
        <v>1</v>
      </c>
      <c r="E2559">
        <v>0</v>
      </c>
      <c r="F2559">
        <v>38</v>
      </c>
      <c r="G2559" s="3">
        <f t="shared" si="117"/>
        <v>29</v>
      </c>
      <c r="H2559" s="4">
        <f t="shared" si="118"/>
        <v>0.76315789473684215</v>
      </c>
      <c r="I2559" s="1">
        <f t="shared" si="119"/>
        <v>0</v>
      </c>
    </row>
    <row r="2560" spans="1:9" hidden="1" x14ac:dyDescent="0.2">
      <c r="A2560" s="6">
        <v>43901.708333333336</v>
      </c>
      <c r="B2560" s="1" t="s">
        <v>16</v>
      </c>
      <c r="C2560">
        <v>8</v>
      </c>
      <c r="D2560">
        <v>4</v>
      </c>
      <c r="E2560">
        <v>0</v>
      </c>
      <c r="F2560">
        <v>75</v>
      </c>
      <c r="G2560" s="3">
        <f t="shared" si="117"/>
        <v>37</v>
      </c>
      <c r="H2560" s="4">
        <f t="shared" si="118"/>
        <v>0.49333333333333329</v>
      </c>
      <c r="I2560" s="1">
        <f t="shared" si="119"/>
        <v>0</v>
      </c>
    </row>
    <row r="2561" spans="1:9" hidden="1" x14ac:dyDescent="0.2">
      <c r="A2561" s="6">
        <v>43902.708333333336</v>
      </c>
      <c r="B2561" s="1" t="s">
        <v>16</v>
      </c>
      <c r="C2561">
        <v>21</v>
      </c>
      <c r="D2561">
        <v>4</v>
      </c>
      <c r="E2561">
        <v>1</v>
      </c>
      <c r="F2561">
        <v>104</v>
      </c>
      <c r="G2561" s="3">
        <f t="shared" si="117"/>
        <v>29</v>
      </c>
      <c r="H2561" s="4">
        <f t="shared" si="118"/>
        <v>0.27884615384615385</v>
      </c>
      <c r="I2561" s="1">
        <f t="shared" si="119"/>
        <v>1</v>
      </c>
    </row>
    <row r="2562" spans="1:9" hidden="1" x14ac:dyDescent="0.2">
      <c r="A2562" s="6">
        <v>43903.708333333336</v>
      </c>
      <c r="B2562" s="1" t="s">
        <v>16</v>
      </c>
      <c r="C2562">
        <v>20</v>
      </c>
      <c r="D2562">
        <v>5</v>
      </c>
      <c r="E2562">
        <v>2</v>
      </c>
      <c r="F2562">
        <v>125</v>
      </c>
      <c r="G2562" s="3">
        <f t="shared" si="117"/>
        <v>21</v>
      </c>
      <c r="H2562" s="4">
        <f t="shared" si="118"/>
        <v>0.16800000000000004</v>
      </c>
      <c r="I2562" s="1">
        <f t="shared" si="119"/>
        <v>1</v>
      </c>
    </row>
    <row r="2563" spans="1:9" hidden="1" x14ac:dyDescent="0.2">
      <c r="A2563" s="6">
        <v>43904.708333333336</v>
      </c>
      <c r="B2563" s="1" t="s">
        <v>16</v>
      </c>
      <c r="C2563">
        <v>26</v>
      </c>
      <c r="D2563">
        <v>7</v>
      </c>
      <c r="E2563">
        <v>3</v>
      </c>
      <c r="F2563">
        <v>173</v>
      </c>
      <c r="G2563" s="3">
        <f t="shared" ref="G2563:G2626" si="120">IF(AND(F2563&gt;0,AND(B2563=B2562,F2563&gt;0)),F2563-F2562,0)</f>
        <v>48</v>
      </c>
      <c r="H2563" s="4">
        <f t="shared" ref="H2563:H2626" si="121">IF(AND(F2562&gt;0,AND(B2563=B2562,F2562&gt;0)),1-(F2562/F2563),0)</f>
        <v>0.2774566473988439</v>
      </c>
      <c r="I2563" s="1">
        <f t="shared" ref="I2563:I2626" si="122">IF(AND(E2563&gt;0,AND(B2563=B2562,E2563&gt;0)),E2563-E2562,0)</f>
        <v>1</v>
      </c>
    </row>
    <row r="2564" spans="1:9" hidden="1" x14ac:dyDescent="0.2">
      <c r="A2564" s="6">
        <v>43905.708333333336</v>
      </c>
      <c r="B2564" s="1" t="s">
        <v>16</v>
      </c>
      <c r="C2564">
        <v>50</v>
      </c>
      <c r="D2564">
        <v>4</v>
      </c>
      <c r="E2564">
        <v>5</v>
      </c>
      <c r="F2564">
        <v>204</v>
      </c>
      <c r="G2564" s="3">
        <f t="shared" si="120"/>
        <v>31</v>
      </c>
      <c r="H2564" s="4">
        <f t="shared" si="121"/>
        <v>0.15196078431372551</v>
      </c>
      <c r="I2564" s="1">
        <f t="shared" si="122"/>
        <v>2</v>
      </c>
    </row>
    <row r="2565" spans="1:9" hidden="1" x14ac:dyDescent="0.2">
      <c r="A2565" s="6">
        <v>43906.708333333336</v>
      </c>
      <c r="B2565" s="1" t="s">
        <v>16</v>
      </c>
      <c r="C2565">
        <v>53</v>
      </c>
      <c r="D2565">
        <v>11</v>
      </c>
      <c r="E2565">
        <v>6</v>
      </c>
      <c r="F2565">
        <v>241</v>
      </c>
      <c r="G2565" s="3">
        <f t="shared" si="120"/>
        <v>37</v>
      </c>
      <c r="H2565" s="4">
        <f t="shared" si="121"/>
        <v>0.15352697095435686</v>
      </c>
      <c r="I2565" s="1">
        <f t="shared" si="122"/>
        <v>1</v>
      </c>
    </row>
    <row r="2566" spans="1:9" hidden="1" x14ac:dyDescent="0.2">
      <c r="A2566" s="6">
        <v>43907.708333333336</v>
      </c>
      <c r="B2566" s="1" t="s">
        <v>16</v>
      </c>
      <c r="C2566">
        <v>71</v>
      </c>
      <c r="D2566">
        <v>11</v>
      </c>
      <c r="E2566">
        <v>8</v>
      </c>
      <c r="F2566">
        <v>291</v>
      </c>
      <c r="G2566" s="3">
        <f t="shared" si="120"/>
        <v>50</v>
      </c>
      <c r="H2566" s="4">
        <f t="shared" si="121"/>
        <v>0.17182130584192434</v>
      </c>
      <c r="I2566" s="1">
        <f t="shared" si="122"/>
        <v>2</v>
      </c>
    </row>
    <row r="2567" spans="1:9" hidden="1" x14ac:dyDescent="0.2">
      <c r="A2567" s="6">
        <v>43908.708333333336</v>
      </c>
      <c r="B2567" s="1" t="s">
        <v>16</v>
      </c>
      <c r="C2567">
        <v>79</v>
      </c>
      <c r="D2567">
        <v>18</v>
      </c>
      <c r="E2567">
        <v>9</v>
      </c>
      <c r="F2567">
        <v>376</v>
      </c>
      <c r="G2567" s="3">
        <f t="shared" si="120"/>
        <v>85</v>
      </c>
      <c r="H2567" s="4">
        <f t="shared" si="121"/>
        <v>0.22606382978723405</v>
      </c>
      <c r="I2567" s="1">
        <f t="shared" si="122"/>
        <v>1</v>
      </c>
    </row>
    <row r="2568" spans="1:9" hidden="1" x14ac:dyDescent="0.2">
      <c r="A2568" s="6">
        <v>43909.708333333336</v>
      </c>
      <c r="B2568" s="1" t="s">
        <v>16</v>
      </c>
      <c r="C2568">
        <v>87</v>
      </c>
      <c r="D2568">
        <v>18</v>
      </c>
      <c r="E2568">
        <v>14</v>
      </c>
      <c r="F2568">
        <v>436</v>
      </c>
      <c r="G2568" s="3">
        <f t="shared" si="120"/>
        <v>60</v>
      </c>
      <c r="H2568" s="4">
        <f t="shared" si="121"/>
        <v>0.13761467889908252</v>
      </c>
      <c r="I2568" s="1">
        <f t="shared" si="122"/>
        <v>5</v>
      </c>
    </row>
    <row r="2569" spans="1:9" hidden="1" x14ac:dyDescent="0.2">
      <c r="A2569" s="6">
        <v>43910.708333333336</v>
      </c>
      <c r="B2569" s="1" t="s">
        <v>16</v>
      </c>
      <c r="C2569">
        <v>99</v>
      </c>
      <c r="D2569">
        <v>24</v>
      </c>
      <c r="E2569">
        <v>17</v>
      </c>
      <c r="F2569">
        <v>548</v>
      </c>
      <c r="G2569" s="3">
        <f t="shared" si="120"/>
        <v>112</v>
      </c>
      <c r="H2569" s="4">
        <f t="shared" si="121"/>
        <v>0.20437956204379559</v>
      </c>
      <c r="I2569" s="1">
        <f t="shared" si="122"/>
        <v>3</v>
      </c>
    </row>
    <row r="2570" spans="1:9" hidden="1" x14ac:dyDescent="0.2">
      <c r="A2570" s="6">
        <v>43911.708333333336</v>
      </c>
      <c r="B2570" s="1" t="s">
        <v>16</v>
      </c>
      <c r="C2570">
        <v>127</v>
      </c>
      <c r="D2570">
        <v>30</v>
      </c>
      <c r="E2570">
        <v>20</v>
      </c>
      <c r="F2570">
        <v>621</v>
      </c>
      <c r="G2570" s="3">
        <f t="shared" si="120"/>
        <v>73</v>
      </c>
      <c r="H2570" s="4">
        <f t="shared" si="121"/>
        <v>0.11755233494363926</v>
      </c>
      <c r="I2570" s="1">
        <f t="shared" si="122"/>
        <v>3</v>
      </c>
    </row>
    <row r="2571" spans="1:9" hidden="1" x14ac:dyDescent="0.2">
      <c r="A2571" s="6">
        <v>43912.708333333336</v>
      </c>
      <c r="B2571" s="1" t="s">
        <v>16</v>
      </c>
      <c r="C2571">
        <v>146</v>
      </c>
      <c r="D2571">
        <v>32</v>
      </c>
      <c r="E2571">
        <v>23</v>
      </c>
      <c r="F2571">
        <v>678</v>
      </c>
      <c r="G2571" s="3">
        <f t="shared" si="120"/>
        <v>57</v>
      </c>
      <c r="H2571" s="4">
        <f t="shared" si="121"/>
        <v>8.4070796460177011E-2</v>
      </c>
      <c r="I2571" s="1">
        <f t="shared" si="122"/>
        <v>3</v>
      </c>
    </row>
    <row r="2572" spans="1:9" hidden="1" x14ac:dyDescent="0.2">
      <c r="A2572" s="6">
        <v>43913.708333333336</v>
      </c>
      <c r="B2572" s="1" t="s">
        <v>16</v>
      </c>
      <c r="C2572">
        <v>145</v>
      </c>
      <c r="D2572">
        <v>33</v>
      </c>
      <c r="E2572">
        <v>29</v>
      </c>
      <c r="F2572">
        <v>724</v>
      </c>
      <c r="G2572" s="3">
        <f t="shared" si="120"/>
        <v>46</v>
      </c>
      <c r="H2572" s="4">
        <f t="shared" si="121"/>
        <v>6.3535911602209949E-2</v>
      </c>
      <c r="I2572" s="1">
        <f t="shared" si="122"/>
        <v>6</v>
      </c>
    </row>
    <row r="2573" spans="1:9" hidden="1" x14ac:dyDescent="0.2">
      <c r="A2573" s="6">
        <v>43914.708333333336</v>
      </c>
      <c r="B2573" s="1" t="s">
        <v>16</v>
      </c>
      <c r="C2573">
        <v>166</v>
      </c>
      <c r="D2573">
        <v>38</v>
      </c>
      <c r="E2573">
        <v>38</v>
      </c>
      <c r="F2573">
        <v>781</v>
      </c>
      <c r="G2573" s="3">
        <f t="shared" si="120"/>
        <v>57</v>
      </c>
      <c r="H2573" s="4">
        <f t="shared" si="121"/>
        <v>7.2983354673495482E-2</v>
      </c>
      <c r="I2573" s="1">
        <f t="shared" si="122"/>
        <v>9</v>
      </c>
    </row>
    <row r="2574" spans="1:9" hidden="1" x14ac:dyDescent="0.2">
      <c r="A2574" s="6">
        <v>43915.708333333336</v>
      </c>
      <c r="B2574" s="1" t="s">
        <v>16</v>
      </c>
      <c r="C2574">
        <v>190</v>
      </c>
      <c r="D2574">
        <v>40</v>
      </c>
      <c r="E2574">
        <v>43</v>
      </c>
      <c r="F2574">
        <v>858</v>
      </c>
      <c r="G2574" s="3">
        <f t="shared" si="120"/>
        <v>77</v>
      </c>
      <c r="H2574" s="4">
        <f t="shared" si="121"/>
        <v>8.9743589743589758E-2</v>
      </c>
      <c r="I2574" s="1">
        <f t="shared" si="122"/>
        <v>5</v>
      </c>
    </row>
    <row r="2575" spans="1:9" hidden="1" x14ac:dyDescent="0.2">
      <c r="A2575" s="6">
        <v>43916.708333333336</v>
      </c>
      <c r="B2575" s="1" t="s">
        <v>16</v>
      </c>
      <c r="C2575">
        <v>223</v>
      </c>
      <c r="D2575">
        <v>43</v>
      </c>
      <c r="E2575">
        <v>48</v>
      </c>
      <c r="F2575">
        <v>906</v>
      </c>
      <c r="G2575" s="3">
        <f t="shared" si="120"/>
        <v>48</v>
      </c>
      <c r="H2575" s="4">
        <f t="shared" si="121"/>
        <v>5.2980132450331174E-2</v>
      </c>
      <c r="I2575" s="1">
        <f t="shared" si="122"/>
        <v>5</v>
      </c>
    </row>
    <row r="2576" spans="1:9" hidden="1" x14ac:dyDescent="0.2">
      <c r="A2576" s="6">
        <v>43917.708333333336</v>
      </c>
      <c r="B2576" s="1" t="s">
        <v>16</v>
      </c>
      <c r="C2576">
        <v>249</v>
      </c>
      <c r="D2576">
        <v>45</v>
      </c>
      <c r="E2576">
        <v>60</v>
      </c>
      <c r="F2576">
        <v>1003</v>
      </c>
      <c r="G2576" s="3">
        <f t="shared" si="120"/>
        <v>97</v>
      </c>
      <c r="H2576" s="4">
        <f t="shared" si="121"/>
        <v>9.6709870388833497E-2</v>
      </c>
      <c r="I2576" s="1">
        <f t="shared" si="122"/>
        <v>12</v>
      </c>
    </row>
    <row r="2577" spans="1:9" hidden="1" x14ac:dyDescent="0.2">
      <c r="A2577" s="6">
        <v>43918.708333333336</v>
      </c>
      <c r="B2577" s="1" t="s">
        <v>16</v>
      </c>
      <c r="C2577">
        <v>225</v>
      </c>
      <c r="D2577">
        <v>51</v>
      </c>
      <c r="E2577">
        <v>64</v>
      </c>
      <c r="F2577">
        <v>1109</v>
      </c>
      <c r="G2577" s="3">
        <f t="shared" si="120"/>
        <v>106</v>
      </c>
      <c r="H2577" s="4">
        <f t="shared" si="121"/>
        <v>9.5581605049594232E-2</v>
      </c>
      <c r="I2577" s="1">
        <f t="shared" si="122"/>
        <v>4</v>
      </c>
    </row>
    <row r="2578" spans="1:9" hidden="1" x14ac:dyDescent="0.2">
      <c r="A2578" s="6">
        <v>43919.708333333336</v>
      </c>
      <c r="B2578" s="1" t="s">
        <v>16</v>
      </c>
      <c r="C2578">
        <v>234</v>
      </c>
      <c r="D2578">
        <v>56</v>
      </c>
      <c r="E2578">
        <v>64</v>
      </c>
      <c r="F2578">
        <v>1214</v>
      </c>
      <c r="G2578" s="3">
        <f t="shared" si="120"/>
        <v>105</v>
      </c>
      <c r="H2578" s="4">
        <f t="shared" si="121"/>
        <v>8.6490939044481019E-2</v>
      </c>
      <c r="I2578" s="1">
        <f t="shared" si="122"/>
        <v>0</v>
      </c>
    </row>
    <row r="2579" spans="1:9" hidden="1" x14ac:dyDescent="0.2">
      <c r="A2579" s="6">
        <v>43920.708333333336</v>
      </c>
      <c r="B2579" s="1" t="s">
        <v>16</v>
      </c>
      <c r="C2579">
        <v>231</v>
      </c>
      <c r="D2579">
        <v>62</v>
      </c>
      <c r="E2579">
        <v>74</v>
      </c>
      <c r="F2579">
        <v>1325</v>
      </c>
      <c r="G2579" s="3">
        <f t="shared" si="120"/>
        <v>111</v>
      </c>
      <c r="H2579" s="4">
        <f t="shared" si="121"/>
        <v>8.3773584905660337E-2</v>
      </c>
      <c r="I2579" s="1">
        <f t="shared" si="122"/>
        <v>10</v>
      </c>
    </row>
    <row r="2580" spans="1:9" hidden="1" x14ac:dyDescent="0.2">
      <c r="A2580" s="6">
        <v>43921.708333333336</v>
      </c>
      <c r="B2580" s="1" t="s">
        <v>16</v>
      </c>
      <c r="C2580">
        <v>249</v>
      </c>
      <c r="D2580">
        <v>62</v>
      </c>
      <c r="E2580">
        <v>76</v>
      </c>
      <c r="F2580">
        <v>1371</v>
      </c>
      <c r="G2580" s="3">
        <f t="shared" si="120"/>
        <v>46</v>
      </c>
      <c r="H2580" s="4">
        <f t="shared" si="121"/>
        <v>3.3552151714077327E-2</v>
      </c>
      <c r="I2580" s="1">
        <f t="shared" si="122"/>
        <v>2</v>
      </c>
    </row>
    <row r="2581" spans="1:9" hidden="1" x14ac:dyDescent="0.2">
      <c r="A2581" s="6">
        <v>43922.708333333336</v>
      </c>
      <c r="B2581" s="1" t="s">
        <v>16</v>
      </c>
      <c r="C2581">
        <v>269</v>
      </c>
      <c r="D2581">
        <v>57</v>
      </c>
      <c r="E2581">
        <v>116</v>
      </c>
      <c r="F2581">
        <v>1418</v>
      </c>
      <c r="G2581" s="3">
        <f t="shared" si="120"/>
        <v>47</v>
      </c>
      <c r="H2581" s="4">
        <f t="shared" si="121"/>
        <v>3.3145275035260879E-2</v>
      </c>
      <c r="I2581" s="1">
        <f t="shared" si="122"/>
        <v>40</v>
      </c>
    </row>
    <row r="2582" spans="1:9" hidden="1" x14ac:dyDescent="0.2">
      <c r="A2582" s="6">
        <v>43923.708333333336</v>
      </c>
      <c r="B2582" s="1" t="s">
        <v>16</v>
      </c>
      <c r="C2582">
        <v>279</v>
      </c>
      <c r="D2582">
        <v>60</v>
      </c>
      <c r="E2582">
        <v>129</v>
      </c>
      <c r="F2582">
        <v>1479</v>
      </c>
      <c r="G2582" s="3">
        <f t="shared" si="120"/>
        <v>61</v>
      </c>
      <c r="H2582" s="4">
        <f t="shared" si="121"/>
        <v>4.1244083840432766E-2</v>
      </c>
      <c r="I2582" s="1">
        <f t="shared" si="122"/>
        <v>13</v>
      </c>
    </row>
    <row r="2583" spans="1:9" hidden="1" x14ac:dyDescent="0.2">
      <c r="A2583" s="6">
        <v>43924.708333333336</v>
      </c>
      <c r="B2583" s="1" t="s">
        <v>16</v>
      </c>
      <c r="C2583">
        <v>291</v>
      </c>
      <c r="D2583">
        <v>60</v>
      </c>
      <c r="E2583">
        <v>139</v>
      </c>
      <c r="F2583">
        <v>1559</v>
      </c>
      <c r="G2583" s="3">
        <f t="shared" si="120"/>
        <v>80</v>
      </c>
      <c r="H2583" s="4">
        <f t="shared" si="121"/>
        <v>5.1314945477870411E-2</v>
      </c>
      <c r="I2583" s="1">
        <f t="shared" si="122"/>
        <v>10</v>
      </c>
    </row>
    <row r="2584" spans="1:9" hidden="1" x14ac:dyDescent="0.2">
      <c r="A2584" s="6">
        <v>43925.708333333336</v>
      </c>
      <c r="B2584" s="1" t="s">
        <v>16</v>
      </c>
      <c r="C2584">
        <v>291</v>
      </c>
      <c r="D2584">
        <v>61</v>
      </c>
      <c r="E2584">
        <v>146</v>
      </c>
      <c r="F2584">
        <v>1592</v>
      </c>
      <c r="G2584" s="3">
        <f t="shared" si="120"/>
        <v>33</v>
      </c>
      <c r="H2584" s="4">
        <f t="shared" si="121"/>
        <v>2.0728643216080367E-2</v>
      </c>
      <c r="I2584" s="1">
        <f t="shared" si="122"/>
        <v>7</v>
      </c>
    </row>
    <row r="2585" spans="1:9" hidden="1" x14ac:dyDescent="0.2">
      <c r="A2585" s="6">
        <v>43926.708333333336</v>
      </c>
      <c r="B2585" s="1" t="s">
        <v>16</v>
      </c>
      <c r="C2585">
        <v>239</v>
      </c>
      <c r="D2585">
        <v>53</v>
      </c>
      <c r="E2585">
        <v>158</v>
      </c>
      <c r="F2585">
        <v>1644</v>
      </c>
      <c r="G2585" s="3">
        <f t="shared" si="120"/>
        <v>52</v>
      </c>
      <c r="H2585" s="4">
        <f t="shared" si="121"/>
        <v>3.1630170316301665E-2</v>
      </c>
      <c r="I2585" s="1">
        <f t="shared" si="122"/>
        <v>12</v>
      </c>
    </row>
    <row r="2586" spans="1:9" hidden="1" x14ac:dyDescent="0.2">
      <c r="A2586" s="6">
        <v>43927.708333333336</v>
      </c>
      <c r="B2586" s="1" t="s">
        <v>16</v>
      </c>
      <c r="C2586">
        <v>245</v>
      </c>
      <c r="D2586">
        <v>52</v>
      </c>
      <c r="E2586">
        <v>164</v>
      </c>
      <c r="F2586">
        <v>1722</v>
      </c>
      <c r="G2586" s="3">
        <f t="shared" si="120"/>
        <v>78</v>
      </c>
      <c r="H2586" s="4">
        <f t="shared" si="121"/>
        <v>4.5296167247386721E-2</v>
      </c>
      <c r="I2586" s="1">
        <f t="shared" si="122"/>
        <v>6</v>
      </c>
    </row>
    <row r="2587" spans="1:9" hidden="1" x14ac:dyDescent="0.2">
      <c r="A2587" s="6">
        <v>43928.708333333336</v>
      </c>
      <c r="B2587" s="1" t="s">
        <v>16</v>
      </c>
      <c r="C2587">
        <v>325</v>
      </c>
      <c r="D2587">
        <v>64</v>
      </c>
      <c r="E2587">
        <v>174</v>
      </c>
      <c r="F2587">
        <v>1811</v>
      </c>
      <c r="G2587" s="3">
        <f t="shared" si="120"/>
        <v>89</v>
      </c>
      <c r="H2587" s="4">
        <f t="shared" si="121"/>
        <v>4.9144119271120945E-2</v>
      </c>
      <c r="I2587" s="1">
        <f t="shared" si="122"/>
        <v>10</v>
      </c>
    </row>
    <row r="2588" spans="1:9" hidden="1" x14ac:dyDescent="0.2">
      <c r="A2588" s="6">
        <v>43929.708333333336</v>
      </c>
      <c r="B2588" s="1" t="s">
        <v>16</v>
      </c>
      <c r="C2588">
        <v>268</v>
      </c>
      <c r="D2588">
        <v>65</v>
      </c>
      <c r="E2588">
        <v>183</v>
      </c>
      <c r="F2588">
        <v>1835</v>
      </c>
      <c r="G2588" s="3">
        <f t="shared" si="120"/>
        <v>24</v>
      </c>
      <c r="H2588" s="4">
        <f t="shared" si="121"/>
        <v>1.3079019073569453E-2</v>
      </c>
      <c r="I2588" s="1">
        <f t="shared" si="122"/>
        <v>9</v>
      </c>
    </row>
    <row r="2589" spans="1:9" hidden="1" x14ac:dyDescent="0.2">
      <c r="A2589" s="6">
        <v>43930.708333333336</v>
      </c>
      <c r="B2589" s="1" t="s">
        <v>16</v>
      </c>
      <c r="C2589">
        <v>263</v>
      </c>
      <c r="D2589">
        <v>64</v>
      </c>
      <c r="E2589">
        <v>187</v>
      </c>
      <c r="F2589">
        <v>1903</v>
      </c>
      <c r="G2589" s="3">
        <f t="shared" si="120"/>
        <v>68</v>
      </c>
      <c r="H2589" s="4">
        <f t="shared" si="121"/>
        <v>3.5733053074093579E-2</v>
      </c>
      <c r="I2589" s="1">
        <f t="shared" si="122"/>
        <v>4</v>
      </c>
    </row>
    <row r="2590" spans="1:9" hidden="1" x14ac:dyDescent="0.2">
      <c r="A2590" s="6">
        <v>43931.708333333336</v>
      </c>
      <c r="B2590" s="1" t="s">
        <v>16</v>
      </c>
      <c r="C2590">
        <v>258</v>
      </c>
      <c r="D2590">
        <v>58</v>
      </c>
      <c r="E2590">
        <v>191</v>
      </c>
      <c r="F2590">
        <v>1955</v>
      </c>
      <c r="G2590" s="3">
        <f t="shared" si="120"/>
        <v>52</v>
      </c>
      <c r="H2590" s="4">
        <f t="shared" si="121"/>
        <v>2.6598465473145816E-2</v>
      </c>
      <c r="I2590" s="1">
        <f t="shared" si="122"/>
        <v>4</v>
      </c>
    </row>
    <row r="2591" spans="1:9" hidden="1" x14ac:dyDescent="0.2">
      <c r="A2591" s="6">
        <v>43932.708333333336</v>
      </c>
      <c r="B2591" s="1" t="s">
        <v>16</v>
      </c>
      <c r="C2591">
        <v>246</v>
      </c>
      <c r="D2591">
        <v>56</v>
      </c>
      <c r="E2591">
        <v>200</v>
      </c>
      <c r="F2591">
        <v>1957</v>
      </c>
      <c r="G2591" s="3">
        <f t="shared" si="120"/>
        <v>2</v>
      </c>
      <c r="H2591" s="4">
        <f t="shared" si="121"/>
        <v>1.0219724067450642E-3</v>
      </c>
      <c r="I2591" s="1">
        <f t="shared" si="122"/>
        <v>9</v>
      </c>
    </row>
    <row r="2592" spans="1:9" hidden="1" x14ac:dyDescent="0.2">
      <c r="A2592" s="6">
        <v>43933.708333333336</v>
      </c>
      <c r="B2592" s="1" t="s">
        <v>16</v>
      </c>
      <c r="C2592">
        <v>183</v>
      </c>
      <c r="D2592">
        <v>45</v>
      </c>
      <c r="E2592">
        <v>205</v>
      </c>
      <c r="F2592">
        <v>2098</v>
      </c>
      <c r="G2592" s="3">
        <f t="shared" si="120"/>
        <v>141</v>
      </c>
      <c r="H2592" s="4">
        <f t="shared" si="121"/>
        <v>6.7206863679694973E-2</v>
      </c>
      <c r="I2592" s="1">
        <f t="shared" si="122"/>
        <v>5</v>
      </c>
    </row>
    <row r="2593" spans="1:9" hidden="1" x14ac:dyDescent="0.2">
      <c r="A2593" s="6">
        <v>43934.708333333336</v>
      </c>
      <c r="B2593" s="1" t="s">
        <v>16</v>
      </c>
      <c r="C2593">
        <v>190</v>
      </c>
      <c r="D2593">
        <v>41</v>
      </c>
      <c r="E2593">
        <v>212</v>
      </c>
      <c r="F2593">
        <v>2149</v>
      </c>
      <c r="G2593" s="3">
        <f t="shared" si="120"/>
        <v>51</v>
      </c>
      <c r="H2593" s="4">
        <f t="shared" si="121"/>
        <v>2.3731968357375566E-2</v>
      </c>
      <c r="I2593" s="1">
        <f t="shared" si="122"/>
        <v>7</v>
      </c>
    </row>
    <row r="2594" spans="1:9" hidden="1" x14ac:dyDescent="0.2">
      <c r="A2594" s="6">
        <v>43935.708333333336</v>
      </c>
      <c r="B2594" s="1" t="s">
        <v>16</v>
      </c>
      <c r="C2594">
        <v>177</v>
      </c>
      <c r="D2594">
        <v>39</v>
      </c>
      <c r="E2594">
        <v>214</v>
      </c>
      <c r="F2594">
        <v>2184</v>
      </c>
      <c r="G2594" s="3">
        <f t="shared" si="120"/>
        <v>35</v>
      </c>
      <c r="H2594" s="4">
        <f t="shared" si="121"/>
        <v>1.602564102564108E-2</v>
      </c>
      <c r="I2594" s="1">
        <f t="shared" si="122"/>
        <v>2</v>
      </c>
    </row>
    <row r="2595" spans="1:9" hidden="1" x14ac:dyDescent="0.2">
      <c r="A2595" s="6">
        <v>43936.708333333336</v>
      </c>
      <c r="B2595" s="1" t="s">
        <v>16</v>
      </c>
      <c r="C2595">
        <v>166</v>
      </c>
      <c r="D2595">
        <v>32</v>
      </c>
      <c r="E2595">
        <v>223</v>
      </c>
      <c r="F2595">
        <v>2224</v>
      </c>
      <c r="G2595" s="3">
        <f t="shared" si="120"/>
        <v>40</v>
      </c>
      <c r="H2595" s="4">
        <f t="shared" si="121"/>
        <v>1.7985611510791366E-2</v>
      </c>
      <c r="I2595" s="1">
        <f t="shared" si="122"/>
        <v>9</v>
      </c>
    </row>
    <row r="2596" spans="1:9" hidden="1" x14ac:dyDescent="0.2">
      <c r="A2596" s="6">
        <v>43937.708333333336</v>
      </c>
      <c r="B2596" s="1" t="s">
        <v>16</v>
      </c>
      <c r="C2596">
        <v>180</v>
      </c>
      <c r="D2596">
        <v>34</v>
      </c>
      <c r="E2596">
        <v>225</v>
      </c>
      <c r="F2596">
        <v>2267</v>
      </c>
      <c r="G2596" s="3">
        <f t="shared" si="120"/>
        <v>43</v>
      </c>
      <c r="H2596" s="4">
        <f t="shared" si="121"/>
        <v>1.8967798853109841E-2</v>
      </c>
      <c r="I2596" s="1">
        <f t="shared" si="122"/>
        <v>2</v>
      </c>
    </row>
    <row r="2597" spans="1:9" hidden="1" x14ac:dyDescent="0.2">
      <c r="A2597" s="6">
        <v>43938.708333333336</v>
      </c>
      <c r="B2597" s="1" t="s">
        <v>16</v>
      </c>
      <c r="C2597">
        <v>181</v>
      </c>
      <c r="D2597">
        <v>32</v>
      </c>
      <c r="E2597">
        <v>234</v>
      </c>
      <c r="F2597">
        <v>2296</v>
      </c>
      <c r="G2597" s="3">
        <f t="shared" si="120"/>
        <v>29</v>
      </c>
      <c r="H2597" s="4">
        <f t="shared" si="121"/>
        <v>1.2630662020905903E-2</v>
      </c>
      <c r="I2597" s="1">
        <f t="shared" si="122"/>
        <v>9</v>
      </c>
    </row>
    <row r="2598" spans="1:9" hidden="1" x14ac:dyDescent="0.2">
      <c r="A2598" s="6">
        <v>43939.708333333336</v>
      </c>
      <c r="B2598" s="1" t="s">
        <v>16</v>
      </c>
      <c r="C2598">
        <v>179</v>
      </c>
      <c r="D2598">
        <v>28</v>
      </c>
      <c r="E2598">
        <v>239</v>
      </c>
      <c r="F2598">
        <v>2325</v>
      </c>
      <c r="G2598" s="3">
        <f t="shared" si="120"/>
        <v>29</v>
      </c>
      <c r="H2598" s="4">
        <f t="shared" si="121"/>
        <v>1.2473118279569873E-2</v>
      </c>
      <c r="I2598" s="1">
        <f t="shared" si="122"/>
        <v>5</v>
      </c>
    </row>
    <row r="2599" spans="1:9" hidden="1" x14ac:dyDescent="0.2">
      <c r="A2599" s="6">
        <v>43940.708333333336</v>
      </c>
      <c r="B2599" s="1" t="s">
        <v>16</v>
      </c>
      <c r="C2599">
        <v>162</v>
      </c>
      <c r="D2599">
        <v>23</v>
      </c>
      <c r="E2599">
        <v>245</v>
      </c>
      <c r="F2599">
        <v>2380</v>
      </c>
      <c r="G2599" s="3">
        <f t="shared" si="120"/>
        <v>55</v>
      </c>
      <c r="H2599" s="4">
        <f t="shared" si="121"/>
        <v>2.3109243697479021E-2</v>
      </c>
      <c r="I2599" s="1">
        <f t="shared" si="122"/>
        <v>6</v>
      </c>
    </row>
    <row r="2600" spans="1:9" hidden="1" x14ac:dyDescent="0.2">
      <c r="A2600" s="6">
        <v>43941.708333333336</v>
      </c>
      <c r="B2600" s="1" t="s">
        <v>16</v>
      </c>
      <c r="C2600">
        <v>160</v>
      </c>
      <c r="D2600">
        <v>19</v>
      </c>
      <c r="E2600">
        <v>249</v>
      </c>
      <c r="F2600">
        <v>2394</v>
      </c>
      <c r="G2600" s="3">
        <f t="shared" si="120"/>
        <v>14</v>
      </c>
      <c r="H2600" s="4">
        <f t="shared" si="121"/>
        <v>5.8479532163743242E-3</v>
      </c>
      <c r="I2600" s="1">
        <f t="shared" si="122"/>
        <v>4</v>
      </c>
    </row>
    <row r="2601" spans="1:9" hidden="1" x14ac:dyDescent="0.2">
      <c r="A2601" s="6">
        <v>43942.708333333336</v>
      </c>
      <c r="B2601" s="1" t="s">
        <v>16</v>
      </c>
      <c r="C2601">
        <v>159</v>
      </c>
      <c r="D2601">
        <v>20</v>
      </c>
      <c r="E2601">
        <v>251</v>
      </c>
      <c r="F2601">
        <v>2410</v>
      </c>
      <c r="G2601" s="3">
        <f t="shared" si="120"/>
        <v>16</v>
      </c>
      <c r="H2601" s="4">
        <f t="shared" si="121"/>
        <v>6.6390041493775698E-3</v>
      </c>
      <c r="I2601" s="1">
        <f t="shared" si="122"/>
        <v>2</v>
      </c>
    </row>
    <row r="2602" spans="1:9" hidden="1" x14ac:dyDescent="0.2">
      <c r="A2602" s="6">
        <v>43943.708333333336</v>
      </c>
      <c r="B2602" s="1" t="s">
        <v>16</v>
      </c>
      <c r="C2602">
        <v>157</v>
      </c>
      <c r="D2602">
        <v>19</v>
      </c>
      <c r="E2602">
        <v>256</v>
      </c>
      <c r="F2602">
        <v>2416</v>
      </c>
      <c r="G2602" s="3">
        <f t="shared" si="120"/>
        <v>6</v>
      </c>
      <c r="H2602" s="4">
        <f t="shared" si="121"/>
        <v>2.483443708609312E-3</v>
      </c>
      <c r="I2602" s="1">
        <f t="shared" si="122"/>
        <v>5</v>
      </c>
    </row>
    <row r="2603" spans="1:9" hidden="1" x14ac:dyDescent="0.2">
      <c r="A2603" s="6">
        <v>43944.708333333336</v>
      </c>
      <c r="B2603" s="1" t="s">
        <v>16</v>
      </c>
      <c r="C2603">
        <v>141</v>
      </c>
      <c r="D2603">
        <v>17</v>
      </c>
      <c r="E2603">
        <v>261</v>
      </c>
      <c r="F2603">
        <v>2435</v>
      </c>
      <c r="G2603" s="3">
        <f t="shared" si="120"/>
        <v>19</v>
      </c>
      <c r="H2603" s="4">
        <f t="shared" si="121"/>
        <v>7.8028747433265266E-3</v>
      </c>
      <c r="I2603" s="1">
        <f t="shared" si="122"/>
        <v>5</v>
      </c>
    </row>
    <row r="2604" spans="1:9" hidden="1" x14ac:dyDescent="0.2">
      <c r="A2604" s="6">
        <v>43945.708333333336</v>
      </c>
      <c r="B2604" s="1" t="s">
        <v>16</v>
      </c>
      <c r="C2604">
        <v>148</v>
      </c>
      <c r="D2604">
        <v>16</v>
      </c>
      <c r="E2604">
        <v>263</v>
      </c>
      <c r="F2604">
        <v>2456</v>
      </c>
      <c r="G2604" s="3">
        <f t="shared" si="120"/>
        <v>21</v>
      </c>
      <c r="H2604" s="4">
        <f t="shared" si="121"/>
        <v>8.5504885993484825E-3</v>
      </c>
      <c r="I2604" s="1">
        <f t="shared" si="122"/>
        <v>2</v>
      </c>
    </row>
    <row r="2605" spans="1:9" hidden="1" x14ac:dyDescent="0.2">
      <c r="A2605" s="6">
        <v>43946.708333333336</v>
      </c>
      <c r="B2605" s="1" t="s">
        <v>16</v>
      </c>
      <c r="C2605">
        <v>141</v>
      </c>
      <c r="D2605">
        <v>14</v>
      </c>
      <c r="E2605">
        <v>265</v>
      </c>
      <c r="F2605">
        <v>2476</v>
      </c>
      <c r="G2605" s="3">
        <f t="shared" si="120"/>
        <v>20</v>
      </c>
      <c r="H2605" s="4">
        <f t="shared" si="121"/>
        <v>8.0775444264943319E-3</v>
      </c>
      <c r="I2605" s="1">
        <f t="shared" si="122"/>
        <v>2</v>
      </c>
    </row>
    <row r="2606" spans="1:9" hidden="1" x14ac:dyDescent="0.2">
      <c r="A2606" s="6">
        <v>43947.708333333336</v>
      </c>
      <c r="B2606" s="1" t="s">
        <v>16</v>
      </c>
      <c r="C2606">
        <v>138</v>
      </c>
      <c r="D2606">
        <v>14</v>
      </c>
      <c r="E2606">
        <v>269</v>
      </c>
      <c r="F2606">
        <v>2481</v>
      </c>
      <c r="G2606" s="3">
        <f t="shared" si="120"/>
        <v>5</v>
      </c>
      <c r="H2606" s="4">
        <f t="shared" si="121"/>
        <v>2.0153164046755601E-3</v>
      </c>
      <c r="I2606" s="1">
        <f t="shared" si="122"/>
        <v>4</v>
      </c>
    </row>
    <row r="2607" spans="1:9" hidden="1" x14ac:dyDescent="0.2">
      <c r="A2607" s="6">
        <v>43948.708333333336</v>
      </c>
      <c r="B2607" s="1" t="s">
        <v>16</v>
      </c>
      <c r="C2607">
        <v>150</v>
      </c>
      <c r="D2607">
        <v>16</v>
      </c>
      <c r="E2607">
        <v>270</v>
      </c>
      <c r="F2607">
        <v>2496</v>
      </c>
      <c r="G2607" s="3">
        <f t="shared" si="120"/>
        <v>15</v>
      </c>
      <c r="H2607" s="4">
        <f t="shared" si="121"/>
        <v>6.0096153846154188E-3</v>
      </c>
      <c r="I2607" s="1">
        <f t="shared" si="122"/>
        <v>1</v>
      </c>
    </row>
    <row r="2608" spans="1:9" hidden="1" x14ac:dyDescent="0.2">
      <c r="A2608" s="6">
        <v>43949.708333333336</v>
      </c>
      <c r="B2608" s="1" t="s">
        <v>16</v>
      </c>
      <c r="C2608">
        <v>136</v>
      </c>
      <c r="D2608">
        <v>15</v>
      </c>
      <c r="E2608">
        <v>272</v>
      </c>
      <c r="F2608">
        <v>2498</v>
      </c>
      <c r="G2608" s="3">
        <f t="shared" si="120"/>
        <v>2</v>
      </c>
      <c r="H2608" s="4">
        <f t="shared" si="121"/>
        <v>8.0064051240991141E-4</v>
      </c>
      <c r="I2608" s="1">
        <f t="shared" si="122"/>
        <v>2</v>
      </c>
    </row>
    <row r="2609" spans="1:9" hidden="1" x14ac:dyDescent="0.2">
      <c r="A2609" s="6">
        <v>43950.708333333336</v>
      </c>
      <c r="B2609" s="1" t="s">
        <v>16</v>
      </c>
      <c r="C2609">
        <v>119</v>
      </c>
      <c r="D2609">
        <v>14</v>
      </c>
      <c r="E2609">
        <v>274</v>
      </c>
      <c r="F2609">
        <v>2507</v>
      </c>
      <c r="G2609" s="3">
        <f t="shared" si="120"/>
        <v>9</v>
      </c>
      <c r="H2609" s="4">
        <f t="shared" si="121"/>
        <v>3.5899481451934223E-3</v>
      </c>
      <c r="I2609" s="1">
        <f t="shared" si="122"/>
        <v>2</v>
      </c>
    </row>
    <row r="2610" spans="1:9" hidden="1" x14ac:dyDescent="0.2">
      <c r="A2610" s="6">
        <v>43951.708333333336</v>
      </c>
      <c r="B2610" s="1" t="s">
        <v>16</v>
      </c>
      <c r="C2610">
        <v>126</v>
      </c>
      <c r="D2610">
        <v>13</v>
      </c>
      <c r="E2610">
        <v>275</v>
      </c>
      <c r="F2610">
        <v>2518</v>
      </c>
      <c r="G2610" s="3">
        <f t="shared" si="120"/>
        <v>11</v>
      </c>
      <c r="H2610" s="4">
        <f t="shared" si="121"/>
        <v>4.3685464654488193E-3</v>
      </c>
      <c r="I2610" s="1">
        <f t="shared" si="122"/>
        <v>1</v>
      </c>
    </row>
    <row r="2611" spans="1:9" hidden="1" x14ac:dyDescent="0.2">
      <c r="A2611" s="6">
        <v>43952.708333333336</v>
      </c>
      <c r="B2611" s="1" t="s">
        <v>16</v>
      </c>
      <c r="C2611">
        <v>112</v>
      </c>
      <c r="D2611">
        <v>11</v>
      </c>
      <c r="E2611">
        <v>278</v>
      </c>
      <c r="F2611">
        <v>2528</v>
      </c>
      <c r="G2611" s="3">
        <f t="shared" si="120"/>
        <v>10</v>
      </c>
      <c r="H2611" s="4">
        <f t="shared" si="121"/>
        <v>3.9556962025316666E-3</v>
      </c>
      <c r="I2611" s="1">
        <f t="shared" si="122"/>
        <v>3</v>
      </c>
    </row>
    <row r="2612" spans="1:9" hidden="1" x14ac:dyDescent="0.2">
      <c r="A2612" s="6">
        <v>43953.708333333336</v>
      </c>
      <c r="B2612" s="1" t="s">
        <v>16</v>
      </c>
      <c r="C2612">
        <v>113</v>
      </c>
      <c r="D2612">
        <v>10</v>
      </c>
      <c r="E2612">
        <v>279</v>
      </c>
      <c r="F2612">
        <v>2535</v>
      </c>
      <c r="G2612" s="3">
        <f t="shared" si="120"/>
        <v>7</v>
      </c>
      <c r="H2612" s="4">
        <f t="shared" si="121"/>
        <v>2.7613412228796319E-3</v>
      </c>
      <c r="I2612" s="1">
        <f t="shared" si="122"/>
        <v>1</v>
      </c>
    </row>
    <row r="2613" spans="1:9" hidden="1" x14ac:dyDescent="0.2">
      <c r="A2613" s="6">
        <v>43954.708333333336</v>
      </c>
      <c r="B2613" s="1" t="s">
        <v>16</v>
      </c>
      <c r="C2613">
        <v>109</v>
      </c>
      <c r="D2613">
        <v>11</v>
      </c>
      <c r="E2613">
        <v>281</v>
      </c>
      <c r="F2613">
        <v>2536</v>
      </c>
      <c r="G2613" s="3">
        <f t="shared" si="120"/>
        <v>1</v>
      </c>
      <c r="H2613" s="4">
        <f t="shared" si="121"/>
        <v>3.9432176656151174E-4</v>
      </c>
      <c r="I2613" s="1">
        <f t="shared" si="122"/>
        <v>2</v>
      </c>
    </row>
    <row r="2614" spans="1:9" hidden="1" x14ac:dyDescent="0.2">
      <c r="A2614" s="6">
        <v>43955.708333333336</v>
      </c>
      <c r="B2614" s="1" t="s">
        <v>16</v>
      </c>
      <c r="C2614">
        <v>103</v>
      </c>
      <c r="D2614">
        <v>10</v>
      </c>
      <c r="E2614">
        <v>284</v>
      </c>
      <c r="F2614">
        <v>2541</v>
      </c>
      <c r="G2614" s="3">
        <f t="shared" si="120"/>
        <v>5</v>
      </c>
      <c r="H2614" s="4">
        <f t="shared" si="121"/>
        <v>1.9677292404565172E-3</v>
      </c>
      <c r="I2614" s="1">
        <f t="shared" si="122"/>
        <v>3</v>
      </c>
    </row>
    <row r="2615" spans="1:9" hidden="1" x14ac:dyDescent="0.2">
      <c r="A2615" s="6">
        <v>43956.708333333336</v>
      </c>
      <c r="B2615" s="1" t="s">
        <v>16</v>
      </c>
      <c r="C2615">
        <v>99</v>
      </c>
      <c r="D2615">
        <v>11</v>
      </c>
      <c r="E2615">
        <v>286</v>
      </c>
      <c r="F2615">
        <v>2542</v>
      </c>
      <c r="G2615" s="3">
        <f t="shared" si="120"/>
        <v>1</v>
      </c>
      <c r="H2615" s="4">
        <f t="shared" si="121"/>
        <v>3.9339103068447567E-4</v>
      </c>
      <c r="I2615" s="1">
        <f t="shared" si="122"/>
        <v>2</v>
      </c>
    </row>
    <row r="2616" spans="1:9" hidden="1" x14ac:dyDescent="0.2">
      <c r="A2616" s="6">
        <v>43957.708333333336</v>
      </c>
      <c r="B2616" s="1" t="s">
        <v>16</v>
      </c>
      <c r="C2616">
        <v>99</v>
      </c>
      <c r="D2616">
        <v>11</v>
      </c>
      <c r="E2616">
        <v>286</v>
      </c>
      <c r="F2616">
        <v>2543</v>
      </c>
      <c r="G2616" s="3">
        <f t="shared" si="120"/>
        <v>1</v>
      </c>
      <c r="H2616" s="4">
        <f t="shared" si="121"/>
        <v>3.9323633503740574E-4</v>
      </c>
      <c r="I2616" s="1">
        <f t="shared" si="122"/>
        <v>0</v>
      </c>
    </row>
    <row r="2617" spans="1:9" hidden="1" x14ac:dyDescent="0.2">
      <c r="A2617" s="6">
        <v>43958.708333333336</v>
      </c>
      <c r="B2617" s="1" t="s">
        <v>16</v>
      </c>
      <c r="C2617">
        <v>87</v>
      </c>
      <c r="D2617">
        <v>11</v>
      </c>
      <c r="E2617">
        <v>286</v>
      </c>
      <c r="F2617">
        <v>2552</v>
      </c>
      <c r="G2617" s="3">
        <f t="shared" si="120"/>
        <v>9</v>
      </c>
      <c r="H2617" s="4">
        <f t="shared" si="121"/>
        <v>3.5266457680250829E-3</v>
      </c>
      <c r="I2617" s="1">
        <f t="shared" si="122"/>
        <v>0</v>
      </c>
    </row>
    <row r="2618" spans="1:9" hidden="1" x14ac:dyDescent="0.2">
      <c r="A2618" s="6">
        <v>43959.708333333336</v>
      </c>
      <c r="B2618" s="1" t="s">
        <v>16</v>
      </c>
      <c r="C2618">
        <v>78</v>
      </c>
      <c r="D2618">
        <v>9</v>
      </c>
      <c r="E2618">
        <v>289</v>
      </c>
      <c r="F2618">
        <v>2558</v>
      </c>
      <c r="G2618" s="3">
        <f t="shared" si="120"/>
        <v>6</v>
      </c>
      <c r="H2618" s="4">
        <f t="shared" si="121"/>
        <v>2.3455824863174435E-3</v>
      </c>
      <c r="I2618" s="1">
        <f t="shared" si="122"/>
        <v>3</v>
      </c>
    </row>
    <row r="2619" spans="1:9" hidden="1" x14ac:dyDescent="0.2">
      <c r="A2619" s="6">
        <v>43960.708333333336</v>
      </c>
      <c r="B2619" s="1" t="s">
        <v>16</v>
      </c>
      <c r="C2619">
        <v>55</v>
      </c>
      <c r="D2619">
        <v>9</v>
      </c>
      <c r="E2619">
        <v>290</v>
      </c>
      <c r="F2619">
        <v>2567</v>
      </c>
      <c r="G2619" s="3">
        <f t="shared" si="120"/>
        <v>9</v>
      </c>
      <c r="H2619" s="4">
        <f t="shared" si="121"/>
        <v>3.5060381768601268E-3</v>
      </c>
      <c r="I2619" s="1">
        <f t="shared" si="122"/>
        <v>1</v>
      </c>
    </row>
    <row r="2620" spans="1:9" hidden="1" x14ac:dyDescent="0.2">
      <c r="A2620" s="6">
        <v>43961.708333333336</v>
      </c>
      <c r="B2620" s="1" t="s">
        <v>16</v>
      </c>
      <c r="C2620">
        <v>61</v>
      </c>
      <c r="D2620">
        <v>8</v>
      </c>
      <c r="E2620">
        <v>290</v>
      </c>
      <c r="F2620">
        <v>2569</v>
      </c>
      <c r="G2620" s="3">
        <f t="shared" si="120"/>
        <v>2</v>
      </c>
      <c r="H2620" s="4">
        <f t="shared" si="121"/>
        <v>7.7851304009346478E-4</v>
      </c>
      <c r="I2620" s="1">
        <f t="shared" si="122"/>
        <v>0</v>
      </c>
    </row>
    <row r="2621" spans="1:9" hidden="1" x14ac:dyDescent="0.2">
      <c r="A2621" s="6">
        <v>43962.708333333336</v>
      </c>
      <c r="B2621" s="1" t="s">
        <v>16</v>
      </c>
      <c r="C2621">
        <v>63</v>
      </c>
      <c r="D2621">
        <v>7</v>
      </c>
      <c r="E2621">
        <v>290</v>
      </c>
      <c r="F2621">
        <v>2572</v>
      </c>
      <c r="G2621" s="3">
        <f t="shared" si="120"/>
        <v>3</v>
      </c>
      <c r="H2621" s="4">
        <f t="shared" si="121"/>
        <v>1.166407465007735E-3</v>
      </c>
      <c r="I2621" s="1">
        <f t="shared" si="122"/>
        <v>0</v>
      </c>
    </row>
    <row r="2622" spans="1:9" hidden="1" x14ac:dyDescent="0.2">
      <c r="A2622" s="6">
        <v>43963.708333333336</v>
      </c>
      <c r="B2622" s="1" t="s">
        <v>16</v>
      </c>
      <c r="C2622">
        <v>56</v>
      </c>
      <c r="D2622">
        <v>7</v>
      </c>
      <c r="E2622">
        <v>290</v>
      </c>
      <c r="F2622">
        <v>2572</v>
      </c>
      <c r="G2622" s="3">
        <f t="shared" si="120"/>
        <v>0</v>
      </c>
      <c r="H2622" s="4">
        <f t="shared" si="121"/>
        <v>0</v>
      </c>
      <c r="I2622" s="1">
        <f t="shared" si="122"/>
        <v>0</v>
      </c>
    </row>
    <row r="2623" spans="1:9" hidden="1" x14ac:dyDescent="0.2">
      <c r="A2623" s="6">
        <v>43964.708333333336</v>
      </c>
      <c r="B2623" s="1" t="s">
        <v>16</v>
      </c>
      <c r="C2623">
        <v>56</v>
      </c>
      <c r="D2623">
        <v>7</v>
      </c>
      <c r="E2623">
        <v>290</v>
      </c>
      <c r="F2623">
        <v>2575</v>
      </c>
      <c r="G2623" s="3">
        <f t="shared" si="120"/>
        <v>3</v>
      </c>
      <c r="H2623" s="4">
        <f t="shared" si="121"/>
        <v>1.1650485436893732E-3</v>
      </c>
      <c r="I2623" s="1">
        <f t="shared" si="122"/>
        <v>0</v>
      </c>
    </row>
    <row r="2624" spans="1:9" hidden="1" x14ac:dyDescent="0.2">
      <c r="A2624" s="6">
        <v>43965.708333333336</v>
      </c>
      <c r="B2624" s="1" t="s">
        <v>16</v>
      </c>
      <c r="C2624">
        <v>54</v>
      </c>
      <c r="D2624">
        <v>7</v>
      </c>
      <c r="E2624">
        <v>290</v>
      </c>
      <c r="F2624">
        <v>2578</v>
      </c>
      <c r="G2624" s="3">
        <f t="shared" si="120"/>
        <v>3</v>
      </c>
      <c r="H2624" s="4">
        <f t="shared" si="121"/>
        <v>1.1636927851047529E-3</v>
      </c>
      <c r="I2624" s="1">
        <f t="shared" si="122"/>
        <v>0</v>
      </c>
    </row>
    <row r="2625" spans="1:9" hidden="1" x14ac:dyDescent="0.2">
      <c r="A2625" s="6">
        <v>43966.708333333336</v>
      </c>
      <c r="B2625" s="1" t="s">
        <v>16</v>
      </c>
      <c r="C2625">
        <v>50</v>
      </c>
      <c r="D2625">
        <v>5</v>
      </c>
      <c r="E2625">
        <v>290</v>
      </c>
      <c r="F2625">
        <v>2578</v>
      </c>
      <c r="G2625" s="3">
        <f t="shared" si="120"/>
        <v>0</v>
      </c>
      <c r="H2625" s="4">
        <f t="shared" si="121"/>
        <v>0</v>
      </c>
      <c r="I2625" s="1">
        <f t="shared" si="122"/>
        <v>0</v>
      </c>
    </row>
    <row r="2626" spans="1:9" hidden="1" x14ac:dyDescent="0.2">
      <c r="A2626" s="6">
        <v>43967.708333333336</v>
      </c>
      <c r="B2626" s="1" t="s">
        <v>16</v>
      </c>
      <c r="C2626">
        <v>48</v>
      </c>
      <c r="D2626">
        <v>5</v>
      </c>
      <c r="E2626">
        <v>290</v>
      </c>
      <c r="F2626">
        <v>2578</v>
      </c>
      <c r="G2626" s="3">
        <f t="shared" si="120"/>
        <v>0</v>
      </c>
      <c r="H2626" s="4">
        <f t="shared" si="121"/>
        <v>0</v>
      </c>
      <c r="I2626" s="1">
        <f t="shared" si="122"/>
        <v>0</v>
      </c>
    </row>
    <row r="2627" spans="1:9" hidden="1" x14ac:dyDescent="0.2">
      <c r="A2627" s="6">
        <v>43968.708333333336</v>
      </c>
      <c r="B2627" s="1" t="s">
        <v>16</v>
      </c>
      <c r="C2627">
        <v>50</v>
      </c>
      <c r="D2627">
        <v>5</v>
      </c>
      <c r="E2627">
        <v>290</v>
      </c>
      <c r="F2627">
        <v>2581</v>
      </c>
      <c r="G2627" s="3">
        <f t="shared" ref="G2627:G2690" si="123">IF(AND(F2627&gt;0,AND(B2627=B2626,F2627&gt;0)),F2627-F2626,0)</f>
        <v>3</v>
      </c>
      <c r="H2627" s="4">
        <f t="shared" ref="H2627:H2690" si="124">IF(AND(F2626&gt;0,AND(B2627=B2626,F2626&gt;0)),1-(F2626/F2627),0)</f>
        <v>1.1623401782254739E-3</v>
      </c>
      <c r="I2627" s="1">
        <f t="shared" ref="I2627:I2690" si="125">IF(AND(E2627&gt;0,AND(B2627=B2626,E2627&gt;0)),E2627-E2626,0)</f>
        <v>0</v>
      </c>
    </row>
    <row r="2628" spans="1:9" hidden="1" x14ac:dyDescent="0.2">
      <c r="A2628" s="6">
        <v>43969.708333333336</v>
      </c>
      <c r="B2628" s="1" t="s">
        <v>16</v>
      </c>
      <c r="C2628">
        <v>52</v>
      </c>
      <c r="D2628">
        <v>6</v>
      </c>
      <c r="E2628">
        <v>291</v>
      </c>
      <c r="F2628">
        <v>2582</v>
      </c>
      <c r="G2628" s="3">
        <f t="shared" si="123"/>
        <v>1</v>
      </c>
      <c r="H2628" s="4">
        <f t="shared" si="124"/>
        <v>3.8729666924863793E-4</v>
      </c>
      <c r="I2628" s="1">
        <f t="shared" si="125"/>
        <v>1</v>
      </c>
    </row>
    <row r="2629" spans="1:9" hidden="1" x14ac:dyDescent="0.2">
      <c r="A2629" s="6">
        <v>43970.708333333336</v>
      </c>
      <c r="B2629" s="1" t="s">
        <v>16</v>
      </c>
      <c r="C2629">
        <v>46</v>
      </c>
      <c r="D2629">
        <v>6</v>
      </c>
      <c r="E2629">
        <v>291</v>
      </c>
      <c r="F2629">
        <v>2587</v>
      </c>
      <c r="G2629" s="3">
        <f t="shared" si="123"/>
        <v>5</v>
      </c>
      <c r="H2629" s="4">
        <f t="shared" si="124"/>
        <v>1.9327406262079627E-3</v>
      </c>
      <c r="I2629" s="1">
        <f t="shared" si="125"/>
        <v>0</v>
      </c>
    </row>
    <row r="2630" spans="1:9" hidden="1" x14ac:dyDescent="0.2">
      <c r="A2630" s="6">
        <v>43971.708333333336</v>
      </c>
      <c r="B2630" s="1" t="s">
        <v>16</v>
      </c>
      <c r="C2630">
        <v>43</v>
      </c>
      <c r="D2630">
        <v>5</v>
      </c>
      <c r="E2630">
        <v>291</v>
      </c>
      <c r="F2630">
        <v>2587</v>
      </c>
      <c r="G2630" s="3">
        <f t="shared" si="123"/>
        <v>0</v>
      </c>
      <c r="H2630" s="4">
        <f t="shared" si="124"/>
        <v>0</v>
      </c>
      <c r="I2630" s="1">
        <f t="shared" si="125"/>
        <v>0</v>
      </c>
    </row>
    <row r="2631" spans="1:9" hidden="1" x14ac:dyDescent="0.2">
      <c r="A2631" s="6">
        <v>43972.708333333336</v>
      </c>
      <c r="B2631" s="1" t="s">
        <v>16</v>
      </c>
      <c r="C2631">
        <v>50</v>
      </c>
      <c r="D2631">
        <v>5</v>
      </c>
      <c r="E2631">
        <v>291</v>
      </c>
      <c r="F2631">
        <v>2587</v>
      </c>
      <c r="G2631" s="3">
        <f t="shared" si="123"/>
        <v>0</v>
      </c>
      <c r="H2631" s="4">
        <f t="shared" si="124"/>
        <v>0</v>
      </c>
      <c r="I2631" s="1">
        <f t="shared" si="125"/>
        <v>0</v>
      </c>
    </row>
    <row r="2632" spans="1:9" hidden="1" x14ac:dyDescent="0.2">
      <c r="A2632" s="6">
        <v>43973.708333333336</v>
      </c>
      <c r="B2632" s="1" t="s">
        <v>16</v>
      </c>
      <c r="C2632">
        <v>34</v>
      </c>
      <c r="D2632">
        <v>5</v>
      </c>
      <c r="E2632">
        <v>291</v>
      </c>
      <c r="F2632">
        <v>2590</v>
      </c>
      <c r="G2632" s="3">
        <f t="shared" si="123"/>
        <v>3</v>
      </c>
      <c r="H2632" s="4">
        <f t="shared" si="124"/>
        <v>1.1583011583011782E-3</v>
      </c>
      <c r="I2632" s="1">
        <f t="shared" si="125"/>
        <v>0</v>
      </c>
    </row>
    <row r="2633" spans="1:9" hidden="1" x14ac:dyDescent="0.2">
      <c r="A2633" s="6">
        <v>43974.708333333336</v>
      </c>
      <c r="B2633" s="1" t="s">
        <v>16</v>
      </c>
      <c r="C2633">
        <v>35</v>
      </c>
      <c r="D2633">
        <v>5</v>
      </c>
      <c r="E2633">
        <v>291</v>
      </c>
      <c r="F2633">
        <v>2590</v>
      </c>
      <c r="G2633" s="3">
        <f t="shared" si="123"/>
        <v>0</v>
      </c>
      <c r="H2633" s="4">
        <f t="shared" si="124"/>
        <v>0</v>
      </c>
      <c r="I2633" s="1">
        <f t="shared" si="125"/>
        <v>0</v>
      </c>
    </row>
    <row r="2634" spans="1:9" hidden="1" x14ac:dyDescent="0.2">
      <c r="A2634" s="6">
        <v>43975.708333333336</v>
      </c>
      <c r="B2634" s="1" t="s">
        <v>16</v>
      </c>
      <c r="C2634">
        <v>30</v>
      </c>
      <c r="D2634">
        <v>5</v>
      </c>
      <c r="E2634">
        <v>291</v>
      </c>
      <c r="F2634">
        <v>2593</v>
      </c>
      <c r="G2634" s="3">
        <f t="shared" si="123"/>
        <v>3</v>
      </c>
      <c r="H2634" s="4">
        <f t="shared" si="124"/>
        <v>1.1569610489780002E-3</v>
      </c>
      <c r="I2634" s="1">
        <f t="shared" si="125"/>
        <v>0</v>
      </c>
    </row>
    <row r="2635" spans="1:9" hidden="1" x14ac:dyDescent="0.2">
      <c r="A2635" s="6">
        <v>43976.708333333336</v>
      </c>
      <c r="B2635" s="1" t="s">
        <v>16</v>
      </c>
      <c r="C2635">
        <v>29</v>
      </c>
      <c r="D2635">
        <v>5</v>
      </c>
      <c r="E2635">
        <v>291</v>
      </c>
      <c r="F2635">
        <v>2593</v>
      </c>
      <c r="G2635" s="3">
        <f t="shared" si="123"/>
        <v>0</v>
      </c>
      <c r="H2635" s="4">
        <f t="shared" si="124"/>
        <v>0</v>
      </c>
      <c r="I2635" s="1">
        <f t="shared" si="125"/>
        <v>0</v>
      </c>
    </row>
    <row r="2636" spans="1:9" hidden="1" x14ac:dyDescent="0.2">
      <c r="A2636" s="6">
        <v>43977.708333333336</v>
      </c>
      <c r="B2636" s="1" t="s">
        <v>16</v>
      </c>
      <c r="C2636">
        <v>28</v>
      </c>
      <c r="D2636">
        <v>5</v>
      </c>
      <c r="E2636">
        <v>291</v>
      </c>
      <c r="F2636">
        <v>2593</v>
      </c>
      <c r="G2636" s="3">
        <f t="shared" si="123"/>
        <v>0</v>
      </c>
      <c r="H2636" s="4">
        <f t="shared" si="124"/>
        <v>0</v>
      </c>
      <c r="I2636" s="1">
        <f t="shared" si="125"/>
        <v>0</v>
      </c>
    </row>
    <row r="2637" spans="1:9" hidden="1" x14ac:dyDescent="0.2">
      <c r="A2637" s="6">
        <v>43978.708333333336</v>
      </c>
      <c r="B2637" s="1" t="s">
        <v>16</v>
      </c>
      <c r="C2637">
        <v>27</v>
      </c>
      <c r="D2637">
        <v>5</v>
      </c>
      <c r="E2637">
        <v>291</v>
      </c>
      <c r="F2637">
        <v>2593</v>
      </c>
      <c r="G2637" s="3">
        <f t="shared" si="123"/>
        <v>0</v>
      </c>
      <c r="H2637" s="4">
        <f t="shared" si="124"/>
        <v>0</v>
      </c>
      <c r="I2637" s="1">
        <f t="shared" si="125"/>
        <v>0</v>
      </c>
    </row>
    <row r="2638" spans="1:9" hidden="1" x14ac:dyDescent="0.2">
      <c r="A2638" s="6">
        <v>43979.708333333336</v>
      </c>
      <c r="B2638" s="1" t="s">
        <v>16</v>
      </c>
      <c r="C2638">
        <v>16</v>
      </c>
      <c r="D2638">
        <v>5</v>
      </c>
      <c r="E2638">
        <v>291</v>
      </c>
      <c r="F2638">
        <v>2595</v>
      </c>
      <c r="G2638" s="3">
        <f t="shared" si="123"/>
        <v>2</v>
      </c>
      <c r="H2638" s="4">
        <f t="shared" si="124"/>
        <v>7.7071290944119575E-4</v>
      </c>
      <c r="I2638" s="1">
        <f t="shared" si="125"/>
        <v>0</v>
      </c>
    </row>
    <row r="2639" spans="1:9" hidden="1" x14ac:dyDescent="0.2">
      <c r="A2639" s="6">
        <v>43980.708333333336</v>
      </c>
      <c r="B2639" s="1" t="s">
        <v>16</v>
      </c>
      <c r="C2639">
        <v>17</v>
      </c>
      <c r="D2639">
        <v>5</v>
      </c>
      <c r="E2639">
        <v>291</v>
      </c>
      <c r="F2639">
        <v>2595</v>
      </c>
      <c r="G2639" s="3">
        <f t="shared" si="123"/>
        <v>0</v>
      </c>
      <c r="H2639" s="4">
        <f t="shared" si="124"/>
        <v>0</v>
      </c>
      <c r="I2639" s="1">
        <f t="shared" si="125"/>
        <v>0</v>
      </c>
    </row>
    <row r="2640" spans="1:9" hidden="1" x14ac:dyDescent="0.2">
      <c r="A2640" s="6">
        <v>43981.708333333336</v>
      </c>
      <c r="B2640" s="1" t="s">
        <v>16</v>
      </c>
      <c r="C2640">
        <v>13</v>
      </c>
      <c r="D2640">
        <v>4</v>
      </c>
      <c r="E2640">
        <v>291</v>
      </c>
      <c r="F2640">
        <v>2596</v>
      </c>
      <c r="G2640" s="3">
        <f t="shared" si="123"/>
        <v>1</v>
      </c>
      <c r="H2640" s="4">
        <f t="shared" si="124"/>
        <v>3.8520801232666546E-4</v>
      </c>
      <c r="I2640" s="1">
        <f t="shared" si="125"/>
        <v>0</v>
      </c>
    </row>
    <row r="2641" spans="1:9" hidden="1" x14ac:dyDescent="0.2">
      <c r="A2641" s="6">
        <v>43982.708333333336</v>
      </c>
      <c r="B2641" s="1" t="s">
        <v>16</v>
      </c>
      <c r="C2641">
        <v>13</v>
      </c>
      <c r="D2641">
        <v>4</v>
      </c>
      <c r="E2641">
        <v>291</v>
      </c>
      <c r="F2641">
        <v>2597</v>
      </c>
      <c r="G2641" s="3">
        <f t="shared" si="123"/>
        <v>1</v>
      </c>
      <c r="H2641" s="4">
        <f t="shared" si="124"/>
        <v>3.8505968425106563E-4</v>
      </c>
      <c r="I2641" s="1">
        <f t="shared" si="125"/>
        <v>0</v>
      </c>
    </row>
    <row r="2642" spans="1:9" hidden="1" x14ac:dyDescent="0.2">
      <c r="A2642" s="6">
        <v>43983.708333333336</v>
      </c>
      <c r="B2642" s="1" t="s">
        <v>16</v>
      </c>
      <c r="C2642">
        <v>13</v>
      </c>
      <c r="D2642">
        <v>4</v>
      </c>
      <c r="E2642">
        <v>291</v>
      </c>
      <c r="F2642">
        <v>2598</v>
      </c>
      <c r="G2642" s="3">
        <f t="shared" si="123"/>
        <v>1</v>
      </c>
      <c r="H2642" s="4">
        <f t="shared" si="124"/>
        <v>3.8491147036179285E-4</v>
      </c>
      <c r="I2642" s="1">
        <f t="shared" si="125"/>
        <v>0</v>
      </c>
    </row>
    <row r="2643" spans="1:9" hidden="1" x14ac:dyDescent="0.2">
      <c r="A2643" s="6">
        <v>43984.708333333336</v>
      </c>
      <c r="B2643" s="1" t="s">
        <v>16</v>
      </c>
      <c r="C2643">
        <v>13</v>
      </c>
      <c r="D2643">
        <v>3</v>
      </c>
      <c r="E2643">
        <v>291</v>
      </c>
      <c r="F2643">
        <v>2598</v>
      </c>
      <c r="G2643" s="3">
        <f t="shared" si="123"/>
        <v>0</v>
      </c>
      <c r="H2643" s="4">
        <f t="shared" si="124"/>
        <v>0</v>
      </c>
      <c r="I2643" s="1">
        <f t="shared" si="125"/>
        <v>0</v>
      </c>
    </row>
    <row r="2644" spans="1:9" hidden="1" x14ac:dyDescent="0.2">
      <c r="A2644" s="6">
        <v>43985.708333333336</v>
      </c>
      <c r="B2644" s="1" t="s">
        <v>16</v>
      </c>
      <c r="C2644">
        <v>13</v>
      </c>
      <c r="D2644">
        <v>3</v>
      </c>
      <c r="E2644">
        <v>291</v>
      </c>
      <c r="F2644">
        <v>2598</v>
      </c>
      <c r="G2644" s="3">
        <f t="shared" si="123"/>
        <v>0</v>
      </c>
      <c r="H2644" s="4">
        <f t="shared" si="124"/>
        <v>0</v>
      </c>
      <c r="I2644" s="1">
        <f t="shared" si="125"/>
        <v>0</v>
      </c>
    </row>
    <row r="2645" spans="1:9" hidden="1" x14ac:dyDescent="0.2">
      <c r="A2645" s="6">
        <v>43986.708333333336</v>
      </c>
      <c r="B2645" s="1" t="s">
        <v>16</v>
      </c>
      <c r="C2645">
        <v>7</v>
      </c>
      <c r="D2645">
        <v>2</v>
      </c>
      <c r="E2645">
        <v>292</v>
      </c>
      <c r="F2645">
        <v>2598</v>
      </c>
      <c r="G2645" s="3">
        <f t="shared" si="123"/>
        <v>0</v>
      </c>
      <c r="H2645" s="4">
        <f t="shared" si="124"/>
        <v>0</v>
      </c>
      <c r="I2645" s="1">
        <f t="shared" si="125"/>
        <v>1</v>
      </c>
    </row>
    <row r="2646" spans="1:9" hidden="1" x14ac:dyDescent="0.2">
      <c r="A2646" s="6">
        <v>43987.708333333336</v>
      </c>
      <c r="B2646" s="1" t="s">
        <v>16</v>
      </c>
      <c r="C2646">
        <v>10</v>
      </c>
      <c r="D2646">
        <v>2</v>
      </c>
      <c r="E2646">
        <v>292</v>
      </c>
      <c r="F2646">
        <v>2599</v>
      </c>
      <c r="G2646" s="3">
        <f t="shared" si="123"/>
        <v>1</v>
      </c>
      <c r="H2646" s="4">
        <f t="shared" si="124"/>
        <v>3.8476337052717469E-4</v>
      </c>
      <c r="I2646" s="1">
        <f t="shared" si="125"/>
        <v>0</v>
      </c>
    </row>
    <row r="2647" spans="1:9" hidden="1" x14ac:dyDescent="0.2">
      <c r="A2647" s="6">
        <v>43988.708333333336</v>
      </c>
      <c r="B2647" s="1" t="s">
        <v>16</v>
      </c>
      <c r="C2647">
        <v>7</v>
      </c>
      <c r="D2647">
        <v>2</v>
      </c>
      <c r="E2647">
        <v>292</v>
      </c>
      <c r="F2647">
        <v>2600</v>
      </c>
      <c r="G2647" s="3">
        <f t="shared" si="123"/>
        <v>1</v>
      </c>
      <c r="H2647" s="4">
        <f t="shared" si="124"/>
        <v>3.8461538461542766E-4</v>
      </c>
      <c r="I2647" s="1">
        <f t="shared" si="125"/>
        <v>0</v>
      </c>
    </row>
    <row r="2648" spans="1:9" hidden="1" x14ac:dyDescent="0.2">
      <c r="A2648" s="6">
        <v>43989.708333333336</v>
      </c>
      <c r="B2648" s="1" t="s">
        <v>16</v>
      </c>
      <c r="C2648">
        <v>7</v>
      </c>
      <c r="D2648">
        <v>2</v>
      </c>
      <c r="E2648">
        <v>292</v>
      </c>
      <c r="F2648">
        <v>2603</v>
      </c>
      <c r="G2648" s="3">
        <f t="shared" si="123"/>
        <v>3</v>
      </c>
      <c r="H2648" s="4">
        <f t="shared" si="124"/>
        <v>1.1525163273146122E-3</v>
      </c>
      <c r="I2648" s="1">
        <f t="shared" si="125"/>
        <v>0</v>
      </c>
    </row>
    <row r="2649" spans="1:9" hidden="1" x14ac:dyDescent="0.2">
      <c r="A2649" s="6">
        <v>43990.708333333336</v>
      </c>
      <c r="B2649" s="1" t="s">
        <v>16</v>
      </c>
      <c r="C2649">
        <v>7</v>
      </c>
      <c r="D2649">
        <v>2</v>
      </c>
      <c r="E2649">
        <v>292</v>
      </c>
      <c r="F2649">
        <v>2604</v>
      </c>
      <c r="G2649" s="3">
        <f t="shared" si="123"/>
        <v>1</v>
      </c>
      <c r="H2649" s="4">
        <f t="shared" si="124"/>
        <v>3.8402457757291675E-4</v>
      </c>
      <c r="I2649" s="1">
        <f t="shared" si="125"/>
        <v>0</v>
      </c>
    </row>
    <row r="2650" spans="1:9" hidden="1" x14ac:dyDescent="0.2">
      <c r="A2650" s="6">
        <v>43991.708333333336</v>
      </c>
      <c r="B2650" s="1" t="s">
        <v>16</v>
      </c>
      <c r="C2650">
        <v>7</v>
      </c>
      <c r="D2650">
        <v>2</v>
      </c>
      <c r="E2650">
        <v>292</v>
      </c>
      <c r="F2650">
        <v>2604</v>
      </c>
      <c r="G2650" s="3">
        <f t="shared" si="123"/>
        <v>0</v>
      </c>
      <c r="H2650" s="4">
        <f t="shared" si="124"/>
        <v>0</v>
      </c>
      <c r="I2650" s="1">
        <f t="shared" si="125"/>
        <v>0</v>
      </c>
    </row>
    <row r="2651" spans="1:9" hidden="1" x14ac:dyDescent="0.2">
      <c r="A2651" s="6">
        <v>43992.708333333336</v>
      </c>
      <c r="B2651" s="1" t="s">
        <v>16</v>
      </c>
      <c r="C2651">
        <v>7</v>
      </c>
      <c r="D2651">
        <v>2</v>
      </c>
      <c r="E2651">
        <v>292</v>
      </c>
      <c r="F2651">
        <v>2604</v>
      </c>
      <c r="G2651" s="3">
        <f t="shared" si="123"/>
        <v>0</v>
      </c>
      <c r="H2651" s="4">
        <f t="shared" si="124"/>
        <v>0</v>
      </c>
      <c r="I2651" s="1">
        <f t="shared" si="125"/>
        <v>0</v>
      </c>
    </row>
    <row r="2652" spans="1:9" hidden="1" x14ac:dyDescent="0.2">
      <c r="A2652" s="6">
        <v>43993.708333333336</v>
      </c>
      <c r="B2652" s="1" t="s">
        <v>16</v>
      </c>
      <c r="C2652">
        <v>8</v>
      </c>
      <c r="D2652">
        <v>2</v>
      </c>
      <c r="E2652">
        <v>292</v>
      </c>
      <c r="F2652">
        <v>2606</v>
      </c>
      <c r="G2652" s="3">
        <f t="shared" si="123"/>
        <v>2</v>
      </c>
      <c r="H2652" s="4">
        <f t="shared" si="124"/>
        <v>7.6745970836533672E-4</v>
      </c>
      <c r="I2652" s="1">
        <f t="shared" si="125"/>
        <v>0</v>
      </c>
    </row>
    <row r="2653" spans="1:9" hidden="1" x14ac:dyDescent="0.2">
      <c r="A2653" s="6">
        <v>43994.708333333336</v>
      </c>
      <c r="B2653" s="1" t="s">
        <v>16</v>
      </c>
      <c r="C2653">
        <v>8</v>
      </c>
      <c r="D2653">
        <v>2</v>
      </c>
      <c r="E2653">
        <v>291</v>
      </c>
      <c r="F2653">
        <v>2608</v>
      </c>
      <c r="G2653" s="3">
        <f t="shared" si="123"/>
        <v>2</v>
      </c>
      <c r="H2653" s="4">
        <f t="shared" si="124"/>
        <v>7.6687116564422286E-4</v>
      </c>
      <c r="I2653" s="1">
        <f t="shared" si="125"/>
        <v>-1</v>
      </c>
    </row>
    <row r="2654" spans="1:9" hidden="1" x14ac:dyDescent="0.2">
      <c r="A2654" s="6">
        <v>43995.708333333336</v>
      </c>
      <c r="B2654" s="1" t="s">
        <v>16</v>
      </c>
      <c r="C2654">
        <v>7</v>
      </c>
      <c r="D2654">
        <v>2</v>
      </c>
      <c r="E2654">
        <v>291</v>
      </c>
      <c r="F2654">
        <v>2610</v>
      </c>
      <c r="G2654" s="3">
        <f t="shared" si="123"/>
        <v>2</v>
      </c>
      <c r="H2654" s="4">
        <f t="shared" si="124"/>
        <v>7.6628352490426543E-4</v>
      </c>
      <c r="I2654" s="1">
        <f t="shared" si="125"/>
        <v>0</v>
      </c>
    </row>
    <row r="2655" spans="1:9" hidden="1" x14ac:dyDescent="0.2">
      <c r="A2655" s="6">
        <v>43996.708333333336</v>
      </c>
      <c r="B2655" s="1" t="s">
        <v>16</v>
      </c>
      <c r="C2655">
        <v>8</v>
      </c>
      <c r="D2655">
        <v>2</v>
      </c>
      <c r="E2655">
        <v>291</v>
      </c>
      <c r="F2655">
        <v>2613</v>
      </c>
      <c r="G2655" s="3">
        <f t="shared" si="123"/>
        <v>3</v>
      </c>
      <c r="H2655" s="4">
        <f t="shared" si="124"/>
        <v>1.1481056257175437E-3</v>
      </c>
      <c r="I2655" s="1">
        <f t="shared" si="125"/>
        <v>0</v>
      </c>
    </row>
    <row r="2656" spans="1:9" hidden="1" x14ac:dyDescent="0.2">
      <c r="A2656" s="6">
        <v>43997.708333333336</v>
      </c>
      <c r="B2656" s="1" t="s">
        <v>16</v>
      </c>
      <c r="C2656">
        <v>8</v>
      </c>
      <c r="D2656">
        <v>1</v>
      </c>
      <c r="E2656">
        <v>292</v>
      </c>
      <c r="F2656">
        <v>2611</v>
      </c>
      <c r="G2656" s="3">
        <f t="shared" si="123"/>
        <v>-2</v>
      </c>
      <c r="H2656" s="4">
        <f t="shared" si="124"/>
        <v>-7.6599004212951627E-4</v>
      </c>
      <c r="I2656" s="1">
        <f t="shared" si="125"/>
        <v>1</v>
      </c>
    </row>
    <row r="2657" spans="1:9" hidden="1" x14ac:dyDescent="0.2">
      <c r="A2657" s="6">
        <v>43998.708333333336</v>
      </c>
      <c r="B2657" s="1" t="s">
        <v>16</v>
      </c>
      <c r="C2657">
        <v>8</v>
      </c>
      <c r="D2657">
        <v>1</v>
      </c>
      <c r="E2657">
        <v>292</v>
      </c>
      <c r="F2657">
        <v>2611</v>
      </c>
      <c r="G2657" s="3">
        <f t="shared" si="123"/>
        <v>0</v>
      </c>
      <c r="H2657" s="4">
        <f t="shared" si="124"/>
        <v>0</v>
      </c>
      <c r="I2657" s="1">
        <f t="shared" si="125"/>
        <v>0</v>
      </c>
    </row>
    <row r="2658" spans="1:9" hidden="1" x14ac:dyDescent="0.2">
      <c r="A2658" s="6">
        <v>43999.708333333336</v>
      </c>
      <c r="B2658" s="1" t="s">
        <v>16</v>
      </c>
      <c r="C2658">
        <v>8</v>
      </c>
      <c r="D2658">
        <v>1</v>
      </c>
      <c r="E2658">
        <v>292</v>
      </c>
      <c r="F2658">
        <v>2611</v>
      </c>
      <c r="G2658" s="3">
        <f t="shared" si="123"/>
        <v>0</v>
      </c>
      <c r="H2658" s="4">
        <f t="shared" si="124"/>
        <v>0</v>
      </c>
      <c r="I2658" s="1">
        <f t="shared" si="125"/>
        <v>0</v>
      </c>
    </row>
    <row r="2659" spans="1:9" hidden="1" x14ac:dyDescent="0.2">
      <c r="A2659" s="6">
        <v>44000.708333333336</v>
      </c>
      <c r="B2659" s="1" t="s">
        <v>16</v>
      </c>
      <c r="C2659">
        <v>8</v>
      </c>
      <c r="D2659">
        <v>2</v>
      </c>
      <c r="E2659">
        <v>292</v>
      </c>
      <c r="F2659">
        <v>2613</v>
      </c>
      <c r="G2659" s="3">
        <f t="shared" si="123"/>
        <v>2</v>
      </c>
      <c r="H2659" s="4">
        <f t="shared" si="124"/>
        <v>7.6540375047839948E-4</v>
      </c>
      <c r="I2659" s="1">
        <f t="shared" si="125"/>
        <v>0</v>
      </c>
    </row>
    <row r="2660" spans="1:9" hidden="1" x14ac:dyDescent="0.2">
      <c r="A2660" s="6">
        <v>44001.708333333336</v>
      </c>
      <c r="B2660" s="1" t="s">
        <v>16</v>
      </c>
      <c r="C2660">
        <v>3</v>
      </c>
      <c r="D2660">
        <v>1</v>
      </c>
      <c r="E2660">
        <v>292</v>
      </c>
      <c r="F2660">
        <v>2615</v>
      </c>
      <c r="G2660" s="3">
        <f t="shared" si="123"/>
        <v>2</v>
      </c>
      <c r="H2660" s="4">
        <f t="shared" si="124"/>
        <v>7.6481835564057299E-4</v>
      </c>
      <c r="I2660" s="1">
        <f t="shared" si="125"/>
        <v>0</v>
      </c>
    </row>
    <row r="2661" spans="1:9" hidden="1" x14ac:dyDescent="0.2">
      <c r="A2661" s="6">
        <v>44002.708333333336</v>
      </c>
      <c r="B2661" s="1" t="s">
        <v>16</v>
      </c>
      <c r="C2661">
        <v>3</v>
      </c>
      <c r="D2661">
        <v>1</v>
      </c>
      <c r="E2661">
        <v>292</v>
      </c>
      <c r="F2661">
        <v>2618</v>
      </c>
      <c r="G2661" s="3">
        <f t="shared" si="123"/>
        <v>3</v>
      </c>
      <c r="H2661" s="4">
        <f t="shared" si="124"/>
        <v>1.1459129106188293E-3</v>
      </c>
      <c r="I2661" s="1">
        <f t="shared" si="125"/>
        <v>0</v>
      </c>
    </row>
    <row r="2662" spans="1:9" hidden="1" x14ac:dyDescent="0.2">
      <c r="A2662" s="6">
        <v>44003.708333333336</v>
      </c>
      <c r="B2662" s="1" t="s">
        <v>16</v>
      </c>
      <c r="C2662">
        <v>4</v>
      </c>
      <c r="D2662">
        <v>1</v>
      </c>
      <c r="E2662">
        <v>292</v>
      </c>
      <c r="F2662">
        <v>2622</v>
      </c>
      <c r="G2662" s="3">
        <f t="shared" si="123"/>
        <v>4</v>
      </c>
      <c r="H2662" s="4">
        <f t="shared" si="124"/>
        <v>1.5255530129671957E-3</v>
      </c>
      <c r="I2662" s="1">
        <f t="shared" si="125"/>
        <v>0</v>
      </c>
    </row>
    <row r="2663" spans="1:9" hidden="1" x14ac:dyDescent="0.2">
      <c r="A2663" s="6">
        <v>44004.708333333336</v>
      </c>
      <c r="B2663" s="1" t="s">
        <v>16</v>
      </c>
      <c r="C2663">
        <v>4</v>
      </c>
      <c r="D2663">
        <v>1</v>
      </c>
      <c r="E2663">
        <v>292</v>
      </c>
      <c r="F2663">
        <v>2633</v>
      </c>
      <c r="G2663" s="3">
        <f t="shared" si="123"/>
        <v>11</v>
      </c>
      <c r="H2663" s="4">
        <f t="shared" si="124"/>
        <v>4.1777440182301229E-3</v>
      </c>
      <c r="I2663" s="1">
        <f t="shared" si="125"/>
        <v>0</v>
      </c>
    </row>
    <row r="2664" spans="1:9" hidden="1" x14ac:dyDescent="0.2">
      <c r="A2664" s="6">
        <v>44005.708333333336</v>
      </c>
      <c r="B2664" s="1" t="s">
        <v>16</v>
      </c>
      <c r="C2664">
        <v>3</v>
      </c>
      <c r="D2664">
        <v>1</v>
      </c>
      <c r="E2664">
        <v>292</v>
      </c>
      <c r="F2664">
        <v>2633</v>
      </c>
      <c r="G2664" s="3">
        <f t="shared" si="123"/>
        <v>0</v>
      </c>
      <c r="H2664" s="4">
        <f t="shared" si="124"/>
        <v>0</v>
      </c>
      <c r="I2664" s="1">
        <f t="shared" si="125"/>
        <v>0</v>
      </c>
    </row>
    <row r="2665" spans="1:9" hidden="1" x14ac:dyDescent="0.2">
      <c r="A2665" s="6">
        <v>44006.708333333336</v>
      </c>
      <c r="B2665" s="1" t="s">
        <v>16</v>
      </c>
      <c r="C2665">
        <v>3</v>
      </c>
      <c r="D2665">
        <v>1</v>
      </c>
      <c r="E2665">
        <v>292</v>
      </c>
      <c r="F2665">
        <v>2634</v>
      </c>
      <c r="G2665" s="3">
        <f t="shared" si="123"/>
        <v>1</v>
      </c>
      <c r="H2665" s="4">
        <f t="shared" si="124"/>
        <v>3.7965072133638866E-4</v>
      </c>
      <c r="I2665" s="1">
        <f t="shared" si="125"/>
        <v>0</v>
      </c>
    </row>
    <row r="2666" spans="1:9" hidden="1" x14ac:dyDescent="0.2">
      <c r="A2666" s="6">
        <v>44007.708333333336</v>
      </c>
      <c r="B2666" s="1" t="s">
        <v>16</v>
      </c>
      <c r="C2666">
        <v>3</v>
      </c>
      <c r="D2666">
        <v>1</v>
      </c>
      <c r="E2666">
        <v>292</v>
      </c>
      <c r="F2666">
        <v>2634</v>
      </c>
      <c r="G2666" s="3">
        <f t="shared" si="123"/>
        <v>0</v>
      </c>
      <c r="H2666" s="4">
        <f t="shared" si="124"/>
        <v>0</v>
      </c>
      <c r="I2666" s="1">
        <f t="shared" si="125"/>
        <v>0</v>
      </c>
    </row>
    <row r="2667" spans="1:9" hidden="1" x14ac:dyDescent="0.2">
      <c r="A2667" s="6">
        <v>44008.708333333336</v>
      </c>
      <c r="B2667" s="1" t="s">
        <v>16</v>
      </c>
      <c r="C2667">
        <v>3</v>
      </c>
      <c r="D2667">
        <v>1</v>
      </c>
      <c r="E2667">
        <v>292</v>
      </c>
      <c r="F2667">
        <v>2634</v>
      </c>
      <c r="G2667" s="3">
        <f t="shared" si="123"/>
        <v>0</v>
      </c>
      <c r="H2667" s="4">
        <f t="shared" si="124"/>
        <v>0</v>
      </c>
      <c r="I2667" s="1">
        <f t="shared" si="125"/>
        <v>0</v>
      </c>
    </row>
    <row r="2668" spans="1:9" hidden="1" x14ac:dyDescent="0.2">
      <c r="A2668" s="6">
        <v>44009.708333333336</v>
      </c>
      <c r="B2668" s="1" t="s">
        <v>16</v>
      </c>
      <c r="C2668">
        <v>4</v>
      </c>
      <c r="D2668">
        <v>1</v>
      </c>
      <c r="E2668">
        <v>292</v>
      </c>
      <c r="F2668">
        <v>2636</v>
      </c>
      <c r="G2668" s="3">
        <f t="shared" si="123"/>
        <v>2</v>
      </c>
      <c r="H2668" s="4">
        <f t="shared" si="124"/>
        <v>7.587253414264028E-4</v>
      </c>
      <c r="I2668" s="1">
        <f t="shared" si="125"/>
        <v>0</v>
      </c>
    </row>
    <row r="2669" spans="1:9" hidden="1" x14ac:dyDescent="0.2">
      <c r="A2669" s="6">
        <v>44010.708333333336</v>
      </c>
      <c r="B2669" s="1" t="s">
        <v>16</v>
      </c>
      <c r="C2669">
        <v>3</v>
      </c>
      <c r="D2669">
        <v>1</v>
      </c>
      <c r="E2669">
        <v>292</v>
      </c>
      <c r="F2669">
        <v>2637</v>
      </c>
      <c r="G2669" s="3">
        <f t="shared" si="123"/>
        <v>1</v>
      </c>
      <c r="H2669" s="4">
        <f t="shared" si="124"/>
        <v>3.7921880925295692E-4</v>
      </c>
      <c r="I2669" s="1">
        <f t="shared" si="125"/>
        <v>0</v>
      </c>
    </row>
    <row r="2670" spans="1:9" hidden="1" x14ac:dyDescent="0.2">
      <c r="A2670" s="6">
        <v>44011.708333333336</v>
      </c>
      <c r="B2670" s="1" t="s">
        <v>16</v>
      </c>
      <c r="C2670">
        <v>2</v>
      </c>
      <c r="D2670">
        <v>1</v>
      </c>
      <c r="E2670">
        <v>292</v>
      </c>
      <c r="F2670">
        <v>2639</v>
      </c>
      <c r="G2670" s="3">
        <f t="shared" si="123"/>
        <v>2</v>
      </c>
      <c r="H2670" s="4">
        <f t="shared" si="124"/>
        <v>7.5786282682832606E-4</v>
      </c>
      <c r="I2670" s="1">
        <f t="shared" si="125"/>
        <v>0</v>
      </c>
    </row>
    <row r="2671" spans="1:9" hidden="1" x14ac:dyDescent="0.2">
      <c r="A2671" s="6">
        <v>44012.708333333336</v>
      </c>
      <c r="B2671" s="1" t="s">
        <v>16</v>
      </c>
      <c r="C2671">
        <v>3</v>
      </c>
      <c r="D2671">
        <v>1</v>
      </c>
      <c r="E2671">
        <v>292</v>
      </c>
      <c r="F2671">
        <v>2639</v>
      </c>
      <c r="G2671" s="3">
        <f t="shared" si="123"/>
        <v>0</v>
      </c>
      <c r="H2671" s="4">
        <f t="shared" si="124"/>
        <v>0</v>
      </c>
      <c r="I2671" s="1">
        <f t="shared" si="125"/>
        <v>0</v>
      </c>
    </row>
    <row r="2672" spans="1:9" hidden="1" x14ac:dyDescent="0.2">
      <c r="A2672" s="6">
        <v>44013.708333333336</v>
      </c>
      <c r="B2672" s="1" t="s">
        <v>16</v>
      </c>
      <c r="C2672">
        <v>3</v>
      </c>
      <c r="D2672">
        <v>1</v>
      </c>
      <c r="E2672">
        <v>292</v>
      </c>
      <c r="F2672">
        <v>2642</v>
      </c>
      <c r="G2672" s="3">
        <f t="shared" si="123"/>
        <v>3</v>
      </c>
      <c r="H2672" s="4">
        <f t="shared" si="124"/>
        <v>1.1355034065102521E-3</v>
      </c>
      <c r="I2672" s="1">
        <f t="shared" si="125"/>
        <v>0</v>
      </c>
    </row>
    <row r="2673" spans="1:9" hidden="1" x14ac:dyDescent="0.2">
      <c r="A2673" s="6">
        <v>44014.708333333336</v>
      </c>
      <c r="B2673" s="1" t="s">
        <v>16</v>
      </c>
      <c r="C2673">
        <v>3</v>
      </c>
      <c r="D2673">
        <v>0</v>
      </c>
      <c r="E2673">
        <v>292</v>
      </c>
      <c r="F2673">
        <v>2642</v>
      </c>
      <c r="G2673" s="3">
        <f t="shared" si="123"/>
        <v>0</v>
      </c>
      <c r="H2673" s="4">
        <f t="shared" si="124"/>
        <v>0</v>
      </c>
      <c r="I2673" s="1">
        <f t="shared" si="125"/>
        <v>0</v>
      </c>
    </row>
    <row r="2674" spans="1:9" hidden="1" x14ac:dyDescent="0.2">
      <c r="A2674" s="6">
        <v>44015.708333333336</v>
      </c>
      <c r="B2674" s="1" t="s">
        <v>16</v>
      </c>
      <c r="C2674">
        <v>3</v>
      </c>
      <c r="D2674">
        <v>0</v>
      </c>
      <c r="E2674">
        <v>292</v>
      </c>
      <c r="F2674">
        <v>2642</v>
      </c>
      <c r="G2674" s="3">
        <f t="shared" si="123"/>
        <v>0</v>
      </c>
      <c r="H2674" s="4">
        <f t="shared" si="124"/>
        <v>0</v>
      </c>
      <c r="I2674" s="1">
        <f t="shared" si="125"/>
        <v>0</v>
      </c>
    </row>
    <row r="2675" spans="1:9" hidden="1" x14ac:dyDescent="0.2">
      <c r="A2675" s="6">
        <v>44016.708333333336</v>
      </c>
      <c r="B2675" s="1" t="s">
        <v>16</v>
      </c>
      <c r="C2675">
        <v>3</v>
      </c>
      <c r="D2675">
        <v>0</v>
      </c>
      <c r="E2675">
        <v>292</v>
      </c>
      <c r="F2675">
        <v>2645</v>
      </c>
      <c r="G2675" s="3">
        <f t="shared" si="123"/>
        <v>3</v>
      </c>
      <c r="H2675" s="4">
        <f t="shared" si="124"/>
        <v>1.1342155009451682E-3</v>
      </c>
      <c r="I2675" s="1">
        <f t="shared" si="125"/>
        <v>0</v>
      </c>
    </row>
    <row r="2676" spans="1:9" hidden="1" x14ac:dyDescent="0.2">
      <c r="A2676" s="6">
        <v>44017.708333333336</v>
      </c>
      <c r="B2676" s="1" t="s">
        <v>16</v>
      </c>
      <c r="C2676">
        <v>3</v>
      </c>
      <c r="D2676">
        <v>0</v>
      </c>
      <c r="E2676">
        <v>292</v>
      </c>
      <c r="F2676">
        <v>2647</v>
      </c>
      <c r="G2676" s="3">
        <f t="shared" si="123"/>
        <v>2</v>
      </c>
      <c r="H2676" s="4">
        <f t="shared" si="124"/>
        <v>7.5557234605216905E-4</v>
      </c>
      <c r="I2676" s="1">
        <f t="shared" si="125"/>
        <v>0</v>
      </c>
    </row>
    <row r="2677" spans="1:9" hidden="1" x14ac:dyDescent="0.2">
      <c r="A2677" s="6">
        <v>44018.708333333336</v>
      </c>
      <c r="B2677" s="1" t="s">
        <v>16</v>
      </c>
      <c r="C2677">
        <v>3</v>
      </c>
      <c r="D2677">
        <v>0</v>
      </c>
      <c r="E2677">
        <v>292</v>
      </c>
      <c r="F2677">
        <v>2647</v>
      </c>
      <c r="G2677" s="3">
        <f t="shared" si="123"/>
        <v>0</v>
      </c>
      <c r="H2677" s="4">
        <f t="shared" si="124"/>
        <v>0</v>
      </c>
      <c r="I2677" s="1">
        <f t="shared" si="125"/>
        <v>0</v>
      </c>
    </row>
    <row r="2678" spans="1:9" hidden="1" x14ac:dyDescent="0.2">
      <c r="A2678" s="6">
        <v>44019.708333333336</v>
      </c>
      <c r="B2678" s="1" t="s">
        <v>16</v>
      </c>
      <c r="C2678">
        <v>3</v>
      </c>
      <c r="D2678">
        <v>0</v>
      </c>
      <c r="E2678">
        <v>292</v>
      </c>
      <c r="F2678">
        <v>2648</v>
      </c>
      <c r="G2678" s="3">
        <f t="shared" si="123"/>
        <v>1</v>
      </c>
      <c r="H2678" s="4">
        <f t="shared" si="124"/>
        <v>3.7764350453173279E-4</v>
      </c>
      <c r="I2678" s="1">
        <f t="shared" si="125"/>
        <v>0</v>
      </c>
    </row>
    <row r="2679" spans="1:9" hidden="1" x14ac:dyDescent="0.2">
      <c r="A2679" s="6">
        <v>44020.708333333336</v>
      </c>
      <c r="B2679" s="1" t="s">
        <v>16</v>
      </c>
      <c r="C2679">
        <v>6</v>
      </c>
      <c r="D2679">
        <v>0</v>
      </c>
      <c r="E2679">
        <v>292</v>
      </c>
      <c r="F2679">
        <v>2650</v>
      </c>
      <c r="G2679" s="3">
        <f t="shared" si="123"/>
        <v>2</v>
      </c>
      <c r="H2679" s="4">
        <f t="shared" si="124"/>
        <v>7.547169811320531E-4</v>
      </c>
      <c r="I2679" s="1">
        <f t="shared" si="125"/>
        <v>0</v>
      </c>
    </row>
    <row r="2680" spans="1:9" hidden="1" x14ac:dyDescent="0.2">
      <c r="A2680" s="6">
        <v>44021.708333333336</v>
      </c>
      <c r="B2680" s="1" t="s">
        <v>16</v>
      </c>
      <c r="C2680">
        <v>6</v>
      </c>
      <c r="D2680">
        <v>0</v>
      </c>
      <c r="E2680">
        <v>292</v>
      </c>
      <c r="F2680">
        <v>2653</v>
      </c>
      <c r="G2680" s="3">
        <f t="shared" si="123"/>
        <v>3</v>
      </c>
      <c r="H2680" s="4">
        <f t="shared" si="124"/>
        <v>1.1307953260459858E-3</v>
      </c>
      <c r="I2680" s="1">
        <f t="shared" si="125"/>
        <v>0</v>
      </c>
    </row>
    <row r="2681" spans="1:9" hidden="1" x14ac:dyDescent="0.2">
      <c r="A2681" s="6">
        <v>44022.708333333336</v>
      </c>
      <c r="B2681" s="1" t="s">
        <v>16</v>
      </c>
      <c r="C2681">
        <v>6</v>
      </c>
      <c r="D2681">
        <v>0</v>
      </c>
      <c r="E2681">
        <v>292</v>
      </c>
      <c r="F2681">
        <v>2658</v>
      </c>
      <c r="G2681" s="3">
        <f t="shared" si="123"/>
        <v>5</v>
      </c>
      <c r="H2681" s="4">
        <f t="shared" si="124"/>
        <v>1.8811136192625755E-3</v>
      </c>
      <c r="I2681" s="1">
        <f t="shared" si="125"/>
        <v>0</v>
      </c>
    </row>
    <row r="2682" spans="1:9" hidden="1" x14ac:dyDescent="0.2">
      <c r="A2682" s="6">
        <v>44023.708333333336</v>
      </c>
      <c r="B2682" s="1" t="s">
        <v>16</v>
      </c>
      <c r="C2682">
        <v>6</v>
      </c>
      <c r="D2682">
        <v>0</v>
      </c>
      <c r="E2682">
        <v>292</v>
      </c>
      <c r="F2682">
        <v>2661</v>
      </c>
      <c r="G2682" s="3">
        <f t="shared" si="123"/>
        <v>3</v>
      </c>
      <c r="H2682" s="4">
        <f t="shared" si="124"/>
        <v>1.1273957158962622E-3</v>
      </c>
      <c r="I2682" s="1">
        <f t="shared" si="125"/>
        <v>0</v>
      </c>
    </row>
    <row r="2683" spans="1:9" hidden="1" x14ac:dyDescent="0.2">
      <c r="A2683" s="6">
        <v>44024.708333333336</v>
      </c>
      <c r="B2683" s="1" t="s">
        <v>16</v>
      </c>
      <c r="C2683">
        <v>6</v>
      </c>
      <c r="D2683">
        <v>0</v>
      </c>
      <c r="E2683">
        <v>292</v>
      </c>
      <c r="F2683">
        <v>2666</v>
      </c>
      <c r="G2683" s="3">
        <f t="shared" si="123"/>
        <v>5</v>
      </c>
      <c r="H2683" s="4">
        <f t="shared" si="124"/>
        <v>1.8754688672167896E-3</v>
      </c>
      <c r="I2683" s="1">
        <f t="shared" si="125"/>
        <v>0</v>
      </c>
    </row>
    <row r="2684" spans="1:9" hidden="1" x14ac:dyDescent="0.2">
      <c r="A2684" s="6">
        <v>44025.708333333336</v>
      </c>
      <c r="B2684" s="1" t="s">
        <v>16</v>
      </c>
      <c r="C2684">
        <v>6</v>
      </c>
      <c r="D2684">
        <v>0</v>
      </c>
      <c r="E2684">
        <v>292</v>
      </c>
      <c r="F2684">
        <v>2673</v>
      </c>
      <c r="G2684" s="3">
        <f t="shared" si="123"/>
        <v>7</v>
      </c>
      <c r="H2684" s="4">
        <f t="shared" si="124"/>
        <v>2.6187803965581624E-3</v>
      </c>
      <c r="I2684" s="1">
        <f t="shared" si="125"/>
        <v>0</v>
      </c>
    </row>
    <row r="2685" spans="1:9" hidden="1" x14ac:dyDescent="0.2">
      <c r="A2685" s="6">
        <v>44026.708333333336</v>
      </c>
      <c r="B2685" s="1" t="s">
        <v>16</v>
      </c>
      <c r="C2685">
        <v>6</v>
      </c>
      <c r="D2685">
        <v>0</v>
      </c>
      <c r="E2685">
        <v>292</v>
      </c>
      <c r="F2685">
        <v>2674</v>
      </c>
      <c r="G2685" s="3">
        <f t="shared" si="123"/>
        <v>1</v>
      </c>
      <c r="H2685" s="4">
        <f t="shared" si="124"/>
        <v>3.7397157816010385E-4</v>
      </c>
      <c r="I2685" s="1">
        <f t="shared" si="125"/>
        <v>0</v>
      </c>
    </row>
    <row r="2686" spans="1:9" hidden="1" x14ac:dyDescent="0.2">
      <c r="A2686" s="6">
        <v>44027.708333333336</v>
      </c>
      <c r="B2686" s="1" t="s">
        <v>16</v>
      </c>
      <c r="C2686">
        <v>6</v>
      </c>
      <c r="D2686">
        <v>0</v>
      </c>
      <c r="E2686">
        <v>292</v>
      </c>
      <c r="F2686">
        <v>2677</v>
      </c>
      <c r="G2686" s="3">
        <f t="shared" si="123"/>
        <v>3</v>
      </c>
      <c r="H2686" s="4">
        <f t="shared" si="124"/>
        <v>1.1206574523721091E-3</v>
      </c>
      <c r="I2686" s="1">
        <f t="shared" si="125"/>
        <v>0</v>
      </c>
    </row>
    <row r="2687" spans="1:9" hidden="1" x14ac:dyDescent="0.2">
      <c r="A2687" s="6">
        <v>44028.708333333336</v>
      </c>
      <c r="B2687" s="1" t="s">
        <v>16</v>
      </c>
      <c r="C2687">
        <v>6</v>
      </c>
      <c r="D2687">
        <v>0</v>
      </c>
      <c r="E2687">
        <v>292</v>
      </c>
      <c r="F2687">
        <v>2678</v>
      </c>
      <c r="G2687" s="3">
        <f t="shared" si="123"/>
        <v>1</v>
      </c>
      <c r="H2687" s="4">
        <f t="shared" si="124"/>
        <v>3.7341299477222645E-4</v>
      </c>
      <c r="I2687" s="1">
        <f t="shared" si="125"/>
        <v>0</v>
      </c>
    </row>
    <row r="2688" spans="1:9" hidden="1" x14ac:dyDescent="0.2">
      <c r="A2688" s="6">
        <v>44029.708333333336</v>
      </c>
      <c r="B2688" s="1" t="s">
        <v>16</v>
      </c>
      <c r="C2688">
        <v>6</v>
      </c>
      <c r="D2688">
        <v>0</v>
      </c>
      <c r="E2688">
        <v>292</v>
      </c>
      <c r="F2688">
        <v>2682</v>
      </c>
      <c r="G2688" s="3">
        <f t="shared" si="123"/>
        <v>4</v>
      </c>
      <c r="H2688" s="4">
        <f t="shared" si="124"/>
        <v>1.491424310216205E-3</v>
      </c>
      <c r="I2688" s="1">
        <f t="shared" si="125"/>
        <v>0</v>
      </c>
    </row>
    <row r="2689" spans="1:9" hidden="1" x14ac:dyDescent="0.2">
      <c r="A2689" s="6">
        <v>44030.708333333336</v>
      </c>
      <c r="B2689" s="1" t="s">
        <v>16</v>
      </c>
      <c r="C2689">
        <v>6</v>
      </c>
      <c r="D2689">
        <v>0</v>
      </c>
      <c r="E2689">
        <v>292</v>
      </c>
      <c r="F2689">
        <v>2683</v>
      </c>
      <c r="G2689" s="3">
        <f t="shared" si="123"/>
        <v>1</v>
      </c>
      <c r="H2689" s="4">
        <f t="shared" si="124"/>
        <v>3.7271710771524802E-4</v>
      </c>
      <c r="I2689" s="1">
        <f t="shared" si="125"/>
        <v>0</v>
      </c>
    </row>
    <row r="2690" spans="1:9" hidden="1" x14ac:dyDescent="0.2">
      <c r="A2690" s="6">
        <v>44031.708333333336</v>
      </c>
      <c r="B2690" s="1" t="s">
        <v>16</v>
      </c>
      <c r="C2690">
        <v>6</v>
      </c>
      <c r="D2690">
        <v>0</v>
      </c>
      <c r="E2690">
        <v>292</v>
      </c>
      <c r="F2690">
        <v>2684</v>
      </c>
      <c r="G2690" s="3">
        <f t="shared" si="123"/>
        <v>1</v>
      </c>
      <c r="H2690" s="4">
        <f t="shared" si="124"/>
        <v>3.7257824143066554E-4</v>
      </c>
      <c r="I2690" s="1">
        <f t="shared" si="125"/>
        <v>0</v>
      </c>
    </row>
    <row r="2691" spans="1:9" hidden="1" x14ac:dyDescent="0.2">
      <c r="A2691" s="6">
        <v>44032.708333333336</v>
      </c>
      <c r="B2691" s="1" t="s">
        <v>16</v>
      </c>
      <c r="C2691">
        <v>6</v>
      </c>
      <c r="D2691">
        <v>0</v>
      </c>
      <c r="E2691">
        <v>292</v>
      </c>
      <c r="F2691">
        <v>2684</v>
      </c>
      <c r="G2691" s="3">
        <f t="shared" ref="G2691:G2754" si="126">IF(AND(F2691&gt;0,AND(B2691=B2690,F2691&gt;0)),F2691-F2690,0)</f>
        <v>0</v>
      </c>
      <c r="H2691" s="4">
        <f t="shared" ref="H2691:H2754" si="127">IF(AND(F2690&gt;0,AND(B2691=B2690,F2690&gt;0)),1-(F2690/F2691),0)</f>
        <v>0</v>
      </c>
      <c r="I2691" s="1">
        <f t="shared" ref="I2691:I2754" si="128">IF(AND(E2691&gt;0,AND(B2691=B2690,E2691&gt;0)),E2691-E2690,0)</f>
        <v>0</v>
      </c>
    </row>
    <row r="2692" spans="1:9" hidden="1" x14ac:dyDescent="0.2">
      <c r="A2692" s="6">
        <v>44033.708333333336</v>
      </c>
      <c r="B2692" s="1" t="s">
        <v>16</v>
      </c>
      <c r="C2692">
        <v>6</v>
      </c>
      <c r="D2692">
        <v>0</v>
      </c>
      <c r="E2692">
        <v>292</v>
      </c>
      <c r="F2692">
        <v>2685</v>
      </c>
      <c r="G2692" s="3">
        <f t="shared" si="126"/>
        <v>1</v>
      </c>
      <c r="H2692" s="4">
        <f t="shared" si="127"/>
        <v>3.724394785847851E-4</v>
      </c>
      <c r="I2692" s="1">
        <f t="shared" si="128"/>
        <v>0</v>
      </c>
    </row>
    <row r="2693" spans="1:9" hidden="1" x14ac:dyDescent="0.2">
      <c r="A2693" s="6">
        <v>44034.708333333336</v>
      </c>
      <c r="B2693" s="1" t="s">
        <v>16</v>
      </c>
      <c r="C2693">
        <v>6</v>
      </c>
      <c r="D2693">
        <v>0</v>
      </c>
      <c r="E2693">
        <v>292</v>
      </c>
      <c r="F2693">
        <v>2685</v>
      </c>
      <c r="G2693" s="3">
        <f t="shared" si="126"/>
        <v>0</v>
      </c>
      <c r="H2693" s="4">
        <f t="shared" si="127"/>
        <v>0</v>
      </c>
      <c r="I2693" s="1">
        <f t="shared" si="128"/>
        <v>0</v>
      </c>
    </row>
    <row r="2694" spans="1:9" hidden="1" x14ac:dyDescent="0.2">
      <c r="A2694" s="6">
        <v>44035.708333333336</v>
      </c>
      <c r="B2694" s="1" t="s">
        <v>16</v>
      </c>
      <c r="C2694">
        <v>6</v>
      </c>
      <c r="D2694">
        <v>0</v>
      </c>
      <c r="E2694">
        <v>292</v>
      </c>
      <c r="F2694">
        <v>2686</v>
      </c>
      <c r="G2694" s="3">
        <f t="shared" si="126"/>
        <v>1</v>
      </c>
      <c r="H2694" s="4">
        <f t="shared" si="127"/>
        <v>3.7230081906181045E-4</v>
      </c>
      <c r="I2694" s="1">
        <f t="shared" si="128"/>
        <v>0</v>
      </c>
    </row>
    <row r="2695" spans="1:9" hidden="1" x14ac:dyDescent="0.2">
      <c r="A2695" s="6">
        <v>44036.708333333336</v>
      </c>
      <c r="B2695" s="1" t="s">
        <v>16</v>
      </c>
      <c r="C2695">
        <v>6</v>
      </c>
      <c r="D2695">
        <v>0</v>
      </c>
      <c r="E2695">
        <v>292</v>
      </c>
      <c r="F2695">
        <v>2687</v>
      </c>
      <c r="G2695" s="3">
        <f t="shared" si="126"/>
        <v>1</v>
      </c>
      <c r="H2695" s="4">
        <f t="shared" si="127"/>
        <v>3.7216226274661146E-4</v>
      </c>
      <c r="I2695" s="1">
        <f t="shared" si="128"/>
        <v>0</v>
      </c>
    </row>
    <row r="2696" spans="1:9" hidden="1" x14ac:dyDescent="0.2">
      <c r="A2696" s="6">
        <v>44037.708333333336</v>
      </c>
      <c r="B2696" s="1" t="s">
        <v>16</v>
      </c>
      <c r="C2696">
        <v>6</v>
      </c>
      <c r="D2696">
        <v>0</v>
      </c>
      <c r="E2696">
        <v>292</v>
      </c>
      <c r="F2696">
        <v>2693</v>
      </c>
      <c r="G2696" s="3">
        <f t="shared" si="126"/>
        <v>6</v>
      </c>
      <c r="H2696" s="4">
        <f t="shared" si="127"/>
        <v>2.2279985146677062E-3</v>
      </c>
      <c r="I2696" s="1">
        <f t="shared" si="128"/>
        <v>0</v>
      </c>
    </row>
    <row r="2697" spans="1:9" hidden="1" x14ac:dyDescent="0.2">
      <c r="A2697" s="6">
        <v>44038.708333333336</v>
      </c>
      <c r="B2697" s="1" t="s">
        <v>16</v>
      </c>
      <c r="C2697">
        <v>7</v>
      </c>
      <c r="D2697">
        <v>0</v>
      </c>
      <c r="E2697">
        <v>292</v>
      </c>
      <c r="F2697">
        <v>2698</v>
      </c>
      <c r="G2697" s="3">
        <f t="shared" si="126"/>
        <v>5</v>
      </c>
      <c r="H2697" s="4">
        <f t="shared" si="127"/>
        <v>1.8532246108228234E-3</v>
      </c>
      <c r="I2697" s="1">
        <f t="shared" si="128"/>
        <v>0</v>
      </c>
    </row>
    <row r="2698" spans="1:9" hidden="1" x14ac:dyDescent="0.2">
      <c r="A2698" s="6">
        <v>44039.708333333336</v>
      </c>
      <c r="B2698" s="1" t="s">
        <v>16</v>
      </c>
      <c r="C2698">
        <v>7</v>
      </c>
      <c r="D2698">
        <v>0</v>
      </c>
      <c r="E2698">
        <v>292</v>
      </c>
      <c r="F2698">
        <v>2700</v>
      </c>
      <c r="G2698" s="3">
        <f t="shared" si="126"/>
        <v>2</v>
      </c>
      <c r="H2698" s="4">
        <f t="shared" si="127"/>
        <v>7.407407407407085E-4</v>
      </c>
      <c r="I2698" s="1">
        <f t="shared" si="128"/>
        <v>0</v>
      </c>
    </row>
    <row r="2699" spans="1:9" hidden="1" x14ac:dyDescent="0.2">
      <c r="A2699" s="6">
        <v>44040.708333333336</v>
      </c>
      <c r="B2699" s="1" t="s">
        <v>16</v>
      </c>
      <c r="C2699">
        <v>7</v>
      </c>
      <c r="D2699">
        <v>0</v>
      </c>
      <c r="E2699">
        <v>292</v>
      </c>
      <c r="F2699">
        <v>2692</v>
      </c>
      <c r="G2699" s="3">
        <f t="shared" si="126"/>
        <v>-8</v>
      </c>
      <c r="H2699" s="4">
        <f t="shared" si="127"/>
        <v>-2.9717682020802272E-3</v>
      </c>
      <c r="I2699" s="1">
        <f t="shared" si="128"/>
        <v>0</v>
      </c>
    </row>
    <row r="2700" spans="1:9" hidden="1" x14ac:dyDescent="0.2">
      <c r="A2700" s="6">
        <v>44041.708333333336</v>
      </c>
      <c r="B2700" s="1" t="s">
        <v>16</v>
      </c>
      <c r="C2700">
        <v>6</v>
      </c>
      <c r="D2700">
        <v>1</v>
      </c>
      <c r="E2700">
        <v>292</v>
      </c>
      <c r="F2700">
        <v>2696</v>
      </c>
      <c r="G2700" s="3">
        <f t="shared" si="126"/>
        <v>4</v>
      </c>
      <c r="H2700" s="4">
        <f t="shared" si="127"/>
        <v>1.4836795252225476E-3</v>
      </c>
      <c r="I2700" s="1">
        <f t="shared" si="128"/>
        <v>0</v>
      </c>
    </row>
    <row r="2701" spans="1:9" hidden="1" x14ac:dyDescent="0.2">
      <c r="A2701" s="6">
        <v>44042.708333333336</v>
      </c>
      <c r="B2701" s="1" t="s">
        <v>16</v>
      </c>
      <c r="C2701">
        <v>6</v>
      </c>
      <c r="D2701">
        <v>1</v>
      </c>
      <c r="E2701">
        <v>292</v>
      </c>
      <c r="F2701">
        <v>2702</v>
      </c>
      <c r="G2701" s="3">
        <f t="shared" si="126"/>
        <v>6</v>
      </c>
      <c r="H2701" s="4">
        <f t="shared" si="127"/>
        <v>2.2205773501110526E-3</v>
      </c>
      <c r="I2701" s="1">
        <f t="shared" si="128"/>
        <v>0</v>
      </c>
    </row>
    <row r="2702" spans="1:9" hidden="1" x14ac:dyDescent="0.2">
      <c r="A2702" s="6">
        <v>44043.708333333336</v>
      </c>
      <c r="B2702" s="1" t="s">
        <v>16</v>
      </c>
      <c r="C2702">
        <v>6</v>
      </c>
      <c r="D2702">
        <v>1</v>
      </c>
      <c r="E2702">
        <v>292</v>
      </c>
      <c r="F2702">
        <v>2717</v>
      </c>
      <c r="G2702" s="3">
        <f t="shared" si="126"/>
        <v>15</v>
      </c>
      <c r="H2702" s="4">
        <f t="shared" si="127"/>
        <v>5.5207949944792167E-3</v>
      </c>
      <c r="I2702" s="1">
        <f t="shared" si="128"/>
        <v>0</v>
      </c>
    </row>
    <row r="2703" spans="1:9" hidden="1" x14ac:dyDescent="0.2">
      <c r="A2703" s="6">
        <v>44044.708333333336</v>
      </c>
      <c r="B2703" s="1" t="s">
        <v>16</v>
      </c>
      <c r="C2703">
        <v>6</v>
      </c>
      <c r="D2703">
        <v>1</v>
      </c>
      <c r="E2703">
        <v>292</v>
      </c>
      <c r="F2703">
        <v>2725</v>
      </c>
      <c r="G2703" s="3">
        <f t="shared" si="126"/>
        <v>8</v>
      </c>
      <c r="H2703" s="4">
        <f t="shared" si="127"/>
        <v>2.9357798165137172E-3</v>
      </c>
      <c r="I2703" s="1">
        <f t="shared" si="128"/>
        <v>0</v>
      </c>
    </row>
    <row r="2704" spans="1:9" hidden="1" x14ac:dyDescent="0.2">
      <c r="A2704" s="6">
        <v>44045.708333333336</v>
      </c>
      <c r="B2704" s="1" t="s">
        <v>16</v>
      </c>
      <c r="C2704">
        <v>7</v>
      </c>
      <c r="D2704">
        <v>0</v>
      </c>
      <c r="E2704">
        <v>292</v>
      </c>
      <c r="F2704">
        <v>2728</v>
      </c>
      <c r="G2704" s="3">
        <f t="shared" si="126"/>
        <v>3</v>
      </c>
      <c r="H2704" s="4">
        <f t="shared" si="127"/>
        <v>1.0997067448680342E-3</v>
      </c>
      <c r="I2704" s="1">
        <f t="shared" si="128"/>
        <v>0</v>
      </c>
    </row>
    <row r="2705" spans="1:9" hidden="1" x14ac:dyDescent="0.2">
      <c r="A2705" s="6">
        <v>44046.708333333336</v>
      </c>
      <c r="B2705" s="1" t="s">
        <v>16</v>
      </c>
      <c r="C2705">
        <v>7</v>
      </c>
      <c r="D2705">
        <v>0</v>
      </c>
      <c r="E2705">
        <v>292</v>
      </c>
      <c r="F2705">
        <v>2734</v>
      </c>
      <c r="G2705" s="3">
        <f t="shared" si="126"/>
        <v>6</v>
      </c>
      <c r="H2705" s="4">
        <f t="shared" si="127"/>
        <v>2.1945866861741159E-3</v>
      </c>
      <c r="I2705" s="1">
        <f t="shared" si="128"/>
        <v>0</v>
      </c>
    </row>
    <row r="2706" spans="1:9" hidden="1" x14ac:dyDescent="0.2">
      <c r="A2706" s="6">
        <v>44047.708333333336</v>
      </c>
      <c r="B2706" s="1" t="s">
        <v>16</v>
      </c>
      <c r="C2706">
        <v>7</v>
      </c>
      <c r="D2706">
        <v>0</v>
      </c>
      <c r="E2706">
        <v>292</v>
      </c>
      <c r="F2706">
        <v>2740</v>
      </c>
      <c r="G2706" s="3">
        <f t="shared" si="126"/>
        <v>6</v>
      </c>
      <c r="H2706" s="4">
        <f t="shared" si="127"/>
        <v>2.1897810218978186E-3</v>
      </c>
      <c r="I2706" s="1">
        <f t="shared" si="128"/>
        <v>0</v>
      </c>
    </row>
    <row r="2707" spans="1:9" hidden="1" x14ac:dyDescent="0.2">
      <c r="A2707" s="6">
        <v>44048.708333333336</v>
      </c>
      <c r="B2707" s="1" t="s">
        <v>16</v>
      </c>
      <c r="C2707">
        <v>8</v>
      </c>
      <c r="D2707">
        <v>0</v>
      </c>
      <c r="E2707">
        <v>292</v>
      </c>
      <c r="F2707">
        <v>2745</v>
      </c>
      <c r="G2707" s="3">
        <f t="shared" si="126"/>
        <v>5</v>
      </c>
      <c r="H2707" s="4">
        <f t="shared" si="127"/>
        <v>1.8214936247723523E-3</v>
      </c>
      <c r="I2707" s="1">
        <f t="shared" si="128"/>
        <v>0</v>
      </c>
    </row>
    <row r="2708" spans="1:9" hidden="1" x14ac:dyDescent="0.2">
      <c r="A2708" s="6">
        <v>44049.708333333336</v>
      </c>
      <c r="B2708" s="1" t="s">
        <v>16</v>
      </c>
      <c r="C2708">
        <v>8</v>
      </c>
      <c r="D2708">
        <v>0</v>
      </c>
      <c r="E2708">
        <v>292</v>
      </c>
      <c r="F2708">
        <v>2757</v>
      </c>
      <c r="G2708" s="3">
        <f t="shared" si="126"/>
        <v>12</v>
      </c>
      <c r="H2708" s="4">
        <f t="shared" si="127"/>
        <v>4.3525571273123065E-3</v>
      </c>
      <c r="I2708" s="1">
        <f t="shared" si="128"/>
        <v>0</v>
      </c>
    </row>
    <row r="2709" spans="1:9" hidden="1" x14ac:dyDescent="0.2">
      <c r="A2709" s="6">
        <v>44050.708333333336</v>
      </c>
      <c r="B2709" s="1" t="s">
        <v>16</v>
      </c>
      <c r="C2709">
        <v>8</v>
      </c>
      <c r="D2709">
        <v>0</v>
      </c>
      <c r="E2709">
        <v>292</v>
      </c>
      <c r="F2709">
        <v>2761</v>
      </c>
      <c r="G2709" s="3">
        <f t="shared" si="126"/>
        <v>4</v>
      </c>
      <c r="H2709" s="4">
        <f t="shared" si="127"/>
        <v>1.4487504527345152E-3</v>
      </c>
      <c r="I2709" s="1">
        <f t="shared" si="128"/>
        <v>0</v>
      </c>
    </row>
    <row r="2710" spans="1:9" hidden="1" x14ac:dyDescent="0.2">
      <c r="A2710" s="6">
        <v>44051.708333333336</v>
      </c>
      <c r="B2710" s="1" t="s">
        <v>16</v>
      </c>
      <c r="C2710">
        <v>8</v>
      </c>
      <c r="D2710">
        <v>0</v>
      </c>
      <c r="E2710">
        <v>292</v>
      </c>
      <c r="F2710">
        <v>2766</v>
      </c>
      <c r="G2710" s="3">
        <f t="shared" si="126"/>
        <v>5</v>
      </c>
      <c r="H2710" s="4">
        <f t="shared" si="127"/>
        <v>1.8076644974692746E-3</v>
      </c>
      <c r="I2710" s="1">
        <f t="shared" si="128"/>
        <v>0</v>
      </c>
    </row>
    <row r="2711" spans="1:9" hidden="1" x14ac:dyDescent="0.2">
      <c r="A2711" s="6">
        <v>44052.708333333336</v>
      </c>
      <c r="B2711" s="1" t="s">
        <v>16</v>
      </c>
      <c r="C2711">
        <v>8</v>
      </c>
      <c r="D2711">
        <v>0</v>
      </c>
      <c r="E2711">
        <v>292</v>
      </c>
      <c r="F2711">
        <v>2773</v>
      </c>
      <c r="G2711" s="3">
        <f t="shared" si="126"/>
        <v>7</v>
      </c>
      <c r="H2711" s="4">
        <f t="shared" si="127"/>
        <v>2.5243418680129803E-3</v>
      </c>
      <c r="I2711" s="1">
        <f t="shared" si="128"/>
        <v>0</v>
      </c>
    </row>
    <row r="2712" spans="1:9" hidden="1" x14ac:dyDescent="0.2">
      <c r="A2712" s="6">
        <v>44053.708333333336</v>
      </c>
      <c r="B2712" s="1" t="s">
        <v>16</v>
      </c>
      <c r="C2712">
        <v>8</v>
      </c>
      <c r="D2712">
        <v>0</v>
      </c>
      <c r="E2712">
        <v>292</v>
      </c>
      <c r="F2712">
        <v>2774</v>
      </c>
      <c r="G2712" s="3">
        <f t="shared" si="126"/>
        <v>1</v>
      </c>
      <c r="H2712" s="4">
        <f t="shared" si="127"/>
        <v>3.6049026676276963E-4</v>
      </c>
      <c r="I2712" s="1">
        <f t="shared" si="128"/>
        <v>0</v>
      </c>
    </row>
    <row r="2713" spans="1:9" hidden="1" x14ac:dyDescent="0.2">
      <c r="A2713" s="6">
        <v>44054.708333333336</v>
      </c>
      <c r="B2713" s="1" t="s">
        <v>16</v>
      </c>
      <c r="C2713">
        <v>6</v>
      </c>
      <c r="D2713">
        <v>0</v>
      </c>
      <c r="E2713">
        <v>292</v>
      </c>
      <c r="F2713">
        <v>2775</v>
      </c>
      <c r="G2713" s="3">
        <f t="shared" si="126"/>
        <v>1</v>
      </c>
      <c r="H2713" s="4">
        <f t="shared" si="127"/>
        <v>3.6036036036035668E-4</v>
      </c>
      <c r="I2713" s="1">
        <f t="shared" si="128"/>
        <v>0</v>
      </c>
    </row>
    <row r="2714" spans="1:9" hidden="1" x14ac:dyDescent="0.2">
      <c r="A2714" s="6">
        <v>44055.708333333336</v>
      </c>
      <c r="B2714" s="1" t="s">
        <v>16</v>
      </c>
      <c r="C2714">
        <v>6</v>
      </c>
      <c r="D2714">
        <v>0</v>
      </c>
      <c r="E2714">
        <v>292</v>
      </c>
      <c r="F2714">
        <v>2779</v>
      </c>
      <c r="G2714" s="3">
        <f t="shared" si="126"/>
        <v>4</v>
      </c>
      <c r="H2714" s="4">
        <f t="shared" si="127"/>
        <v>1.4393666786614023E-3</v>
      </c>
      <c r="I2714" s="1">
        <f t="shared" si="128"/>
        <v>0</v>
      </c>
    </row>
    <row r="2715" spans="1:9" hidden="1" x14ac:dyDescent="0.2">
      <c r="A2715" s="6">
        <v>44056.708333333336</v>
      </c>
      <c r="B2715" s="1" t="s">
        <v>16</v>
      </c>
      <c r="C2715">
        <v>7</v>
      </c>
      <c r="D2715">
        <v>1</v>
      </c>
      <c r="E2715">
        <v>292</v>
      </c>
      <c r="F2715">
        <v>2781</v>
      </c>
      <c r="G2715" s="3">
        <f t="shared" si="126"/>
        <v>2</v>
      </c>
      <c r="H2715" s="4">
        <f t="shared" si="127"/>
        <v>7.1916576770947316E-4</v>
      </c>
      <c r="I2715" s="1">
        <f t="shared" si="128"/>
        <v>0</v>
      </c>
    </row>
    <row r="2716" spans="1:9" hidden="1" x14ac:dyDescent="0.2">
      <c r="A2716" s="6">
        <v>44057.708333333336</v>
      </c>
      <c r="B2716" s="1" t="s">
        <v>16</v>
      </c>
      <c r="C2716">
        <v>7</v>
      </c>
      <c r="D2716">
        <v>1</v>
      </c>
      <c r="E2716">
        <v>292</v>
      </c>
      <c r="F2716">
        <v>2784</v>
      </c>
      <c r="G2716" s="3">
        <f t="shared" si="126"/>
        <v>3</v>
      </c>
      <c r="H2716" s="4">
        <f t="shared" si="127"/>
        <v>1.0775862068965747E-3</v>
      </c>
      <c r="I2716" s="1">
        <f t="shared" si="128"/>
        <v>0</v>
      </c>
    </row>
    <row r="2717" spans="1:9" hidden="1" x14ac:dyDescent="0.2">
      <c r="A2717" s="6">
        <v>44058.708333333336</v>
      </c>
      <c r="B2717" s="1" t="s">
        <v>16</v>
      </c>
      <c r="C2717">
        <v>7</v>
      </c>
      <c r="D2717">
        <v>1</v>
      </c>
      <c r="E2717">
        <v>292</v>
      </c>
      <c r="F2717">
        <v>2793</v>
      </c>
      <c r="G2717" s="3">
        <f t="shared" si="126"/>
        <v>9</v>
      </c>
      <c r="H2717" s="4">
        <f t="shared" si="127"/>
        <v>3.2223415682062218E-3</v>
      </c>
      <c r="I2717" s="1">
        <f t="shared" si="128"/>
        <v>0</v>
      </c>
    </row>
    <row r="2718" spans="1:9" hidden="1" x14ac:dyDescent="0.2">
      <c r="A2718" s="6">
        <v>44059.708333333336</v>
      </c>
      <c r="B2718" s="1" t="s">
        <v>16</v>
      </c>
      <c r="C2718">
        <v>7</v>
      </c>
      <c r="D2718">
        <v>1</v>
      </c>
      <c r="E2718">
        <v>292</v>
      </c>
      <c r="F2718">
        <v>2802</v>
      </c>
      <c r="G2718" s="3">
        <f t="shared" si="126"/>
        <v>9</v>
      </c>
      <c r="H2718" s="4">
        <f t="shared" si="127"/>
        <v>3.2119914346895317E-3</v>
      </c>
      <c r="I2718" s="1">
        <f t="shared" si="128"/>
        <v>0</v>
      </c>
    </row>
    <row r="2719" spans="1:9" hidden="1" x14ac:dyDescent="0.2">
      <c r="A2719" s="6">
        <v>44060.708333333336</v>
      </c>
      <c r="B2719" s="1" t="s">
        <v>16</v>
      </c>
      <c r="C2719">
        <v>8</v>
      </c>
      <c r="D2719">
        <v>1</v>
      </c>
      <c r="E2719">
        <v>292</v>
      </c>
      <c r="F2719">
        <v>2804</v>
      </c>
      <c r="G2719" s="3">
        <f t="shared" si="126"/>
        <v>2</v>
      </c>
      <c r="H2719" s="4">
        <f t="shared" si="127"/>
        <v>7.1326676176886039E-4</v>
      </c>
      <c r="I2719" s="1">
        <f t="shared" si="128"/>
        <v>0</v>
      </c>
    </row>
    <row r="2720" spans="1:9" hidden="1" x14ac:dyDescent="0.2">
      <c r="A2720" s="6">
        <v>44061.708333333336</v>
      </c>
      <c r="B2720" s="1" t="s">
        <v>16</v>
      </c>
      <c r="C2720">
        <v>8</v>
      </c>
      <c r="D2720">
        <v>1</v>
      </c>
      <c r="E2720">
        <v>292</v>
      </c>
      <c r="F2720">
        <v>2804</v>
      </c>
      <c r="G2720" s="3">
        <f t="shared" si="126"/>
        <v>0</v>
      </c>
      <c r="H2720" s="4">
        <f t="shared" si="127"/>
        <v>0</v>
      </c>
      <c r="I2720" s="1">
        <f t="shared" si="128"/>
        <v>0</v>
      </c>
    </row>
    <row r="2721" spans="1:9" hidden="1" x14ac:dyDescent="0.2">
      <c r="A2721" s="6">
        <v>44062.708333333336</v>
      </c>
      <c r="B2721" s="1" t="s">
        <v>16</v>
      </c>
      <c r="C2721">
        <v>8</v>
      </c>
      <c r="D2721">
        <v>1</v>
      </c>
      <c r="E2721">
        <v>292</v>
      </c>
      <c r="F2721">
        <v>2811</v>
      </c>
      <c r="G2721" s="3">
        <f t="shared" si="126"/>
        <v>7</v>
      </c>
      <c r="H2721" s="4">
        <f t="shared" si="127"/>
        <v>2.4902170046247063E-3</v>
      </c>
      <c r="I2721" s="1">
        <f t="shared" si="128"/>
        <v>0</v>
      </c>
    </row>
    <row r="2722" spans="1:9" hidden="1" x14ac:dyDescent="0.2">
      <c r="A2722" s="6">
        <v>44063.708333333336</v>
      </c>
      <c r="B2722" s="1" t="s">
        <v>16</v>
      </c>
      <c r="C2722">
        <v>8</v>
      </c>
      <c r="D2722">
        <v>1</v>
      </c>
      <c r="E2722">
        <v>292</v>
      </c>
      <c r="F2722">
        <v>2832</v>
      </c>
      <c r="G2722" s="3">
        <f t="shared" si="126"/>
        <v>21</v>
      </c>
      <c r="H2722" s="4">
        <f t="shared" si="127"/>
        <v>7.4152542372881713E-3</v>
      </c>
      <c r="I2722" s="1">
        <f t="shared" si="128"/>
        <v>0</v>
      </c>
    </row>
    <row r="2723" spans="1:9" hidden="1" x14ac:dyDescent="0.2">
      <c r="A2723" s="6">
        <v>44064.708333333336</v>
      </c>
      <c r="B2723" s="1" t="s">
        <v>16</v>
      </c>
      <c r="C2723">
        <v>8</v>
      </c>
      <c r="D2723">
        <v>1</v>
      </c>
      <c r="E2723">
        <v>292</v>
      </c>
      <c r="F2723">
        <v>2837</v>
      </c>
      <c r="G2723" s="3">
        <f t="shared" si="126"/>
        <v>5</v>
      </c>
      <c r="H2723" s="4">
        <f t="shared" si="127"/>
        <v>1.7624250969333621E-3</v>
      </c>
      <c r="I2723" s="1">
        <f t="shared" si="128"/>
        <v>0</v>
      </c>
    </row>
    <row r="2724" spans="1:9" hidden="1" x14ac:dyDescent="0.2">
      <c r="A2724" s="6">
        <v>44065.708333333336</v>
      </c>
      <c r="B2724" s="1" t="s">
        <v>16</v>
      </c>
      <c r="C2724">
        <v>8</v>
      </c>
      <c r="D2724">
        <v>1</v>
      </c>
      <c r="E2724">
        <v>292</v>
      </c>
      <c r="F2724">
        <v>2856</v>
      </c>
      <c r="G2724" s="3">
        <f t="shared" si="126"/>
        <v>19</v>
      </c>
      <c r="H2724" s="4">
        <f t="shared" si="127"/>
        <v>6.6526610644257467E-3</v>
      </c>
      <c r="I2724" s="1">
        <f t="shared" si="128"/>
        <v>0</v>
      </c>
    </row>
    <row r="2725" spans="1:9" hidden="1" x14ac:dyDescent="0.2">
      <c r="A2725" s="6">
        <v>44066.708333333336</v>
      </c>
      <c r="B2725" s="1" t="s">
        <v>16</v>
      </c>
      <c r="C2725">
        <v>8</v>
      </c>
      <c r="D2725">
        <v>1</v>
      </c>
      <c r="E2725">
        <v>292</v>
      </c>
      <c r="F2725">
        <v>2869</v>
      </c>
      <c r="G2725" s="3">
        <f t="shared" si="126"/>
        <v>13</v>
      </c>
      <c r="H2725" s="4">
        <f t="shared" si="127"/>
        <v>4.5311955385151093E-3</v>
      </c>
      <c r="I2725" s="1">
        <f t="shared" si="128"/>
        <v>0</v>
      </c>
    </row>
    <row r="2726" spans="1:9" hidden="1" x14ac:dyDescent="0.2">
      <c r="A2726" s="6">
        <v>44067.708333333336</v>
      </c>
      <c r="B2726" s="1" t="s">
        <v>16</v>
      </c>
      <c r="C2726">
        <v>8</v>
      </c>
      <c r="D2726">
        <v>1</v>
      </c>
      <c r="E2726">
        <v>292</v>
      </c>
      <c r="F2726">
        <v>2884</v>
      </c>
      <c r="G2726" s="3">
        <f t="shared" si="126"/>
        <v>15</v>
      </c>
      <c r="H2726" s="4">
        <f t="shared" si="127"/>
        <v>5.2011095700416066E-3</v>
      </c>
      <c r="I2726" s="1">
        <f t="shared" si="128"/>
        <v>0</v>
      </c>
    </row>
    <row r="2727" spans="1:9" hidden="1" x14ac:dyDescent="0.2">
      <c r="A2727" s="6">
        <v>44068.708333333336</v>
      </c>
      <c r="B2727" s="1" t="s">
        <v>16</v>
      </c>
      <c r="C2727">
        <v>8</v>
      </c>
      <c r="D2727">
        <v>1</v>
      </c>
      <c r="E2727">
        <v>292</v>
      </c>
      <c r="F2727">
        <v>2893</v>
      </c>
      <c r="G2727" s="3">
        <f t="shared" si="126"/>
        <v>9</v>
      </c>
      <c r="H2727" s="4">
        <f t="shared" si="127"/>
        <v>3.1109574835810339E-3</v>
      </c>
      <c r="I2727" s="1">
        <f t="shared" si="128"/>
        <v>0</v>
      </c>
    </row>
    <row r="2728" spans="1:9" hidden="1" x14ac:dyDescent="0.2">
      <c r="A2728" s="6">
        <v>44069.708333333336</v>
      </c>
      <c r="B2728" s="1" t="s">
        <v>16</v>
      </c>
      <c r="C2728">
        <v>8</v>
      </c>
      <c r="D2728">
        <v>1</v>
      </c>
      <c r="E2728">
        <v>292</v>
      </c>
      <c r="F2728">
        <v>2898</v>
      </c>
      <c r="G2728" s="3">
        <f t="shared" si="126"/>
        <v>5</v>
      </c>
      <c r="H2728" s="4">
        <f t="shared" si="127"/>
        <v>1.7253278122842941E-3</v>
      </c>
      <c r="I2728" s="1">
        <f t="shared" si="128"/>
        <v>0</v>
      </c>
    </row>
    <row r="2729" spans="1:9" hidden="1" x14ac:dyDescent="0.2">
      <c r="A2729" s="6">
        <v>44070.708333333336</v>
      </c>
      <c r="B2729" s="1" t="s">
        <v>16</v>
      </c>
      <c r="C2729">
        <v>8</v>
      </c>
      <c r="D2729">
        <v>1</v>
      </c>
      <c r="E2729">
        <v>292</v>
      </c>
      <c r="F2729">
        <v>2907</v>
      </c>
      <c r="G2729" s="3">
        <f t="shared" si="126"/>
        <v>9</v>
      </c>
      <c r="H2729" s="4">
        <f t="shared" si="127"/>
        <v>3.0959752321981782E-3</v>
      </c>
      <c r="I2729" s="1">
        <f t="shared" si="128"/>
        <v>0</v>
      </c>
    </row>
    <row r="2730" spans="1:9" hidden="1" x14ac:dyDescent="0.2">
      <c r="A2730" s="6">
        <v>44071.708333333336</v>
      </c>
      <c r="B2730" s="1" t="s">
        <v>16</v>
      </c>
      <c r="C2730">
        <v>8</v>
      </c>
      <c r="D2730">
        <v>1</v>
      </c>
      <c r="E2730">
        <v>292</v>
      </c>
      <c r="F2730">
        <v>2915</v>
      </c>
      <c r="G2730" s="3">
        <f t="shared" si="126"/>
        <v>8</v>
      </c>
      <c r="H2730" s="4">
        <f t="shared" si="127"/>
        <v>2.7444253859347789E-3</v>
      </c>
      <c r="I2730" s="1">
        <f t="shared" si="128"/>
        <v>0</v>
      </c>
    </row>
    <row r="2731" spans="1:9" hidden="1" x14ac:dyDescent="0.2">
      <c r="A2731" s="6">
        <v>44072.708333333336</v>
      </c>
      <c r="B2731" s="1" t="s">
        <v>16</v>
      </c>
      <c r="C2731">
        <v>8</v>
      </c>
      <c r="D2731">
        <v>2</v>
      </c>
      <c r="E2731">
        <v>292</v>
      </c>
      <c r="F2731">
        <v>2924</v>
      </c>
      <c r="G2731" s="3">
        <f t="shared" si="126"/>
        <v>9</v>
      </c>
      <c r="H2731" s="4">
        <f t="shared" si="127"/>
        <v>3.0779753761970285E-3</v>
      </c>
      <c r="I2731" s="1">
        <f t="shared" si="128"/>
        <v>0</v>
      </c>
    </row>
    <row r="2732" spans="1:9" hidden="1" x14ac:dyDescent="0.2">
      <c r="A2732" s="6">
        <v>44073.708333333336</v>
      </c>
      <c r="B2732" s="1" t="s">
        <v>16</v>
      </c>
      <c r="C2732">
        <v>8</v>
      </c>
      <c r="D2732">
        <v>2</v>
      </c>
      <c r="E2732">
        <v>292</v>
      </c>
      <c r="F2732">
        <v>2932</v>
      </c>
      <c r="G2732" s="3">
        <f t="shared" si="126"/>
        <v>8</v>
      </c>
      <c r="H2732" s="4">
        <f t="shared" si="127"/>
        <v>2.7285129604365244E-3</v>
      </c>
      <c r="I2732" s="1">
        <f t="shared" si="128"/>
        <v>0</v>
      </c>
    </row>
    <row r="2733" spans="1:9" hidden="1" x14ac:dyDescent="0.2">
      <c r="A2733" s="6">
        <v>44074.708333333336</v>
      </c>
      <c r="B2733" s="1" t="s">
        <v>16</v>
      </c>
      <c r="C2733">
        <v>8</v>
      </c>
      <c r="D2733">
        <v>2</v>
      </c>
      <c r="E2733">
        <v>292</v>
      </c>
      <c r="F2733">
        <v>2935</v>
      </c>
      <c r="G2733" s="3">
        <f t="shared" si="126"/>
        <v>3</v>
      </c>
      <c r="H2733" s="4">
        <f t="shared" si="127"/>
        <v>1.0221465076660774E-3</v>
      </c>
      <c r="I2733" s="1">
        <f t="shared" si="128"/>
        <v>0</v>
      </c>
    </row>
    <row r="2734" spans="1:9" hidden="1" x14ac:dyDescent="0.2">
      <c r="A2734" s="6">
        <v>44075.708333333336</v>
      </c>
      <c r="B2734" s="1" t="s">
        <v>16</v>
      </c>
      <c r="C2734">
        <v>8</v>
      </c>
      <c r="D2734">
        <v>2</v>
      </c>
      <c r="E2734">
        <v>292</v>
      </c>
      <c r="F2734">
        <v>2948</v>
      </c>
      <c r="G2734" s="3">
        <f t="shared" si="126"/>
        <v>13</v>
      </c>
      <c r="H2734" s="4">
        <f t="shared" si="127"/>
        <v>4.4097693351424772E-3</v>
      </c>
      <c r="I2734" s="1">
        <f t="shared" si="128"/>
        <v>0</v>
      </c>
    </row>
    <row r="2735" spans="1:9" hidden="1" x14ac:dyDescent="0.2">
      <c r="A2735" s="6">
        <v>44076.708333333336</v>
      </c>
      <c r="B2735" s="1" t="s">
        <v>16</v>
      </c>
      <c r="C2735">
        <v>8</v>
      </c>
      <c r="D2735">
        <v>2</v>
      </c>
      <c r="E2735">
        <v>292</v>
      </c>
      <c r="F2735">
        <v>2958</v>
      </c>
      <c r="G2735" s="3">
        <f t="shared" si="126"/>
        <v>10</v>
      </c>
      <c r="H2735" s="4">
        <f t="shared" si="127"/>
        <v>3.3806626098715764E-3</v>
      </c>
      <c r="I2735" s="1">
        <f t="shared" si="128"/>
        <v>0</v>
      </c>
    </row>
    <row r="2736" spans="1:9" hidden="1" x14ac:dyDescent="0.2">
      <c r="A2736" s="6">
        <v>44077.708333333336</v>
      </c>
      <c r="B2736" s="1" t="s">
        <v>16</v>
      </c>
      <c r="C2736">
        <v>8</v>
      </c>
      <c r="D2736">
        <v>2</v>
      </c>
      <c r="E2736">
        <v>292</v>
      </c>
      <c r="F2736">
        <v>2962</v>
      </c>
      <c r="G2736" s="3">
        <f t="shared" si="126"/>
        <v>4</v>
      </c>
      <c r="H2736" s="4">
        <f t="shared" si="127"/>
        <v>1.3504388926400823E-3</v>
      </c>
      <c r="I2736" s="1">
        <f t="shared" si="128"/>
        <v>0</v>
      </c>
    </row>
    <row r="2737" spans="1:9" hidden="1" x14ac:dyDescent="0.2">
      <c r="A2737" s="6">
        <v>44078.708333333336</v>
      </c>
      <c r="B2737" s="1" t="s">
        <v>16</v>
      </c>
      <c r="C2737">
        <v>8</v>
      </c>
      <c r="D2737">
        <v>2</v>
      </c>
      <c r="E2737">
        <v>292</v>
      </c>
      <c r="F2737">
        <v>2973</v>
      </c>
      <c r="G2737" s="3">
        <f t="shared" si="126"/>
        <v>11</v>
      </c>
      <c r="H2737" s="4">
        <f t="shared" si="127"/>
        <v>3.6999663639420977E-3</v>
      </c>
      <c r="I2737" s="1">
        <f t="shared" si="128"/>
        <v>0</v>
      </c>
    </row>
    <row r="2738" spans="1:9" hidden="1" x14ac:dyDescent="0.2">
      <c r="A2738" s="6">
        <v>44079.708333333336</v>
      </c>
      <c r="B2738" s="1" t="s">
        <v>16</v>
      </c>
      <c r="C2738">
        <v>8</v>
      </c>
      <c r="D2738">
        <v>2</v>
      </c>
      <c r="E2738">
        <v>292</v>
      </c>
      <c r="F2738">
        <v>2996</v>
      </c>
      <c r="G2738" s="3">
        <f t="shared" si="126"/>
        <v>23</v>
      </c>
      <c r="H2738" s="4">
        <f t="shared" si="127"/>
        <v>7.6769025367156019E-3</v>
      </c>
      <c r="I2738" s="1">
        <f t="shared" si="128"/>
        <v>0</v>
      </c>
    </row>
    <row r="2739" spans="1:9" hidden="1" x14ac:dyDescent="0.2">
      <c r="A2739" s="6">
        <v>44080.708333333336</v>
      </c>
      <c r="B2739" s="1" t="s">
        <v>16</v>
      </c>
      <c r="C2739">
        <v>8</v>
      </c>
      <c r="D2739">
        <v>2</v>
      </c>
      <c r="E2739">
        <v>292</v>
      </c>
      <c r="F2739">
        <v>3003</v>
      </c>
      <c r="G2739" s="3">
        <f t="shared" si="126"/>
        <v>7</v>
      </c>
      <c r="H2739" s="4">
        <f t="shared" si="127"/>
        <v>2.3310023310023631E-3</v>
      </c>
      <c r="I2739" s="1">
        <f t="shared" si="128"/>
        <v>0</v>
      </c>
    </row>
    <row r="2740" spans="1:9" hidden="1" x14ac:dyDescent="0.2">
      <c r="A2740" s="6">
        <v>44081.708333333336</v>
      </c>
      <c r="B2740" s="1" t="s">
        <v>16</v>
      </c>
      <c r="C2740">
        <v>8</v>
      </c>
      <c r="D2740">
        <v>2</v>
      </c>
      <c r="E2740">
        <v>292</v>
      </c>
      <c r="F2740">
        <v>3003</v>
      </c>
      <c r="G2740" s="3">
        <f t="shared" si="126"/>
        <v>0</v>
      </c>
      <c r="H2740" s="4">
        <f t="shared" si="127"/>
        <v>0</v>
      </c>
      <c r="I2740" s="1">
        <f t="shared" si="128"/>
        <v>0</v>
      </c>
    </row>
    <row r="2741" spans="1:9" hidden="1" x14ac:dyDescent="0.2">
      <c r="A2741" s="6">
        <v>44082.708333333336</v>
      </c>
      <c r="B2741" s="1" t="s">
        <v>16</v>
      </c>
      <c r="C2741">
        <v>8</v>
      </c>
      <c r="D2741">
        <v>0</v>
      </c>
      <c r="E2741">
        <v>292</v>
      </c>
      <c r="F2741">
        <v>3007</v>
      </c>
      <c r="G2741" s="3">
        <f t="shared" si="126"/>
        <v>4</v>
      </c>
      <c r="H2741" s="4">
        <f t="shared" si="127"/>
        <v>1.3302294645826107E-3</v>
      </c>
      <c r="I2741" s="1">
        <f t="shared" si="128"/>
        <v>0</v>
      </c>
    </row>
    <row r="2742" spans="1:9" hidden="1" x14ac:dyDescent="0.2">
      <c r="A2742" s="6">
        <v>44083.708333333336</v>
      </c>
      <c r="B2742" s="1" t="s">
        <v>16</v>
      </c>
      <c r="C2742">
        <v>8</v>
      </c>
      <c r="D2742">
        <v>0</v>
      </c>
      <c r="E2742">
        <v>292</v>
      </c>
      <c r="F2742">
        <v>3017</v>
      </c>
      <c r="G2742" s="3">
        <f t="shared" si="126"/>
        <v>10</v>
      </c>
      <c r="H2742" s="4">
        <f t="shared" si="127"/>
        <v>3.3145508783559707E-3</v>
      </c>
      <c r="I2742" s="1">
        <f t="shared" si="128"/>
        <v>0</v>
      </c>
    </row>
    <row r="2743" spans="1:9" hidden="1" x14ac:dyDescent="0.2">
      <c r="A2743" s="6">
        <v>44084.708333333336</v>
      </c>
      <c r="B2743" s="1" t="s">
        <v>16</v>
      </c>
      <c r="C2743">
        <v>8</v>
      </c>
      <c r="D2743">
        <v>0</v>
      </c>
      <c r="E2743">
        <v>292</v>
      </c>
      <c r="F2743">
        <v>3037</v>
      </c>
      <c r="G2743" s="3">
        <f t="shared" si="126"/>
        <v>20</v>
      </c>
      <c r="H2743" s="4">
        <f t="shared" si="127"/>
        <v>6.5854461639776041E-3</v>
      </c>
      <c r="I2743" s="1">
        <f t="shared" si="128"/>
        <v>0</v>
      </c>
    </row>
    <row r="2744" spans="1:9" hidden="1" x14ac:dyDescent="0.2">
      <c r="A2744" s="6">
        <v>44085.708333333336</v>
      </c>
      <c r="B2744" s="1" t="s">
        <v>16</v>
      </c>
      <c r="C2744">
        <v>8</v>
      </c>
      <c r="D2744">
        <v>0</v>
      </c>
      <c r="E2744">
        <v>292</v>
      </c>
      <c r="F2744">
        <v>3063</v>
      </c>
      <c r="G2744" s="3">
        <f t="shared" si="126"/>
        <v>26</v>
      </c>
      <c r="H2744" s="4">
        <f t="shared" si="127"/>
        <v>8.488410055501161E-3</v>
      </c>
      <c r="I2744" s="1">
        <f t="shared" si="128"/>
        <v>0</v>
      </c>
    </row>
    <row r="2745" spans="1:9" hidden="1" x14ac:dyDescent="0.2">
      <c r="A2745" s="6">
        <v>44086.708333333336</v>
      </c>
      <c r="B2745" s="1" t="s">
        <v>16</v>
      </c>
      <c r="C2745">
        <v>8</v>
      </c>
      <c r="D2745">
        <v>0</v>
      </c>
      <c r="E2745">
        <v>292</v>
      </c>
      <c r="F2745">
        <v>3088</v>
      </c>
      <c r="G2745" s="3">
        <f t="shared" si="126"/>
        <v>25</v>
      </c>
      <c r="H2745" s="4">
        <f t="shared" si="127"/>
        <v>8.0958549222798215E-3</v>
      </c>
      <c r="I2745" s="1">
        <f t="shared" si="128"/>
        <v>0</v>
      </c>
    </row>
    <row r="2746" spans="1:9" hidden="1" x14ac:dyDescent="0.2">
      <c r="A2746" s="6">
        <v>44087.708333333336</v>
      </c>
      <c r="B2746" s="1" t="s">
        <v>16</v>
      </c>
      <c r="C2746">
        <v>8</v>
      </c>
      <c r="D2746">
        <v>0</v>
      </c>
      <c r="E2746">
        <v>292</v>
      </c>
      <c r="F2746">
        <v>3128</v>
      </c>
      <c r="G2746" s="3">
        <f t="shared" si="126"/>
        <v>40</v>
      </c>
      <c r="H2746" s="4">
        <f t="shared" si="127"/>
        <v>1.2787723785166238E-2</v>
      </c>
      <c r="I2746" s="1">
        <f t="shared" si="128"/>
        <v>0</v>
      </c>
    </row>
    <row r="2747" spans="1:9" hidden="1" x14ac:dyDescent="0.2">
      <c r="A2747" s="6">
        <v>44088.708333333336</v>
      </c>
      <c r="B2747" s="1" t="s">
        <v>16</v>
      </c>
      <c r="C2747">
        <v>8</v>
      </c>
      <c r="D2747">
        <v>0</v>
      </c>
      <c r="E2747">
        <v>292</v>
      </c>
      <c r="F2747">
        <v>3135</v>
      </c>
      <c r="G2747" s="3">
        <f t="shared" si="126"/>
        <v>7</v>
      </c>
      <c r="H2747" s="4">
        <f t="shared" si="127"/>
        <v>2.2328548644338087E-3</v>
      </c>
      <c r="I2747" s="1">
        <f t="shared" si="128"/>
        <v>0</v>
      </c>
    </row>
    <row r="2748" spans="1:9" hidden="1" x14ac:dyDescent="0.2">
      <c r="A2748" s="6">
        <v>44089.708333333336</v>
      </c>
      <c r="B2748" s="1" t="s">
        <v>16</v>
      </c>
      <c r="C2748">
        <v>15</v>
      </c>
      <c r="D2748">
        <v>1</v>
      </c>
      <c r="E2748">
        <v>292</v>
      </c>
      <c r="F2748">
        <v>3156</v>
      </c>
      <c r="G2748" s="3">
        <f t="shared" si="126"/>
        <v>21</v>
      </c>
      <c r="H2748" s="4">
        <f t="shared" si="127"/>
        <v>6.6539923954372915E-3</v>
      </c>
      <c r="I2748" s="1">
        <f t="shared" si="128"/>
        <v>0</v>
      </c>
    </row>
    <row r="2749" spans="1:9" hidden="1" x14ac:dyDescent="0.2">
      <c r="A2749" s="6">
        <v>44090.708333333336</v>
      </c>
      <c r="B2749" s="1" t="s">
        <v>16</v>
      </c>
      <c r="C2749">
        <v>17</v>
      </c>
      <c r="D2749">
        <v>2</v>
      </c>
      <c r="E2749">
        <v>292</v>
      </c>
      <c r="F2749">
        <v>3168</v>
      </c>
      <c r="G2749" s="3">
        <f t="shared" si="126"/>
        <v>12</v>
      </c>
      <c r="H2749" s="4">
        <f t="shared" si="127"/>
        <v>3.7878787878787845E-3</v>
      </c>
      <c r="I2749" s="1">
        <f t="shared" si="128"/>
        <v>0</v>
      </c>
    </row>
    <row r="2750" spans="1:9" hidden="1" x14ac:dyDescent="0.2">
      <c r="A2750" s="6">
        <v>44091.708333333336</v>
      </c>
      <c r="B2750" s="1" t="s">
        <v>16</v>
      </c>
      <c r="C2750">
        <v>15</v>
      </c>
      <c r="D2750">
        <v>2</v>
      </c>
      <c r="E2750">
        <v>292</v>
      </c>
      <c r="F2750">
        <v>3183</v>
      </c>
      <c r="G2750" s="3">
        <f t="shared" si="126"/>
        <v>15</v>
      </c>
      <c r="H2750" s="4">
        <f t="shared" si="127"/>
        <v>4.7125353440150564E-3</v>
      </c>
      <c r="I2750" s="1">
        <f t="shared" si="128"/>
        <v>0</v>
      </c>
    </row>
    <row r="2751" spans="1:9" hidden="1" x14ac:dyDescent="0.2">
      <c r="A2751" s="6">
        <v>44092.708333333336</v>
      </c>
      <c r="B2751" s="1" t="s">
        <v>16</v>
      </c>
      <c r="C2751">
        <v>15</v>
      </c>
      <c r="D2751">
        <v>2</v>
      </c>
      <c r="E2751">
        <v>292</v>
      </c>
      <c r="F2751">
        <v>3255</v>
      </c>
      <c r="G2751" s="3">
        <f t="shared" si="126"/>
        <v>72</v>
      </c>
      <c r="H2751" s="4">
        <f t="shared" si="127"/>
        <v>2.2119815668202758E-2</v>
      </c>
      <c r="I2751" s="1">
        <f t="shared" si="128"/>
        <v>0</v>
      </c>
    </row>
    <row r="2752" spans="1:9" hidden="1" x14ac:dyDescent="0.2">
      <c r="A2752" s="6">
        <v>44093.708333333336</v>
      </c>
      <c r="B2752" s="1" t="s">
        <v>16</v>
      </c>
      <c r="C2752">
        <v>15</v>
      </c>
      <c r="D2752">
        <v>2</v>
      </c>
      <c r="E2752">
        <v>292</v>
      </c>
      <c r="F2752">
        <v>3281</v>
      </c>
      <c r="G2752" s="3">
        <f t="shared" si="126"/>
        <v>26</v>
      </c>
      <c r="H2752" s="4">
        <f t="shared" si="127"/>
        <v>7.9244132886314711E-3</v>
      </c>
      <c r="I2752" s="1">
        <f t="shared" si="128"/>
        <v>0</v>
      </c>
    </row>
    <row r="2753" spans="1:9" hidden="1" x14ac:dyDescent="0.2">
      <c r="A2753" s="6">
        <v>44094.708333333336</v>
      </c>
      <c r="B2753" s="1" t="s">
        <v>16</v>
      </c>
      <c r="C2753">
        <v>15</v>
      </c>
      <c r="D2753">
        <v>2</v>
      </c>
      <c r="E2753">
        <v>292</v>
      </c>
      <c r="F2753">
        <v>3301</v>
      </c>
      <c r="G2753" s="3">
        <f t="shared" si="126"/>
        <v>20</v>
      </c>
      <c r="H2753" s="4">
        <f t="shared" si="127"/>
        <v>6.0587700696758118E-3</v>
      </c>
      <c r="I2753" s="1">
        <f t="shared" si="128"/>
        <v>0</v>
      </c>
    </row>
    <row r="2754" spans="1:9" hidden="1" x14ac:dyDescent="0.2">
      <c r="A2754" s="6">
        <v>44095.708333333336</v>
      </c>
      <c r="B2754" s="1" t="s">
        <v>16</v>
      </c>
      <c r="C2754">
        <v>16</v>
      </c>
      <c r="D2754">
        <v>1</v>
      </c>
      <c r="E2754">
        <v>292</v>
      </c>
      <c r="F2754">
        <v>3321</v>
      </c>
      <c r="G2754" s="3">
        <f t="shared" si="126"/>
        <v>20</v>
      </c>
      <c r="H2754" s="4">
        <f t="shared" si="127"/>
        <v>6.0222824450466561E-3</v>
      </c>
      <c r="I2754" s="1">
        <f t="shared" si="128"/>
        <v>0</v>
      </c>
    </row>
    <row r="2755" spans="1:9" hidden="1" x14ac:dyDescent="0.2">
      <c r="A2755" s="6">
        <v>44096.708333333336</v>
      </c>
      <c r="B2755" s="1" t="s">
        <v>16</v>
      </c>
      <c r="C2755">
        <v>20</v>
      </c>
      <c r="D2755">
        <v>1</v>
      </c>
      <c r="E2755">
        <v>292</v>
      </c>
      <c r="F2755">
        <v>3329</v>
      </c>
      <c r="G2755" s="3">
        <f t="shared" ref="G2755:G2818" si="129">IF(AND(F2755&gt;0,AND(B2755=B2754,F2755&gt;0)),F2755-F2754,0)</f>
        <v>8</v>
      </c>
      <c r="H2755" s="4">
        <f t="shared" ref="H2755:H2818" si="130">IF(AND(F2754&gt;0,AND(B2755=B2754,F2754&gt;0)),1-(F2754/F2755),0)</f>
        <v>2.4031240612796267E-3</v>
      </c>
      <c r="I2755" s="1">
        <f t="shared" ref="I2755:I2818" si="131">IF(AND(E2755&gt;0,AND(B2755=B2754,E2755&gt;0)),E2755-E2754,0)</f>
        <v>0</v>
      </c>
    </row>
    <row r="2756" spans="1:9" hidden="1" x14ac:dyDescent="0.2">
      <c r="A2756" s="6">
        <v>44097.708333333336</v>
      </c>
      <c r="B2756" s="1" t="s">
        <v>16</v>
      </c>
      <c r="C2756">
        <v>20</v>
      </c>
      <c r="D2756">
        <v>1</v>
      </c>
      <c r="E2756">
        <v>292</v>
      </c>
      <c r="F2756">
        <v>3366</v>
      </c>
      <c r="G2756" s="3">
        <f t="shared" si="129"/>
        <v>37</v>
      </c>
      <c r="H2756" s="4">
        <f t="shared" si="130"/>
        <v>1.0992275698158083E-2</v>
      </c>
      <c r="I2756" s="1">
        <f t="shared" si="131"/>
        <v>0</v>
      </c>
    </row>
    <row r="2757" spans="1:9" hidden="1" x14ac:dyDescent="0.2">
      <c r="A2757" s="6">
        <v>44098.708333333336</v>
      </c>
      <c r="B2757" s="1" t="s">
        <v>16</v>
      </c>
      <c r="C2757">
        <v>20</v>
      </c>
      <c r="D2757">
        <v>1</v>
      </c>
      <c r="E2757">
        <v>292</v>
      </c>
      <c r="F2757">
        <v>3386</v>
      </c>
      <c r="G2757" s="3">
        <f t="shared" si="129"/>
        <v>20</v>
      </c>
      <c r="H2757" s="4">
        <f t="shared" si="130"/>
        <v>5.9066745422327038E-3</v>
      </c>
      <c r="I2757" s="1">
        <f t="shared" si="131"/>
        <v>0</v>
      </c>
    </row>
    <row r="2758" spans="1:9" hidden="1" x14ac:dyDescent="0.2">
      <c r="A2758" s="6">
        <v>44099.708333333336</v>
      </c>
      <c r="B2758" s="1" t="s">
        <v>16</v>
      </c>
      <c r="C2758">
        <v>20</v>
      </c>
      <c r="D2758">
        <v>1</v>
      </c>
      <c r="E2758">
        <v>292</v>
      </c>
      <c r="F2758">
        <v>3438</v>
      </c>
      <c r="G2758" s="3">
        <f t="shared" si="129"/>
        <v>52</v>
      </c>
      <c r="H2758" s="4">
        <f t="shared" si="130"/>
        <v>1.512507271669572E-2</v>
      </c>
      <c r="I2758" s="1">
        <f t="shared" si="131"/>
        <v>0</v>
      </c>
    </row>
    <row r="2759" spans="1:9" hidden="1" x14ac:dyDescent="0.2">
      <c r="A2759" s="6">
        <v>44100.708333333336</v>
      </c>
      <c r="B2759" s="1" t="s">
        <v>16</v>
      </c>
      <c r="C2759">
        <v>26</v>
      </c>
      <c r="D2759">
        <v>0</v>
      </c>
      <c r="E2759">
        <v>292</v>
      </c>
      <c r="F2759">
        <v>3467</v>
      </c>
      <c r="G2759" s="3">
        <f t="shared" si="129"/>
        <v>29</v>
      </c>
      <c r="H2759" s="4">
        <f t="shared" si="130"/>
        <v>8.364580328814486E-3</v>
      </c>
      <c r="I2759" s="1">
        <f t="shared" si="131"/>
        <v>0</v>
      </c>
    </row>
    <row r="2760" spans="1:9" hidden="1" x14ac:dyDescent="0.2">
      <c r="A2760" s="6">
        <v>44101.708333333336</v>
      </c>
      <c r="B2760" s="1" t="s">
        <v>16</v>
      </c>
      <c r="C2760">
        <v>26</v>
      </c>
      <c r="D2760">
        <v>0</v>
      </c>
      <c r="E2760">
        <v>292</v>
      </c>
      <c r="F2760">
        <v>3489</v>
      </c>
      <c r="G2760" s="3">
        <f t="shared" si="129"/>
        <v>22</v>
      </c>
      <c r="H2760" s="4">
        <f t="shared" si="130"/>
        <v>6.3055316709659248E-3</v>
      </c>
      <c r="I2760" s="1">
        <f t="shared" si="131"/>
        <v>0</v>
      </c>
    </row>
    <row r="2761" spans="1:9" hidden="1" x14ac:dyDescent="0.2">
      <c r="A2761" s="6">
        <v>44102.708333333336</v>
      </c>
      <c r="B2761" s="1" t="s">
        <v>16</v>
      </c>
      <c r="C2761">
        <v>26</v>
      </c>
      <c r="D2761">
        <v>0</v>
      </c>
      <c r="E2761">
        <v>292</v>
      </c>
      <c r="F2761">
        <v>3514</v>
      </c>
      <c r="G2761" s="3">
        <f t="shared" si="129"/>
        <v>25</v>
      </c>
      <c r="H2761" s="4">
        <f t="shared" si="130"/>
        <v>7.114399544678407E-3</v>
      </c>
      <c r="I2761" s="1">
        <f t="shared" si="131"/>
        <v>0</v>
      </c>
    </row>
    <row r="2762" spans="1:9" hidden="1" x14ac:dyDescent="0.2">
      <c r="A2762" s="6">
        <v>44103.708333333336</v>
      </c>
      <c r="B2762" s="1" t="s">
        <v>16</v>
      </c>
      <c r="C2762">
        <v>28</v>
      </c>
      <c r="D2762">
        <v>0</v>
      </c>
      <c r="E2762">
        <v>292</v>
      </c>
      <c r="F2762">
        <v>3522</v>
      </c>
      <c r="G2762" s="3">
        <f t="shared" si="129"/>
        <v>8</v>
      </c>
      <c r="H2762" s="4">
        <f t="shared" si="130"/>
        <v>2.2714366837024436E-3</v>
      </c>
      <c r="I2762" s="1">
        <f t="shared" si="131"/>
        <v>0</v>
      </c>
    </row>
    <row r="2763" spans="1:9" hidden="1" x14ac:dyDescent="0.2">
      <c r="A2763" s="6">
        <v>44104.708333333336</v>
      </c>
      <c r="B2763" s="1" t="s">
        <v>16</v>
      </c>
      <c r="C2763">
        <v>28</v>
      </c>
      <c r="D2763">
        <v>0</v>
      </c>
      <c r="E2763">
        <v>292</v>
      </c>
      <c r="F2763">
        <v>3539</v>
      </c>
      <c r="G2763" s="3">
        <f t="shared" si="129"/>
        <v>17</v>
      </c>
      <c r="H2763" s="4">
        <f t="shared" si="130"/>
        <v>4.8036168409154589E-3</v>
      </c>
      <c r="I2763" s="1">
        <f t="shared" si="131"/>
        <v>0</v>
      </c>
    </row>
    <row r="2764" spans="1:9" hidden="1" x14ac:dyDescent="0.2">
      <c r="A2764" s="6">
        <v>44105.708333333336</v>
      </c>
      <c r="B2764" s="1" t="s">
        <v>16</v>
      </c>
      <c r="C2764">
        <v>28</v>
      </c>
      <c r="D2764">
        <v>0</v>
      </c>
      <c r="E2764">
        <v>292</v>
      </c>
      <c r="F2764">
        <v>3568</v>
      </c>
      <c r="G2764" s="3">
        <f t="shared" si="129"/>
        <v>29</v>
      </c>
      <c r="H2764" s="4">
        <f t="shared" si="130"/>
        <v>8.127802690582997E-3</v>
      </c>
      <c r="I2764" s="1">
        <f t="shared" si="131"/>
        <v>0</v>
      </c>
    </row>
    <row r="2765" spans="1:9" hidden="1" x14ac:dyDescent="0.2">
      <c r="A2765" s="6">
        <v>44106.708333333336</v>
      </c>
      <c r="B2765" s="1" t="s">
        <v>16</v>
      </c>
      <c r="C2765">
        <v>28</v>
      </c>
      <c r="D2765">
        <v>0</v>
      </c>
      <c r="E2765">
        <v>292</v>
      </c>
      <c r="F2765">
        <v>3589</v>
      </c>
      <c r="G2765" s="3">
        <f t="shared" si="129"/>
        <v>21</v>
      </c>
      <c r="H2765" s="4">
        <f t="shared" si="130"/>
        <v>5.8512120367790743E-3</v>
      </c>
      <c r="I2765" s="1">
        <f t="shared" si="131"/>
        <v>0</v>
      </c>
    </row>
    <row r="2766" spans="1:9" hidden="1" x14ac:dyDescent="0.2">
      <c r="A2766" s="6">
        <v>44107.708333333336</v>
      </c>
      <c r="B2766" s="1" t="s">
        <v>16</v>
      </c>
      <c r="C2766">
        <v>28</v>
      </c>
      <c r="D2766">
        <v>0</v>
      </c>
      <c r="E2766">
        <v>292</v>
      </c>
      <c r="F2766">
        <v>3613</v>
      </c>
      <c r="G2766" s="3">
        <f t="shared" si="129"/>
        <v>24</v>
      </c>
      <c r="H2766" s="4">
        <f t="shared" si="130"/>
        <v>6.642679213949676E-3</v>
      </c>
      <c r="I2766" s="1">
        <f t="shared" si="131"/>
        <v>0</v>
      </c>
    </row>
    <row r="2767" spans="1:9" hidden="1" x14ac:dyDescent="0.2">
      <c r="A2767" s="6">
        <v>44108.708333333336</v>
      </c>
      <c r="B2767" s="1" t="s">
        <v>16</v>
      </c>
      <c r="C2767">
        <v>28</v>
      </c>
      <c r="D2767">
        <v>0</v>
      </c>
      <c r="E2767">
        <v>292</v>
      </c>
      <c r="F2767">
        <v>3645</v>
      </c>
      <c r="G2767" s="3">
        <f t="shared" si="129"/>
        <v>32</v>
      </c>
      <c r="H2767" s="4">
        <f t="shared" si="130"/>
        <v>8.7791495198902281E-3</v>
      </c>
      <c r="I2767" s="1">
        <f t="shared" si="131"/>
        <v>0</v>
      </c>
    </row>
    <row r="2768" spans="1:9" hidden="1" x14ac:dyDescent="0.2">
      <c r="A2768" s="6">
        <v>44109.708333333336</v>
      </c>
      <c r="B2768" s="1" t="s">
        <v>16</v>
      </c>
      <c r="C2768">
        <v>21</v>
      </c>
      <c r="D2768">
        <v>0</v>
      </c>
      <c r="E2768">
        <v>292</v>
      </c>
      <c r="F2768">
        <v>3662</v>
      </c>
      <c r="G2768" s="3">
        <f t="shared" si="129"/>
        <v>17</v>
      </c>
      <c r="H2768" s="4">
        <f t="shared" si="130"/>
        <v>4.6422719825232051E-3</v>
      </c>
      <c r="I2768" s="1">
        <f t="shared" si="131"/>
        <v>0</v>
      </c>
    </row>
    <row r="2769" spans="1:9" hidden="1" x14ac:dyDescent="0.2">
      <c r="A2769" s="6">
        <v>44110.708333333336</v>
      </c>
      <c r="B2769" s="1" t="s">
        <v>16</v>
      </c>
      <c r="C2769">
        <v>21</v>
      </c>
      <c r="D2769">
        <v>0</v>
      </c>
      <c r="E2769">
        <v>292</v>
      </c>
      <c r="F2769">
        <v>3679</v>
      </c>
      <c r="G2769" s="3">
        <f t="shared" si="129"/>
        <v>17</v>
      </c>
      <c r="H2769" s="4">
        <f t="shared" si="130"/>
        <v>4.6208208752378521E-3</v>
      </c>
      <c r="I2769" s="1">
        <f t="shared" si="131"/>
        <v>0</v>
      </c>
    </row>
    <row r="2770" spans="1:9" hidden="1" x14ac:dyDescent="0.2">
      <c r="A2770" s="6">
        <v>44111.708333333336</v>
      </c>
      <c r="B2770" s="1" t="s">
        <v>16</v>
      </c>
      <c r="C2770">
        <v>21</v>
      </c>
      <c r="D2770">
        <v>1</v>
      </c>
      <c r="E2770">
        <v>292</v>
      </c>
      <c r="F2770">
        <v>3734</v>
      </c>
      <c r="G2770" s="3">
        <f t="shared" si="129"/>
        <v>55</v>
      </c>
      <c r="H2770" s="4">
        <f t="shared" si="130"/>
        <v>1.4729512587038029E-2</v>
      </c>
      <c r="I2770" s="1">
        <f t="shared" si="131"/>
        <v>0</v>
      </c>
    </row>
    <row r="2771" spans="1:9" hidden="1" x14ac:dyDescent="0.2">
      <c r="A2771" s="6">
        <v>44112.708333333336</v>
      </c>
      <c r="B2771" s="1" t="s">
        <v>16</v>
      </c>
      <c r="C2771">
        <v>30</v>
      </c>
      <c r="D2771">
        <v>1</v>
      </c>
      <c r="E2771">
        <v>292</v>
      </c>
      <c r="F2771">
        <v>3803</v>
      </c>
      <c r="G2771" s="3">
        <f t="shared" si="129"/>
        <v>69</v>
      </c>
      <c r="H2771" s="4">
        <f t="shared" si="130"/>
        <v>1.814357086510654E-2</v>
      </c>
      <c r="I2771" s="1">
        <f t="shared" si="131"/>
        <v>0</v>
      </c>
    </row>
    <row r="2772" spans="1:9" hidden="1" x14ac:dyDescent="0.2">
      <c r="A2772" s="6">
        <v>44113.708333333336</v>
      </c>
      <c r="B2772" s="1" t="s">
        <v>16</v>
      </c>
      <c r="C2772">
        <v>35</v>
      </c>
      <c r="D2772">
        <v>2</v>
      </c>
      <c r="E2772">
        <v>292</v>
      </c>
      <c r="F2772">
        <v>3888</v>
      </c>
      <c r="G2772" s="3">
        <f t="shared" si="129"/>
        <v>85</v>
      </c>
      <c r="H2772" s="4">
        <f t="shared" si="130"/>
        <v>2.1862139917695478E-2</v>
      </c>
      <c r="I2772" s="1">
        <f t="shared" si="131"/>
        <v>0</v>
      </c>
    </row>
    <row r="2773" spans="1:9" hidden="1" x14ac:dyDescent="0.2">
      <c r="A2773" s="6">
        <v>44114.708333333336</v>
      </c>
      <c r="B2773" s="1" t="s">
        <v>16</v>
      </c>
      <c r="C2773">
        <v>35</v>
      </c>
      <c r="D2773">
        <v>2</v>
      </c>
      <c r="E2773">
        <v>292</v>
      </c>
      <c r="F2773">
        <v>3980</v>
      </c>
      <c r="G2773" s="3">
        <f t="shared" si="129"/>
        <v>92</v>
      </c>
      <c r="H2773" s="4">
        <f t="shared" si="130"/>
        <v>2.3115577889447181E-2</v>
      </c>
      <c r="I2773" s="1">
        <f t="shared" si="131"/>
        <v>0</v>
      </c>
    </row>
    <row r="2774" spans="1:9" hidden="1" x14ac:dyDescent="0.2">
      <c r="A2774" s="6">
        <v>44115.708333333336</v>
      </c>
      <c r="B2774" s="1" t="s">
        <v>16</v>
      </c>
      <c r="C2774">
        <v>35</v>
      </c>
      <c r="D2774">
        <v>1</v>
      </c>
      <c r="E2774">
        <v>293</v>
      </c>
      <c r="F2774">
        <v>4064</v>
      </c>
      <c r="G2774" s="3">
        <f t="shared" si="129"/>
        <v>84</v>
      </c>
      <c r="H2774" s="4">
        <f t="shared" si="130"/>
        <v>2.066929133858264E-2</v>
      </c>
      <c r="I2774" s="1">
        <f t="shared" si="131"/>
        <v>1</v>
      </c>
    </row>
    <row r="2775" spans="1:9" hidden="1" x14ac:dyDescent="0.2">
      <c r="A2775" s="6">
        <v>43885.75</v>
      </c>
      <c r="B2775" s="1" t="s">
        <v>17</v>
      </c>
      <c r="C2775">
        <v>0</v>
      </c>
      <c r="D2775">
        <v>0</v>
      </c>
      <c r="E2775">
        <v>0</v>
      </c>
      <c r="F2775">
        <v>0</v>
      </c>
      <c r="G2775" s="3">
        <f t="shared" si="129"/>
        <v>0</v>
      </c>
      <c r="H2775" s="4">
        <f t="shared" si="130"/>
        <v>0</v>
      </c>
      <c r="I2775" s="1">
        <f t="shared" si="131"/>
        <v>0</v>
      </c>
    </row>
    <row r="2776" spans="1:9" hidden="1" x14ac:dyDescent="0.2">
      <c r="A2776" s="6">
        <v>43886.75</v>
      </c>
      <c r="B2776" s="1" t="s">
        <v>17</v>
      </c>
      <c r="C2776">
        <v>0</v>
      </c>
      <c r="D2776">
        <v>0</v>
      </c>
      <c r="E2776">
        <v>0</v>
      </c>
      <c r="F2776">
        <v>0</v>
      </c>
      <c r="G2776" s="3">
        <f t="shared" si="129"/>
        <v>0</v>
      </c>
      <c r="H2776" s="4">
        <f t="shared" si="130"/>
        <v>0</v>
      </c>
      <c r="I2776" s="1">
        <f t="shared" si="131"/>
        <v>0</v>
      </c>
    </row>
    <row r="2777" spans="1:9" hidden="1" x14ac:dyDescent="0.2">
      <c r="A2777" s="6">
        <v>43887.75</v>
      </c>
      <c r="B2777" s="1" t="s">
        <v>17</v>
      </c>
      <c r="C2777">
        <v>0</v>
      </c>
      <c r="D2777">
        <v>0</v>
      </c>
      <c r="E2777">
        <v>0</v>
      </c>
      <c r="F2777">
        <v>0</v>
      </c>
      <c r="G2777" s="3">
        <f t="shared" si="129"/>
        <v>0</v>
      </c>
      <c r="H2777" s="4">
        <f t="shared" si="130"/>
        <v>0</v>
      </c>
      <c r="I2777" s="1">
        <f t="shared" si="131"/>
        <v>0</v>
      </c>
    </row>
    <row r="2778" spans="1:9" hidden="1" x14ac:dyDescent="0.2">
      <c r="A2778" s="6">
        <v>43888.75</v>
      </c>
      <c r="B2778" s="1" t="s">
        <v>17</v>
      </c>
      <c r="C2778">
        <v>0</v>
      </c>
      <c r="D2778">
        <v>0</v>
      </c>
      <c r="E2778">
        <v>0</v>
      </c>
      <c r="F2778">
        <v>0</v>
      </c>
      <c r="G2778" s="3">
        <f t="shared" si="129"/>
        <v>0</v>
      </c>
      <c r="H2778" s="4">
        <f t="shared" si="130"/>
        <v>0</v>
      </c>
      <c r="I2778" s="1">
        <f t="shared" si="131"/>
        <v>0</v>
      </c>
    </row>
    <row r="2779" spans="1:9" hidden="1" x14ac:dyDescent="0.2">
      <c r="A2779" s="6">
        <v>43889.75</v>
      </c>
      <c r="B2779" s="1" t="s">
        <v>17</v>
      </c>
      <c r="C2779">
        <v>0</v>
      </c>
      <c r="D2779">
        <v>0</v>
      </c>
      <c r="E2779">
        <v>0</v>
      </c>
      <c r="F2779">
        <v>0</v>
      </c>
      <c r="G2779" s="3">
        <f t="shared" si="129"/>
        <v>0</v>
      </c>
      <c r="H2779" s="4">
        <f t="shared" si="130"/>
        <v>0</v>
      </c>
      <c r="I2779" s="1">
        <f t="shared" si="131"/>
        <v>0</v>
      </c>
    </row>
    <row r="2780" spans="1:9" hidden="1" x14ac:dyDescent="0.2">
      <c r="A2780" s="6">
        <v>43890.708333333336</v>
      </c>
      <c r="B2780" s="1" t="s">
        <v>17</v>
      </c>
      <c r="C2780">
        <v>0</v>
      </c>
      <c r="D2780">
        <v>0</v>
      </c>
      <c r="E2780">
        <v>0</v>
      </c>
      <c r="F2780">
        <v>0</v>
      </c>
      <c r="G2780" s="3">
        <f t="shared" si="129"/>
        <v>0</v>
      </c>
      <c r="H2780" s="4">
        <f t="shared" si="130"/>
        <v>0</v>
      </c>
      <c r="I2780" s="1">
        <f t="shared" si="131"/>
        <v>0</v>
      </c>
    </row>
    <row r="2781" spans="1:9" hidden="1" x14ac:dyDescent="0.2">
      <c r="A2781" s="6">
        <v>43891.708333333336</v>
      </c>
      <c r="B2781" s="1" t="s">
        <v>17</v>
      </c>
      <c r="C2781">
        <v>0</v>
      </c>
      <c r="D2781">
        <v>0</v>
      </c>
      <c r="E2781">
        <v>0</v>
      </c>
      <c r="F2781">
        <v>0</v>
      </c>
      <c r="G2781" s="3">
        <f t="shared" si="129"/>
        <v>0</v>
      </c>
      <c r="H2781" s="4">
        <f t="shared" si="130"/>
        <v>0</v>
      </c>
      <c r="I2781" s="1">
        <f t="shared" si="131"/>
        <v>0</v>
      </c>
    </row>
    <row r="2782" spans="1:9" hidden="1" x14ac:dyDescent="0.2">
      <c r="A2782" s="6">
        <v>43892.75</v>
      </c>
      <c r="B2782" s="1" t="s">
        <v>17</v>
      </c>
      <c r="C2782">
        <v>0</v>
      </c>
      <c r="D2782">
        <v>0</v>
      </c>
      <c r="E2782">
        <v>0</v>
      </c>
      <c r="F2782">
        <v>0</v>
      </c>
      <c r="G2782" s="3">
        <f t="shared" si="129"/>
        <v>0</v>
      </c>
      <c r="H2782" s="4">
        <f t="shared" si="130"/>
        <v>0</v>
      </c>
      <c r="I2782" s="1">
        <f t="shared" si="131"/>
        <v>0</v>
      </c>
    </row>
    <row r="2783" spans="1:9" hidden="1" x14ac:dyDescent="0.2">
      <c r="A2783" s="6">
        <v>43893.75</v>
      </c>
      <c r="B2783" s="1" t="s">
        <v>17</v>
      </c>
      <c r="C2783">
        <v>1</v>
      </c>
      <c r="D2783">
        <v>0</v>
      </c>
      <c r="E2783">
        <v>0</v>
      </c>
      <c r="F2783">
        <v>4</v>
      </c>
      <c r="G2783" s="3">
        <f t="shared" si="129"/>
        <v>4</v>
      </c>
      <c r="H2783" s="4">
        <f t="shared" si="130"/>
        <v>0</v>
      </c>
      <c r="I2783" s="1">
        <f t="shared" si="131"/>
        <v>0</v>
      </c>
    </row>
    <row r="2784" spans="1:9" hidden="1" x14ac:dyDescent="0.2">
      <c r="A2784" s="6">
        <v>43894.708333333336</v>
      </c>
      <c r="B2784" s="1" t="s">
        <v>17</v>
      </c>
      <c r="C2784">
        <v>1</v>
      </c>
      <c r="D2784">
        <v>0</v>
      </c>
      <c r="E2784">
        <v>0</v>
      </c>
      <c r="F2784">
        <v>5</v>
      </c>
      <c r="G2784" s="3">
        <f t="shared" si="129"/>
        <v>1</v>
      </c>
      <c r="H2784" s="4">
        <f t="shared" si="130"/>
        <v>0.19999999999999996</v>
      </c>
      <c r="I2784" s="1">
        <f t="shared" si="131"/>
        <v>0</v>
      </c>
    </row>
    <row r="2785" spans="1:9" hidden="1" x14ac:dyDescent="0.2">
      <c r="A2785" s="6">
        <v>43895.708333333336</v>
      </c>
      <c r="B2785" s="1" t="s">
        <v>17</v>
      </c>
      <c r="C2785">
        <v>2</v>
      </c>
      <c r="D2785">
        <v>0</v>
      </c>
      <c r="E2785">
        <v>0</v>
      </c>
      <c r="F2785">
        <v>7</v>
      </c>
      <c r="G2785" s="3">
        <f t="shared" si="129"/>
        <v>2</v>
      </c>
      <c r="H2785" s="4">
        <f t="shared" si="130"/>
        <v>0.2857142857142857</v>
      </c>
      <c r="I2785" s="1">
        <f t="shared" si="131"/>
        <v>0</v>
      </c>
    </row>
    <row r="2786" spans="1:9" hidden="1" x14ac:dyDescent="0.2">
      <c r="A2786" s="6">
        <v>43896.708333333336</v>
      </c>
      <c r="B2786" s="1" t="s">
        <v>17</v>
      </c>
      <c r="C2786">
        <v>4</v>
      </c>
      <c r="D2786">
        <v>0</v>
      </c>
      <c r="E2786">
        <v>0</v>
      </c>
      <c r="F2786">
        <v>10</v>
      </c>
      <c r="G2786" s="3">
        <f t="shared" si="129"/>
        <v>3</v>
      </c>
      <c r="H2786" s="4">
        <f t="shared" si="130"/>
        <v>0.30000000000000004</v>
      </c>
      <c r="I2786" s="1">
        <f t="shared" si="131"/>
        <v>0</v>
      </c>
    </row>
    <row r="2787" spans="1:9" hidden="1" x14ac:dyDescent="0.2">
      <c r="A2787" s="6">
        <v>43897.75</v>
      </c>
      <c r="B2787" s="1" t="s">
        <v>17</v>
      </c>
      <c r="C2787">
        <v>6</v>
      </c>
      <c r="D2787">
        <v>1</v>
      </c>
      <c r="E2787">
        <v>0</v>
      </c>
      <c r="F2787">
        <v>14</v>
      </c>
      <c r="G2787" s="3">
        <f t="shared" si="129"/>
        <v>4</v>
      </c>
      <c r="H2787" s="4">
        <f t="shared" si="130"/>
        <v>0.2857142857142857</v>
      </c>
      <c r="I2787" s="1">
        <f t="shared" si="131"/>
        <v>0</v>
      </c>
    </row>
    <row r="2788" spans="1:9" hidden="1" x14ac:dyDescent="0.2">
      <c r="A2788" s="6">
        <v>43898.75</v>
      </c>
      <c r="B2788" s="1" t="s">
        <v>17</v>
      </c>
      <c r="C2788">
        <v>7</v>
      </c>
      <c r="D2788">
        <v>2</v>
      </c>
      <c r="E2788">
        <v>0</v>
      </c>
      <c r="F2788">
        <v>23</v>
      </c>
      <c r="G2788" s="3">
        <f t="shared" si="129"/>
        <v>9</v>
      </c>
      <c r="H2788" s="4">
        <f t="shared" si="130"/>
        <v>0.39130434782608692</v>
      </c>
      <c r="I2788" s="1">
        <f t="shared" si="131"/>
        <v>0</v>
      </c>
    </row>
    <row r="2789" spans="1:9" hidden="1" x14ac:dyDescent="0.2">
      <c r="A2789" s="6">
        <v>43899.75</v>
      </c>
      <c r="B2789" s="1" t="s">
        <v>17</v>
      </c>
      <c r="C2789">
        <v>10</v>
      </c>
      <c r="D2789">
        <v>2</v>
      </c>
      <c r="E2789">
        <v>0</v>
      </c>
      <c r="F2789">
        <v>33</v>
      </c>
      <c r="G2789" s="3">
        <f t="shared" si="129"/>
        <v>10</v>
      </c>
      <c r="H2789" s="4">
        <f t="shared" si="130"/>
        <v>0.30303030303030298</v>
      </c>
      <c r="I2789" s="1">
        <f t="shared" si="131"/>
        <v>0</v>
      </c>
    </row>
    <row r="2790" spans="1:9" hidden="1" x14ac:dyDescent="0.2">
      <c r="A2790" s="6">
        <v>43900.75</v>
      </c>
      <c r="B2790" s="1" t="s">
        <v>17</v>
      </c>
      <c r="C2790">
        <v>19</v>
      </c>
      <c r="D2790">
        <v>3</v>
      </c>
      <c r="E2790">
        <v>0</v>
      </c>
      <c r="F2790">
        <v>52</v>
      </c>
      <c r="G2790" s="3">
        <f t="shared" si="129"/>
        <v>19</v>
      </c>
      <c r="H2790" s="4">
        <f t="shared" si="130"/>
        <v>0.36538461538461542</v>
      </c>
      <c r="I2790" s="1">
        <f t="shared" si="131"/>
        <v>0</v>
      </c>
    </row>
    <row r="2791" spans="1:9" hidden="1" x14ac:dyDescent="0.2">
      <c r="A2791" s="6">
        <v>43901.708333333336</v>
      </c>
      <c r="B2791" s="1" t="s">
        <v>17</v>
      </c>
      <c r="C2791">
        <v>28</v>
      </c>
      <c r="D2791">
        <v>4</v>
      </c>
      <c r="E2791">
        <v>0</v>
      </c>
      <c r="F2791">
        <v>77</v>
      </c>
      <c r="G2791" s="3">
        <f t="shared" si="129"/>
        <v>25</v>
      </c>
      <c r="H2791" s="4">
        <f t="shared" si="130"/>
        <v>0.32467532467532467</v>
      </c>
      <c r="I2791" s="1">
        <f t="shared" si="131"/>
        <v>0</v>
      </c>
    </row>
    <row r="2792" spans="1:9" hidden="1" x14ac:dyDescent="0.2">
      <c r="A2792" s="6">
        <v>43902.708333333336</v>
      </c>
      <c r="B2792" s="1" t="s">
        <v>17</v>
      </c>
      <c r="C2792">
        <v>43</v>
      </c>
      <c r="D2792">
        <v>5</v>
      </c>
      <c r="E2792">
        <v>1</v>
      </c>
      <c r="F2792">
        <v>107</v>
      </c>
      <c r="G2792" s="3">
        <f t="shared" si="129"/>
        <v>30</v>
      </c>
      <c r="H2792" s="4">
        <f t="shared" si="130"/>
        <v>0.28037383177570097</v>
      </c>
      <c r="I2792" s="1">
        <f t="shared" si="131"/>
        <v>1</v>
      </c>
    </row>
    <row r="2793" spans="1:9" hidden="1" x14ac:dyDescent="0.2">
      <c r="A2793" s="6">
        <v>43903.708333333336</v>
      </c>
      <c r="B2793" s="1" t="s">
        <v>17</v>
      </c>
      <c r="C2793">
        <v>58</v>
      </c>
      <c r="D2793">
        <v>6</v>
      </c>
      <c r="E2793">
        <v>2</v>
      </c>
      <c r="F2793">
        <v>163</v>
      </c>
      <c r="G2793" s="3">
        <f t="shared" si="129"/>
        <v>56</v>
      </c>
      <c r="H2793" s="4">
        <f t="shared" si="130"/>
        <v>0.34355828220858897</v>
      </c>
      <c r="I2793" s="1">
        <f t="shared" si="131"/>
        <v>1</v>
      </c>
    </row>
    <row r="2794" spans="1:9" hidden="1" x14ac:dyDescent="0.2">
      <c r="A2794" s="6">
        <v>43904.708333333336</v>
      </c>
      <c r="B2794" s="1" t="s">
        <v>17</v>
      </c>
      <c r="C2794">
        <v>68</v>
      </c>
      <c r="D2794">
        <v>12</v>
      </c>
      <c r="E2794">
        <v>2</v>
      </c>
      <c r="F2794">
        <v>206</v>
      </c>
      <c r="G2794" s="3">
        <f t="shared" si="129"/>
        <v>43</v>
      </c>
      <c r="H2794" s="4">
        <f t="shared" si="130"/>
        <v>0.20873786407766992</v>
      </c>
      <c r="I2794" s="1">
        <f t="shared" si="131"/>
        <v>0</v>
      </c>
    </row>
    <row r="2795" spans="1:9" hidden="1" x14ac:dyDescent="0.2">
      <c r="A2795" s="6">
        <v>43905.708333333336</v>
      </c>
      <c r="B2795" s="1" t="s">
        <v>17</v>
      </c>
      <c r="C2795">
        <v>73</v>
      </c>
      <c r="D2795">
        <v>19</v>
      </c>
      <c r="E2795">
        <v>6</v>
      </c>
      <c r="F2795">
        <v>378</v>
      </c>
      <c r="G2795" s="3">
        <f t="shared" si="129"/>
        <v>172</v>
      </c>
      <c r="H2795" s="4">
        <f t="shared" si="130"/>
        <v>0.455026455026455</v>
      </c>
      <c r="I2795" s="1">
        <f t="shared" si="131"/>
        <v>4</v>
      </c>
    </row>
    <row r="2796" spans="1:9" hidden="1" x14ac:dyDescent="0.2">
      <c r="A2796" s="6">
        <v>43906.708333333336</v>
      </c>
      <c r="B2796" s="1" t="s">
        <v>17</v>
      </c>
      <c r="C2796">
        <v>73</v>
      </c>
      <c r="D2796">
        <v>19</v>
      </c>
      <c r="E2796">
        <v>6</v>
      </c>
      <c r="F2796">
        <v>378</v>
      </c>
      <c r="G2796" s="3">
        <f t="shared" si="129"/>
        <v>0</v>
      </c>
      <c r="H2796" s="4">
        <f t="shared" si="130"/>
        <v>0</v>
      </c>
      <c r="I2796" s="1">
        <f t="shared" si="131"/>
        <v>0</v>
      </c>
    </row>
    <row r="2797" spans="1:9" hidden="1" x14ac:dyDescent="0.2">
      <c r="A2797" s="6">
        <v>43907.708333333336</v>
      </c>
      <c r="B2797" s="1" t="s">
        <v>17</v>
      </c>
      <c r="C2797">
        <v>107</v>
      </c>
      <c r="D2797">
        <v>22</v>
      </c>
      <c r="E2797">
        <v>7</v>
      </c>
      <c r="F2797">
        <v>385</v>
      </c>
      <c r="G2797" s="3">
        <f t="shared" si="129"/>
        <v>7</v>
      </c>
      <c r="H2797" s="4">
        <f t="shared" si="130"/>
        <v>1.8181818181818188E-2</v>
      </c>
      <c r="I2797" s="1">
        <f t="shared" si="131"/>
        <v>1</v>
      </c>
    </row>
    <row r="2798" spans="1:9" hidden="1" x14ac:dyDescent="0.2">
      <c r="A2798" s="6">
        <v>43908.708333333336</v>
      </c>
      <c r="B2798" s="1" t="s">
        <v>17</v>
      </c>
      <c r="C2798">
        <v>141</v>
      </c>
      <c r="D2798">
        <v>22</v>
      </c>
      <c r="E2798">
        <v>7</v>
      </c>
      <c r="F2798">
        <v>455</v>
      </c>
      <c r="G2798" s="3">
        <f t="shared" si="129"/>
        <v>70</v>
      </c>
      <c r="H2798" s="4">
        <f t="shared" si="130"/>
        <v>0.15384615384615385</v>
      </c>
      <c r="I2798" s="1">
        <f t="shared" si="131"/>
        <v>0</v>
      </c>
    </row>
    <row r="2799" spans="1:9" hidden="1" x14ac:dyDescent="0.2">
      <c r="A2799" s="6">
        <v>43909.708333333336</v>
      </c>
      <c r="B2799" s="1" t="s">
        <v>17</v>
      </c>
      <c r="C2799">
        <v>169</v>
      </c>
      <c r="D2799">
        <v>30</v>
      </c>
      <c r="E2799">
        <v>12</v>
      </c>
      <c r="F2799">
        <v>523</v>
      </c>
      <c r="G2799" s="3">
        <f t="shared" si="129"/>
        <v>68</v>
      </c>
      <c r="H2799" s="4">
        <f t="shared" si="130"/>
        <v>0.13001912045889097</v>
      </c>
      <c r="I2799" s="1">
        <f t="shared" si="131"/>
        <v>5</v>
      </c>
    </row>
    <row r="2800" spans="1:9" hidden="1" x14ac:dyDescent="0.2">
      <c r="A2800" s="6">
        <v>43910.708333333336</v>
      </c>
      <c r="B2800" s="1" t="s">
        <v>17</v>
      </c>
      <c r="C2800">
        <v>198</v>
      </c>
      <c r="D2800">
        <v>34</v>
      </c>
      <c r="E2800">
        <v>13</v>
      </c>
      <c r="F2800">
        <v>642</v>
      </c>
      <c r="G2800" s="3">
        <f t="shared" si="129"/>
        <v>119</v>
      </c>
      <c r="H2800" s="4">
        <f t="shared" si="130"/>
        <v>0.18535825545171336</v>
      </c>
      <c r="I2800" s="1">
        <f t="shared" si="131"/>
        <v>1</v>
      </c>
    </row>
    <row r="2801" spans="1:9" hidden="1" x14ac:dyDescent="0.2">
      <c r="A2801" s="6">
        <v>43911.708333333336</v>
      </c>
      <c r="B2801" s="1" t="s">
        <v>17</v>
      </c>
      <c r="C2801">
        <v>233</v>
      </c>
      <c r="D2801">
        <v>39</v>
      </c>
      <c r="E2801">
        <v>28</v>
      </c>
      <c r="F2801">
        <v>782</v>
      </c>
      <c r="G2801" s="3">
        <f t="shared" si="129"/>
        <v>140</v>
      </c>
      <c r="H2801" s="4">
        <f t="shared" si="130"/>
        <v>0.17902813299232734</v>
      </c>
      <c r="I2801" s="1">
        <f t="shared" si="131"/>
        <v>15</v>
      </c>
    </row>
    <row r="2802" spans="1:9" hidden="1" x14ac:dyDescent="0.2">
      <c r="A2802" s="6">
        <v>43912.708333333336</v>
      </c>
      <c r="B2802" s="1" t="s">
        <v>17</v>
      </c>
      <c r="C2802">
        <v>235</v>
      </c>
      <c r="D2802">
        <v>46</v>
      </c>
      <c r="E2802">
        <v>35</v>
      </c>
      <c r="F2802">
        <v>954</v>
      </c>
      <c r="G2802" s="3">
        <f t="shared" si="129"/>
        <v>172</v>
      </c>
      <c r="H2802" s="4">
        <f t="shared" si="130"/>
        <v>0.18029350104821806</v>
      </c>
      <c r="I2802" s="1">
        <f t="shared" si="131"/>
        <v>7</v>
      </c>
    </row>
    <row r="2803" spans="1:9" hidden="1" x14ac:dyDescent="0.2">
      <c r="A2803" s="6">
        <v>43913.708333333336</v>
      </c>
      <c r="B2803" s="1" t="s">
        <v>17</v>
      </c>
      <c r="C2803">
        <v>249</v>
      </c>
      <c r="D2803">
        <v>46</v>
      </c>
      <c r="E2803">
        <v>41</v>
      </c>
      <c r="F2803">
        <v>1023</v>
      </c>
      <c r="G2803" s="3">
        <f t="shared" si="129"/>
        <v>69</v>
      </c>
      <c r="H2803" s="4">
        <f t="shared" si="130"/>
        <v>6.7448680351906209E-2</v>
      </c>
      <c r="I2803" s="1">
        <f t="shared" si="131"/>
        <v>6</v>
      </c>
    </row>
    <row r="2804" spans="1:9" hidden="1" x14ac:dyDescent="0.2">
      <c r="A2804" s="6">
        <v>43914.708333333336</v>
      </c>
      <c r="B2804" s="1" t="s">
        <v>17</v>
      </c>
      <c r="C2804">
        <v>308</v>
      </c>
      <c r="D2804">
        <v>49</v>
      </c>
      <c r="E2804">
        <v>56</v>
      </c>
      <c r="F2804">
        <v>1110</v>
      </c>
      <c r="G2804" s="3">
        <f t="shared" si="129"/>
        <v>87</v>
      </c>
      <c r="H2804" s="4">
        <f t="shared" si="130"/>
        <v>7.8378378378378355E-2</v>
      </c>
      <c r="I2804" s="1">
        <f t="shared" si="131"/>
        <v>15</v>
      </c>
    </row>
    <row r="2805" spans="1:9" hidden="1" x14ac:dyDescent="0.2">
      <c r="A2805" s="6">
        <v>43915.708333333336</v>
      </c>
      <c r="B2805" s="1" t="s">
        <v>17</v>
      </c>
      <c r="C2805">
        <v>308</v>
      </c>
      <c r="D2805">
        <v>65</v>
      </c>
      <c r="E2805">
        <v>74</v>
      </c>
      <c r="F2805">
        <v>1222</v>
      </c>
      <c r="G2805" s="3">
        <f t="shared" si="129"/>
        <v>112</v>
      </c>
      <c r="H2805" s="4">
        <f t="shared" si="130"/>
        <v>9.1653027823240585E-2</v>
      </c>
      <c r="I2805" s="1">
        <f t="shared" si="131"/>
        <v>18</v>
      </c>
    </row>
    <row r="2806" spans="1:9" hidden="1" x14ac:dyDescent="0.2">
      <c r="A2806" s="6">
        <v>43916.708333333336</v>
      </c>
      <c r="B2806" s="1" t="s">
        <v>17</v>
      </c>
      <c r="C2806">
        <v>300</v>
      </c>
      <c r="D2806">
        <v>66</v>
      </c>
      <c r="E2806">
        <v>86</v>
      </c>
      <c r="F2806">
        <v>1297</v>
      </c>
      <c r="G2806" s="3">
        <f t="shared" si="129"/>
        <v>75</v>
      </c>
      <c r="H2806" s="4">
        <f t="shared" si="130"/>
        <v>5.7825751734772557E-2</v>
      </c>
      <c r="I2806" s="1">
        <f t="shared" si="131"/>
        <v>12</v>
      </c>
    </row>
    <row r="2807" spans="1:9" hidden="1" x14ac:dyDescent="0.2">
      <c r="A2807" s="6">
        <v>43917.708333333336</v>
      </c>
      <c r="B2807" s="1" t="s">
        <v>17</v>
      </c>
      <c r="C2807">
        <v>341</v>
      </c>
      <c r="D2807">
        <v>66</v>
      </c>
      <c r="E2807">
        <v>102</v>
      </c>
      <c r="F2807">
        <v>1391</v>
      </c>
      <c r="G2807" s="3">
        <f t="shared" si="129"/>
        <v>94</v>
      </c>
      <c r="H2807" s="4">
        <f t="shared" si="130"/>
        <v>6.7577282530553506E-2</v>
      </c>
      <c r="I2807" s="1">
        <f t="shared" si="131"/>
        <v>16</v>
      </c>
    </row>
    <row r="2808" spans="1:9" hidden="1" x14ac:dyDescent="0.2">
      <c r="A2808" s="6">
        <v>43918.708333333336</v>
      </c>
      <c r="B2808" s="1" t="s">
        <v>17</v>
      </c>
      <c r="C2808">
        <v>351</v>
      </c>
      <c r="D2808">
        <v>72</v>
      </c>
      <c r="E2808">
        <v>120</v>
      </c>
      <c r="F2808">
        <v>1505</v>
      </c>
      <c r="G2808" s="3">
        <f t="shared" si="129"/>
        <v>114</v>
      </c>
      <c r="H2808" s="4">
        <f t="shared" si="130"/>
        <v>7.5747508305647804E-2</v>
      </c>
      <c r="I2808" s="1">
        <f t="shared" si="131"/>
        <v>18</v>
      </c>
    </row>
    <row r="2809" spans="1:9" hidden="1" x14ac:dyDescent="0.2">
      <c r="A2809" s="6">
        <v>43919.708333333336</v>
      </c>
      <c r="B2809" s="1" t="s">
        <v>17</v>
      </c>
      <c r="C2809">
        <v>356</v>
      </c>
      <c r="D2809">
        <v>75</v>
      </c>
      <c r="E2809">
        <v>129</v>
      </c>
      <c r="F2809">
        <v>1594</v>
      </c>
      <c r="G2809" s="3">
        <f t="shared" si="129"/>
        <v>89</v>
      </c>
      <c r="H2809" s="4">
        <f t="shared" si="130"/>
        <v>5.5834378920953553E-2</v>
      </c>
      <c r="I2809" s="1">
        <f t="shared" si="131"/>
        <v>9</v>
      </c>
    </row>
    <row r="2810" spans="1:9" hidden="1" x14ac:dyDescent="0.2">
      <c r="A2810" s="6">
        <v>43920.708333333336</v>
      </c>
      <c r="B2810" s="1" t="s">
        <v>17</v>
      </c>
      <c r="C2810">
        <v>353</v>
      </c>
      <c r="D2810">
        <v>78</v>
      </c>
      <c r="E2810">
        <v>147</v>
      </c>
      <c r="F2810">
        <v>1682</v>
      </c>
      <c r="G2810" s="3">
        <f t="shared" si="129"/>
        <v>88</v>
      </c>
      <c r="H2810" s="4">
        <f t="shared" si="130"/>
        <v>5.2318668252080869E-2</v>
      </c>
      <c r="I2810" s="1">
        <f t="shared" si="131"/>
        <v>18</v>
      </c>
    </row>
    <row r="2811" spans="1:9" hidden="1" x14ac:dyDescent="0.2">
      <c r="A2811" s="6">
        <v>43921.708333333336</v>
      </c>
      <c r="B2811" s="1" t="s">
        <v>17</v>
      </c>
      <c r="C2811">
        <v>354</v>
      </c>
      <c r="D2811">
        <v>80</v>
      </c>
      <c r="E2811">
        <v>164</v>
      </c>
      <c r="F2811">
        <v>1746</v>
      </c>
      <c r="G2811" s="3">
        <f t="shared" si="129"/>
        <v>64</v>
      </c>
      <c r="H2811" s="4">
        <f t="shared" si="130"/>
        <v>3.6655211912943853E-2</v>
      </c>
      <c r="I2811" s="1">
        <f t="shared" si="131"/>
        <v>17</v>
      </c>
    </row>
    <row r="2812" spans="1:9" hidden="1" x14ac:dyDescent="0.2">
      <c r="A2812" s="6">
        <v>43922.708333333336</v>
      </c>
      <c r="B2812" s="1" t="s">
        <v>17</v>
      </c>
      <c r="C2812">
        <v>345</v>
      </c>
      <c r="D2812">
        <v>76</v>
      </c>
      <c r="E2812">
        <v>173</v>
      </c>
      <c r="F2812">
        <v>1870</v>
      </c>
      <c r="G2812" s="3">
        <f t="shared" si="129"/>
        <v>124</v>
      </c>
      <c r="H2812" s="4">
        <f t="shared" si="130"/>
        <v>6.6310160427807463E-2</v>
      </c>
      <c r="I2812" s="1">
        <f t="shared" si="131"/>
        <v>9</v>
      </c>
    </row>
    <row r="2813" spans="1:9" hidden="1" x14ac:dyDescent="0.2">
      <c r="A2813" s="6">
        <v>43923.708333333336</v>
      </c>
      <c r="B2813" s="1" t="s">
        <v>17</v>
      </c>
      <c r="C2813">
        <v>339</v>
      </c>
      <c r="D2813">
        <v>78</v>
      </c>
      <c r="E2813">
        <v>187</v>
      </c>
      <c r="F2813">
        <v>2003</v>
      </c>
      <c r="G2813" s="3">
        <f t="shared" si="129"/>
        <v>133</v>
      </c>
      <c r="H2813" s="4">
        <f t="shared" si="130"/>
        <v>6.6400399400898702E-2</v>
      </c>
      <c r="I2813" s="1">
        <f t="shared" si="131"/>
        <v>14</v>
      </c>
    </row>
    <row r="2814" spans="1:9" hidden="1" x14ac:dyDescent="0.2">
      <c r="A2814" s="6">
        <v>43924.708333333336</v>
      </c>
      <c r="B2814" s="1" t="s">
        <v>17</v>
      </c>
      <c r="C2814">
        <v>343</v>
      </c>
      <c r="D2814">
        <v>80</v>
      </c>
      <c r="E2814">
        <v>204</v>
      </c>
      <c r="F2814">
        <v>2109</v>
      </c>
      <c r="G2814" s="3">
        <f t="shared" si="129"/>
        <v>106</v>
      </c>
      <c r="H2814" s="4">
        <f t="shared" si="130"/>
        <v>5.026078710289239E-2</v>
      </c>
      <c r="I2814" s="1">
        <f t="shared" si="131"/>
        <v>17</v>
      </c>
    </row>
    <row r="2815" spans="1:9" hidden="1" x14ac:dyDescent="0.2">
      <c r="A2815" s="6">
        <v>43925.708333333336</v>
      </c>
      <c r="B2815" s="1" t="s">
        <v>17</v>
      </c>
      <c r="C2815">
        <v>353</v>
      </c>
      <c r="D2815">
        <v>81</v>
      </c>
      <c r="E2815">
        <v>210</v>
      </c>
      <c r="F2815">
        <v>2220</v>
      </c>
      <c r="G2815" s="3">
        <f t="shared" si="129"/>
        <v>111</v>
      </c>
      <c r="H2815" s="4">
        <f t="shared" si="130"/>
        <v>5.0000000000000044E-2</v>
      </c>
      <c r="I2815" s="1">
        <f t="shared" si="131"/>
        <v>6</v>
      </c>
    </row>
    <row r="2816" spans="1:9" hidden="1" x14ac:dyDescent="0.2">
      <c r="A2816" s="6">
        <v>43926.708333333336</v>
      </c>
      <c r="B2816" s="1" t="s">
        <v>17</v>
      </c>
      <c r="C2816">
        <v>352</v>
      </c>
      <c r="D2816">
        <v>80</v>
      </c>
      <c r="E2816">
        <v>217</v>
      </c>
      <c r="F2816">
        <v>2285</v>
      </c>
      <c r="G2816" s="3">
        <f t="shared" si="129"/>
        <v>65</v>
      </c>
      <c r="H2816" s="4">
        <f t="shared" si="130"/>
        <v>2.8446389496717739E-2</v>
      </c>
      <c r="I2816" s="1">
        <f t="shared" si="131"/>
        <v>7</v>
      </c>
    </row>
    <row r="2817" spans="1:9" hidden="1" x14ac:dyDescent="0.2">
      <c r="A2817" s="6">
        <v>43927.708333333336</v>
      </c>
      <c r="B2817" s="1" t="s">
        <v>17</v>
      </c>
      <c r="C2817">
        <v>354</v>
      </c>
      <c r="D2817">
        <v>79</v>
      </c>
      <c r="E2817">
        <v>230</v>
      </c>
      <c r="F2817">
        <v>2348</v>
      </c>
      <c r="G2817" s="3">
        <f t="shared" si="129"/>
        <v>63</v>
      </c>
      <c r="H2817" s="4">
        <f t="shared" si="130"/>
        <v>2.6831345826235142E-2</v>
      </c>
      <c r="I2817" s="1">
        <f t="shared" si="131"/>
        <v>13</v>
      </c>
    </row>
    <row r="2818" spans="1:9" hidden="1" x14ac:dyDescent="0.2">
      <c r="A2818" s="6">
        <v>43928.708333333336</v>
      </c>
      <c r="B2818" s="1" t="s">
        <v>17</v>
      </c>
      <c r="C2818">
        <v>360</v>
      </c>
      <c r="D2818">
        <v>78</v>
      </c>
      <c r="E2818">
        <v>244</v>
      </c>
      <c r="F2818">
        <v>2476</v>
      </c>
      <c r="G2818" s="3">
        <f t="shared" si="129"/>
        <v>128</v>
      </c>
      <c r="H2818" s="4">
        <f t="shared" si="130"/>
        <v>5.1696284329563857E-2</v>
      </c>
      <c r="I2818" s="1">
        <f t="shared" si="131"/>
        <v>14</v>
      </c>
    </row>
    <row r="2819" spans="1:9" hidden="1" x14ac:dyDescent="0.2">
      <c r="A2819" s="6">
        <v>43929.708333333336</v>
      </c>
      <c r="B2819" s="1" t="s">
        <v>17</v>
      </c>
      <c r="C2819">
        <v>354</v>
      </c>
      <c r="D2819">
        <v>77</v>
      </c>
      <c r="E2819">
        <v>255</v>
      </c>
      <c r="F2819">
        <v>2602</v>
      </c>
      <c r="G2819" s="3">
        <f t="shared" ref="G2819:G2882" si="132">IF(AND(F2819&gt;0,AND(B2819=B2818,F2819&gt;0)),F2819-F2818,0)</f>
        <v>126</v>
      </c>
      <c r="H2819" s="4">
        <f t="shared" ref="H2819:H2882" si="133">IF(AND(F2818&gt;0,AND(B2819=B2818,F2818&gt;0)),1-(F2818/F2819),0)</f>
        <v>4.8424289008455079E-2</v>
      </c>
      <c r="I2819" s="1">
        <f t="shared" ref="I2819:I2882" si="134">IF(AND(E2819&gt;0,AND(B2819=B2818,E2819&gt;0)),E2819-E2818,0)</f>
        <v>11</v>
      </c>
    </row>
    <row r="2820" spans="1:9" hidden="1" x14ac:dyDescent="0.2">
      <c r="A2820" s="6">
        <v>43930.708333333336</v>
      </c>
      <c r="B2820" s="1" t="s">
        <v>17</v>
      </c>
      <c r="C2820">
        <v>345</v>
      </c>
      <c r="D2820">
        <v>69</v>
      </c>
      <c r="E2820">
        <v>268</v>
      </c>
      <c r="F2820">
        <v>2708</v>
      </c>
      <c r="G2820" s="3">
        <f t="shared" si="132"/>
        <v>106</v>
      </c>
      <c r="H2820" s="4">
        <f t="shared" si="133"/>
        <v>3.9143279172821233E-2</v>
      </c>
      <c r="I2820" s="1">
        <f t="shared" si="134"/>
        <v>13</v>
      </c>
    </row>
    <row r="2821" spans="1:9" hidden="1" x14ac:dyDescent="0.2">
      <c r="A2821" s="6">
        <v>43931.708333333336</v>
      </c>
      <c r="B2821" s="1" t="s">
        <v>17</v>
      </c>
      <c r="C2821">
        <v>335</v>
      </c>
      <c r="D2821">
        <v>70</v>
      </c>
      <c r="E2821">
        <v>275</v>
      </c>
      <c r="F2821">
        <v>2816</v>
      </c>
      <c r="G2821" s="3">
        <f t="shared" si="132"/>
        <v>108</v>
      </c>
      <c r="H2821" s="4">
        <f t="shared" si="133"/>
        <v>3.8352272727272707E-2</v>
      </c>
      <c r="I2821" s="1">
        <f t="shared" si="134"/>
        <v>7</v>
      </c>
    </row>
    <row r="2822" spans="1:9" hidden="1" x14ac:dyDescent="0.2">
      <c r="A2822" s="6">
        <v>43932.708333333336</v>
      </c>
      <c r="B2822" s="1" t="s">
        <v>17</v>
      </c>
      <c r="C2822">
        <v>335</v>
      </c>
      <c r="D2822">
        <v>62</v>
      </c>
      <c r="E2822">
        <v>284</v>
      </c>
      <c r="F2822">
        <v>2970</v>
      </c>
      <c r="G2822" s="3">
        <f t="shared" si="132"/>
        <v>154</v>
      </c>
      <c r="H2822" s="4">
        <f t="shared" si="133"/>
        <v>5.1851851851851816E-2</v>
      </c>
      <c r="I2822" s="1">
        <f t="shared" si="134"/>
        <v>9</v>
      </c>
    </row>
    <row r="2823" spans="1:9" hidden="1" x14ac:dyDescent="0.2">
      <c r="A2823" s="6">
        <v>43933.708333333336</v>
      </c>
      <c r="B2823" s="1" t="s">
        <v>17</v>
      </c>
      <c r="C2823">
        <v>322</v>
      </c>
      <c r="D2823">
        <v>61</v>
      </c>
      <c r="E2823">
        <v>293</v>
      </c>
      <c r="F2823">
        <v>3053</v>
      </c>
      <c r="G2823" s="3">
        <f t="shared" si="132"/>
        <v>83</v>
      </c>
      <c r="H2823" s="4">
        <f t="shared" si="133"/>
        <v>2.7186374058303264E-2</v>
      </c>
      <c r="I2823" s="1">
        <f t="shared" si="134"/>
        <v>9</v>
      </c>
    </row>
    <row r="2824" spans="1:9" hidden="1" x14ac:dyDescent="0.2">
      <c r="A2824" s="6">
        <v>43934.708333333336</v>
      </c>
      <c r="B2824" s="1" t="s">
        <v>17</v>
      </c>
      <c r="C2824">
        <v>326</v>
      </c>
      <c r="D2824">
        <v>56</v>
      </c>
      <c r="E2824">
        <v>300</v>
      </c>
      <c r="F2824">
        <v>3126</v>
      </c>
      <c r="G2824" s="3">
        <f t="shared" si="132"/>
        <v>73</v>
      </c>
      <c r="H2824" s="4">
        <f t="shared" si="133"/>
        <v>2.3352527191298766E-2</v>
      </c>
      <c r="I2824" s="1">
        <f t="shared" si="134"/>
        <v>7</v>
      </c>
    </row>
    <row r="2825" spans="1:9" hidden="1" x14ac:dyDescent="0.2">
      <c r="A2825" s="6">
        <v>43935.708333333336</v>
      </c>
      <c r="B2825" s="1" t="s">
        <v>17</v>
      </c>
      <c r="C2825">
        <v>325</v>
      </c>
      <c r="D2825">
        <v>54</v>
      </c>
      <c r="E2825">
        <v>310</v>
      </c>
      <c r="F2825">
        <v>3141</v>
      </c>
      <c r="G2825" s="3">
        <f t="shared" si="132"/>
        <v>15</v>
      </c>
      <c r="H2825" s="4">
        <f t="shared" si="133"/>
        <v>4.7755491881565915E-3</v>
      </c>
      <c r="I2825" s="1">
        <f t="shared" si="134"/>
        <v>10</v>
      </c>
    </row>
    <row r="2826" spans="1:9" hidden="1" x14ac:dyDescent="0.2">
      <c r="A2826" s="6">
        <v>43936.708333333336</v>
      </c>
      <c r="B2826" s="1" t="s">
        <v>17</v>
      </c>
      <c r="C2826">
        <v>312</v>
      </c>
      <c r="D2826">
        <v>48</v>
      </c>
      <c r="E2826">
        <v>318</v>
      </c>
      <c r="F2826">
        <v>3220</v>
      </c>
      <c r="G2826" s="3">
        <f t="shared" si="132"/>
        <v>79</v>
      </c>
      <c r="H2826" s="4">
        <f t="shared" si="133"/>
        <v>2.4534161490683215E-2</v>
      </c>
      <c r="I2826" s="1">
        <f t="shared" si="134"/>
        <v>8</v>
      </c>
    </row>
    <row r="2827" spans="1:9" hidden="1" x14ac:dyDescent="0.2">
      <c r="A2827" s="6">
        <v>43937.708333333336</v>
      </c>
      <c r="B2827" s="1" t="s">
        <v>17</v>
      </c>
      <c r="C2827">
        <v>296</v>
      </c>
      <c r="D2827">
        <v>43</v>
      </c>
      <c r="E2827">
        <v>322</v>
      </c>
      <c r="F2827">
        <v>3294</v>
      </c>
      <c r="G2827" s="3">
        <f t="shared" si="132"/>
        <v>74</v>
      </c>
      <c r="H2827" s="4">
        <f t="shared" si="133"/>
        <v>2.2465088038858494E-2</v>
      </c>
      <c r="I2827" s="1">
        <f t="shared" si="134"/>
        <v>4</v>
      </c>
    </row>
    <row r="2828" spans="1:9" hidden="1" x14ac:dyDescent="0.2">
      <c r="A2828" s="6">
        <v>43938.708333333336</v>
      </c>
      <c r="B2828" s="1" t="s">
        <v>17</v>
      </c>
      <c r="C2828">
        <v>286</v>
      </c>
      <c r="D2828">
        <v>44</v>
      </c>
      <c r="E2828">
        <v>342</v>
      </c>
      <c r="F2828">
        <v>3376</v>
      </c>
      <c r="G2828" s="3">
        <f t="shared" si="132"/>
        <v>82</v>
      </c>
      <c r="H2828" s="4">
        <f t="shared" si="133"/>
        <v>2.4289099526066393E-2</v>
      </c>
      <c r="I2828" s="1">
        <f t="shared" si="134"/>
        <v>20</v>
      </c>
    </row>
    <row r="2829" spans="1:9" hidden="1" x14ac:dyDescent="0.2">
      <c r="A2829" s="6">
        <v>43939.708333333336</v>
      </c>
      <c r="B2829" s="1" t="s">
        <v>17</v>
      </c>
      <c r="C2829">
        <v>276</v>
      </c>
      <c r="D2829">
        <v>42</v>
      </c>
      <c r="E2829">
        <v>348</v>
      </c>
      <c r="F2829">
        <v>3431</v>
      </c>
      <c r="G2829" s="3">
        <f t="shared" si="132"/>
        <v>55</v>
      </c>
      <c r="H2829" s="4">
        <f t="shared" si="133"/>
        <v>1.6030311862430757E-2</v>
      </c>
      <c r="I2829" s="1">
        <f t="shared" si="134"/>
        <v>6</v>
      </c>
    </row>
    <row r="2830" spans="1:9" hidden="1" x14ac:dyDescent="0.2">
      <c r="A2830" s="6">
        <v>43940.708333333336</v>
      </c>
      <c r="B2830" s="1" t="s">
        <v>17</v>
      </c>
      <c r="C2830">
        <v>278</v>
      </c>
      <c r="D2830">
        <v>41</v>
      </c>
      <c r="E2830">
        <v>360</v>
      </c>
      <c r="F2830">
        <v>3532</v>
      </c>
      <c r="G2830" s="3">
        <f t="shared" si="132"/>
        <v>101</v>
      </c>
      <c r="H2830" s="4">
        <f t="shared" si="133"/>
        <v>2.8595696489241207E-2</v>
      </c>
      <c r="I2830" s="1">
        <f t="shared" si="134"/>
        <v>12</v>
      </c>
    </row>
    <row r="2831" spans="1:9" hidden="1" x14ac:dyDescent="0.2">
      <c r="A2831" s="6">
        <v>43941.708333333336</v>
      </c>
      <c r="B2831" s="1" t="s">
        <v>17</v>
      </c>
      <c r="C2831">
        <v>272</v>
      </c>
      <c r="D2831">
        <v>40</v>
      </c>
      <c r="E2831">
        <v>366</v>
      </c>
      <c r="F2831">
        <v>3590</v>
      </c>
      <c r="G2831" s="3">
        <f t="shared" si="132"/>
        <v>58</v>
      </c>
      <c r="H2831" s="4">
        <f t="shared" si="133"/>
        <v>1.6155988857938675E-2</v>
      </c>
      <c r="I2831" s="1">
        <f t="shared" si="134"/>
        <v>6</v>
      </c>
    </row>
    <row r="2832" spans="1:9" hidden="1" x14ac:dyDescent="0.2">
      <c r="A2832" s="6">
        <v>43942.708333333336</v>
      </c>
      <c r="B2832" s="1" t="s">
        <v>17</v>
      </c>
      <c r="C2832">
        <v>254</v>
      </c>
      <c r="D2832">
        <v>38</v>
      </c>
      <c r="E2832">
        <v>376</v>
      </c>
      <c r="F2832">
        <v>3614</v>
      </c>
      <c r="G2832" s="3">
        <f t="shared" si="132"/>
        <v>24</v>
      </c>
      <c r="H2832" s="4">
        <f t="shared" si="133"/>
        <v>6.6408411732152839E-3</v>
      </c>
      <c r="I2832" s="1">
        <f t="shared" si="134"/>
        <v>10</v>
      </c>
    </row>
    <row r="2833" spans="1:9" hidden="1" x14ac:dyDescent="0.2">
      <c r="A2833" s="6">
        <v>43943.708333333336</v>
      </c>
      <c r="B2833" s="1" t="s">
        <v>17</v>
      </c>
      <c r="C2833">
        <v>245</v>
      </c>
      <c r="D2833">
        <v>34</v>
      </c>
      <c r="E2833">
        <v>381</v>
      </c>
      <c r="F2833">
        <v>3646</v>
      </c>
      <c r="G2833" s="3">
        <f t="shared" si="132"/>
        <v>32</v>
      </c>
      <c r="H2833" s="4">
        <f t="shared" si="133"/>
        <v>8.7767416346681282E-3</v>
      </c>
      <c r="I2833" s="1">
        <f t="shared" si="134"/>
        <v>5</v>
      </c>
    </row>
    <row r="2834" spans="1:9" hidden="1" x14ac:dyDescent="0.2">
      <c r="A2834" s="6">
        <v>43944.708333333336</v>
      </c>
      <c r="B2834" s="1" t="s">
        <v>17</v>
      </c>
      <c r="C2834">
        <v>234</v>
      </c>
      <c r="D2834">
        <v>29</v>
      </c>
      <c r="E2834">
        <v>382</v>
      </c>
      <c r="F2834">
        <v>3727</v>
      </c>
      <c r="G2834" s="3">
        <f t="shared" si="132"/>
        <v>81</v>
      </c>
      <c r="H2834" s="4">
        <f t="shared" si="133"/>
        <v>2.1733297558357956E-2</v>
      </c>
      <c r="I2834" s="1">
        <f t="shared" si="134"/>
        <v>1</v>
      </c>
    </row>
    <row r="2835" spans="1:9" hidden="1" x14ac:dyDescent="0.2">
      <c r="A2835" s="6">
        <v>43945.708333333336</v>
      </c>
      <c r="B2835" s="1" t="s">
        <v>17</v>
      </c>
      <c r="C2835">
        <v>224</v>
      </c>
      <c r="D2835">
        <v>28</v>
      </c>
      <c r="E2835">
        <v>389</v>
      </c>
      <c r="F2835">
        <v>3776</v>
      </c>
      <c r="G2835" s="3">
        <f t="shared" si="132"/>
        <v>49</v>
      </c>
      <c r="H2835" s="4">
        <f t="shared" si="133"/>
        <v>1.2976694915254217E-2</v>
      </c>
      <c r="I2835" s="1">
        <f t="shared" si="134"/>
        <v>7</v>
      </c>
    </row>
    <row r="2836" spans="1:9" hidden="1" x14ac:dyDescent="0.2">
      <c r="A2836" s="6">
        <v>43946.708333333336</v>
      </c>
      <c r="B2836" s="1" t="s">
        <v>17</v>
      </c>
      <c r="C2836">
        <v>202</v>
      </c>
      <c r="D2836">
        <v>27</v>
      </c>
      <c r="E2836">
        <v>400</v>
      </c>
      <c r="F2836">
        <v>3838</v>
      </c>
      <c r="G2836" s="3">
        <f t="shared" si="132"/>
        <v>62</v>
      </c>
      <c r="H2836" s="4">
        <f t="shared" si="133"/>
        <v>1.6154247003647759E-2</v>
      </c>
      <c r="I2836" s="1">
        <f t="shared" si="134"/>
        <v>11</v>
      </c>
    </row>
    <row r="2837" spans="1:9" hidden="1" x14ac:dyDescent="0.2">
      <c r="A2837" s="6">
        <v>43947.708333333336</v>
      </c>
      <c r="B2837" s="1" t="s">
        <v>17</v>
      </c>
      <c r="C2837">
        <v>199</v>
      </c>
      <c r="D2837">
        <v>24</v>
      </c>
      <c r="E2837">
        <v>405</v>
      </c>
      <c r="F2837">
        <v>3894</v>
      </c>
      <c r="G2837" s="3">
        <f t="shared" si="132"/>
        <v>56</v>
      </c>
      <c r="H2837" s="4">
        <f t="shared" si="133"/>
        <v>1.4381099126861807E-2</v>
      </c>
      <c r="I2837" s="1">
        <f t="shared" si="134"/>
        <v>5</v>
      </c>
    </row>
    <row r="2838" spans="1:9" hidden="1" x14ac:dyDescent="0.2">
      <c r="A2838" s="6">
        <v>43948.708333333336</v>
      </c>
      <c r="B2838" s="1" t="s">
        <v>17</v>
      </c>
      <c r="C2838">
        <v>201</v>
      </c>
      <c r="D2838">
        <v>23</v>
      </c>
      <c r="E2838">
        <v>407</v>
      </c>
      <c r="F2838">
        <v>3995</v>
      </c>
      <c r="G2838" s="3">
        <f t="shared" si="132"/>
        <v>101</v>
      </c>
      <c r="H2838" s="4">
        <f t="shared" si="133"/>
        <v>2.5281602002503178E-2</v>
      </c>
      <c r="I2838" s="1">
        <f t="shared" si="134"/>
        <v>2</v>
      </c>
    </row>
    <row r="2839" spans="1:9" hidden="1" x14ac:dyDescent="0.2">
      <c r="A2839" s="6">
        <v>43949.708333333336</v>
      </c>
      <c r="B2839" s="1" t="s">
        <v>17</v>
      </c>
      <c r="C2839">
        <v>182</v>
      </c>
      <c r="D2839">
        <v>22</v>
      </c>
      <c r="E2839">
        <v>412</v>
      </c>
      <c r="F2839">
        <v>4025</v>
      </c>
      <c r="G2839" s="3">
        <f t="shared" si="132"/>
        <v>30</v>
      </c>
      <c r="H2839" s="4">
        <f t="shared" si="133"/>
        <v>7.4534161490683593E-3</v>
      </c>
      <c r="I2839" s="1">
        <f t="shared" si="134"/>
        <v>5</v>
      </c>
    </row>
    <row r="2840" spans="1:9" hidden="1" x14ac:dyDescent="0.2">
      <c r="A2840" s="6">
        <v>43950.708333333336</v>
      </c>
      <c r="B2840" s="1" t="s">
        <v>17</v>
      </c>
      <c r="C2840">
        <v>165</v>
      </c>
      <c r="D2840">
        <v>22</v>
      </c>
      <c r="E2840">
        <v>416</v>
      </c>
      <c r="F2840">
        <v>4069</v>
      </c>
      <c r="G2840" s="3">
        <f t="shared" si="132"/>
        <v>44</v>
      </c>
      <c r="H2840" s="4">
        <f t="shared" si="133"/>
        <v>1.0813467682477262E-2</v>
      </c>
      <c r="I2840" s="1">
        <f t="shared" si="134"/>
        <v>4</v>
      </c>
    </row>
    <row r="2841" spans="1:9" hidden="1" x14ac:dyDescent="0.2">
      <c r="A2841" s="6">
        <v>43951.708333333336</v>
      </c>
      <c r="B2841" s="1" t="s">
        <v>17</v>
      </c>
      <c r="C2841">
        <v>158</v>
      </c>
      <c r="D2841">
        <v>21</v>
      </c>
      <c r="E2841">
        <v>418</v>
      </c>
      <c r="F2841">
        <v>4116</v>
      </c>
      <c r="G2841" s="3">
        <f t="shared" si="132"/>
        <v>47</v>
      </c>
      <c r="H2841" s="4">
        <f t="shared" si="133"/>
        <v>1.1418853255588002E-2</v>
      </c>
      <c r="I2841" s="1">
        <f t="shared" si="134"/>
        <v>2</v>
      </c>
    </row>
    <row r="2842" spans="1:9" hidden="1" x14ac:dyDescent="0.2">
      <c r="A2842" s="6">
        <v>43952.708333333336</v>
      </c>
      <c r="B2842" s="1" t="s">
        <v>17</v>
      </c>
      <c r="C2842">
        <v>146</v>
      </c>
      <c r="D2842">
        <v>19</v>
      </c>
      <c r="E2842">
        <v>423</v>
      </c>
      <c r="F2842">
        <v>4132</v>
      </c>
      <c r="G2842" s="3">
        <f t="shared" si="132"/>
        <v>16</v>
      </c>
      <c r="H2842" s="4">
        <f t="shared" si="133"/>
        <v>3.8722168441432947E-3</v>
      </c>
      <c r="I2842" s="1">
        <f t="shared" si="134"/>
        <v>5</v>
      </c>
    </row>
    <row r="2843" spans="1:9" hidden="1" x14ac:dyDescent="0.2">
      <c r="A2843" s="6">
        <v>43953.708333333336</v>
      </c>
      <c r="B2843" s="1" t="s">
        <v>17</v>
      </c>
      <c r="C2843">
        <v>138</v>
      </c>
      <c r="D2843">
        <v>19</v>
      </c>
      <c r="E2843">
        <v>425</v>
      </c>
      <c r="F2843">
        <v>4181</v>
      </c>
      <c r="G2843" s="3">
        <f t="shared" si="132"/>
        <v>49</v>
      </c>
      <c r="H2843" s="4">
        <f t="shared" si="133"/>
        <v>1.1719684286055965E-2</v>
      </c>
      <c r="I2843" s="1">
        <f t="shared" si="134"/>
        <v>2</v>
      </c>
    </row>
    <row r="2844" spans="1:9" hidden="1" x14ac:dyDescent="0.2">
      <c r="A2844" s="6">
        <v>43954.708333333336</v>
      </c>
      <c r="B2844" s="1" t="s">
        <v>17</v>
      </c>
      <c r="C2844">
        <v>136</v>
      </c>
      <c r="D2844">
        <v>17</v>
      </c>
      <c r="E2844">
        <v>429</v>
      </c>
      <c r="F2844">
        <v>4247</v>
      </c>
      <c r="G2844" s="3">
        <f t="shared" si="132"/>
        <v>66</v>
      </c>
      <c r="H2844" s="4">
        <f t="shared" si="133"/>
        <v>1.5540381445726448E-2</v>
      </c>
      <c r="I2844" s="1">
        <f t="shared" si="134"/>
        <v>4</v>
      </c>
    </row>
    <row r="2845" spans="1:9" hidden="1" x14ac:dyDescent="0.2">
      <c r="A2845" s="6">
        <v>43955.708333333336</v>
      </c>
      <c r="B2845" s="1" t="s">
        <v>17</v>
      </c>
      <c r="C2845">
        <v>135</v>
      </c>
      <c r="D2845">
        <v>17</v>
      </c>
      <c r="E2845">
        <v>430</v>
      </c>
      <c r="F2845">
        <v>4258</v>
      </c>
      <c r="G2845" s="3">
        <f t="shared" si="132"/>
        <v>11</v>
      </c>
      <c r="H2845" s="4">
        <f t="shared" si="133"/>
        <v>2.5833724753405729E-3</v>
      </c>
      <c r="I2845" s="1">
        <f t="shared" si="134"/>
        <v>1</v>
      </c>
    </row>
    <row r="2846" spans="1:9" hidden="1" x14ac:dyDescent="0.2">
      <c r="A2846" s="6">
        <v>43956.708333333336</v>
      </c>
      <c r="B2846" s="1" t="s">
        <v>17</v>
      </c>
      <c r="C2846">
        <v>126</v>
      </c>
      <c r="D2846">
        <v>15</v>
      </c>
      <c r="E2846">
        <v>433</v>
      </c>
      <c r="F2846">
        <v>4261</v>
      </c>
      <c r="G2846" s="3">
        <f t="shared" si="132"/>
        <v>3</v>
      </c>
      <c r="H2846" s="4">
        <f t="shared" si="133"/>
        <v>7.0406007979351148E-4</v>
      </c>
      <c r="I2846" s="1">
        <f t="shared" si="134"/>
        <v>3</v>
      </c>
    </row>
    <row r="2847" spans="1:9" hidden="1" x14ac:dyDescent="0.2">
      <c r="A2847" s="6">
        <v>43957.708333333336</v>
      </c>
      <c r="B2847" s="1" t="s">
        <v>17</v>
      </c>
      <c r="C2847">
        <v>116</v>
      </c>
      <c r="D2847">
        <v>13</v>
      </c>
      <c r="E2847">
        <v>437</v>
      </c>
      <c r="F2847">
        <v>4280</v>
      </c>
      <c r="G2847" s="3">
        <f t="shared" si="132"/>
        <v>19</v>
      </c>
      <c r="H2847" s="4">
        <f t="shared" si="133"/>
        <v>4.4392523364485958E-3</v>
      </c>
      <c r="I2847" s="1">
        <f t="shared" si="134"/>
        <v>4</v>
      </c>
    </row>
    <row r="2848" spans="1:9" hidden="1" x14ac:dyDescent="0.2">
      <c r="A2848" s="6">
        <v>43958.708333333336</v>
      </c>
      <c r="B2848" s="1" t="s">
        <v>17</v>
      </c>
      <c r="C2848">
        <v>99</v>
      </c>
      <c r="D2848">
        <v>11</v>
      </c>
      <c r="E2848">
        <v>438</v>
      </c>
      <c r="F2848">
        <v>4283</v>
      </c>
      <c r="G2848" s="3">
        <f t="shared" si="132"/>
        <v>3</v>
      </c>
      <c r="H2848" s="4">
        <f t="shared" si="133"/>
        <v>7.0044361428900359E-4</v>
      </c>
      <c r="I2848" s="1">
        <f t="shared" si="134"/>
        <v>1</v>
      </c>
    </row>
    <row r="2849" spans="1:9" hidden="1" x14ac:dyDescent="0.2">
      <c r="A2849" s="6">
        <v>43959.708333333336</v>
      </c>
      <c r="B2849" s="1" t="s">
        <v>17</v>
      </c>
      <c r="C2849">
        <v>94</v>
      </c>
      <c r="D2849">
        <v>11</v>
      </c>
      <c r="E2849">
        <v>438</v>
      </c>
      <c r="F2849">
        <v>4285</v>
      </c>
      <c r="G2849" s="3">
        <f t="shared" si="132"/>
        <v>2</v>
      </c>
      <c r="H2849" s="4">
        <f t="shared" si="133"/>
        <v>4.667444574095736E-4</v>
      </c>
      <c r="I2849" s="1">
        <f t="shared" si="134"/>
        <v>0</v>
      </c>
    </row>
    <row r="2850" spans="1:9" hidden="1" x14ac:dyDescent="0.2">
      <c r="A2850" s="6">
        <v>43960.708333333336</v>
      </c>
      <c r="B2850" s="1" t="s">
        <v>17</v>
      </c>
      <c r="C2850">
        <v>87</v>
      </c>
      <c r="D2850">
        <v>10</v>
      </c>
      <c r="E2850">
        <v>438</v>
      </c>
      <c r="F2850">
        <v>4292</v>
      </c>
      <c r="G2850" s="3">
        <f t="shared" si="132"/>
        <v>7</v>
      </c>
      <c r="H2850" s="4">
        <f t="shared" si="133"/>
        <v>1.6309412861137407E-3</v>
      </c>
      <c r="I2850" s="1">
        <f t="shared" si="134"/>
        <v>0</v>
      </c>
    </row>
    <row r="2851" spans="1:9" hidden="1" x14ac:dyDescent="0.2">
      <c r="A2851" s="6">
        <v>43961.708333333336</v>
      </c>
      <c r="B2851" s="1" t="s">
        <v>17</v>
      </c>
      <c r="C2851">
        <v>82</v>
      </c>
      <c r="D2851">
        <v>10</v>
      </c>
      <c r="E2851">
        <v>441</v>
      </c>
      <c r="F2851">
        <v>4295</v>
      </c>
      <c r="G2851" s="3">
        <f t="shared" si="132"/>
        <v>3</v>
      </c>
      <c r="H2851" s="4">
        <f t="shared" si="133"/>
        <v>6.9848661233995468E-4</v>
      </c>
      <c r="I2851" s="1">
        <f t="shared" si="134"/>
        <v>3</v>
      </c>
    </row>
    <row r="2852" spans="1:9" hidden="1" x14ac:dyDescent="0.2">
      <c r="A2852" s="6">
        <v>43962.708333333336</v>
      </c>
      <c r="B2852" s="1" t="s">
        <v>17</v>
      </c>
      <c r="C2852">
        <v>84</v>
      </c>
      <c r="D2852">
        <v>11</v>
      </c>
      <c r="E2852">
        <v>443</v>
      </c>
      <c r="F2852">
        <v>4297</v>
      </c>
      <c r="G2852" s="3">
        <f t="shared" si="132"/>
        <v>2</v>
      </c>
      <c r="H2852" s="4">
        <f t="shared" si="133"/>
        <v>4.6544100535261812E-4</v>
      </c>
      <c r="I2852" s="1">
        <f t="shared" si="134"/>
        <v>2</v>
      </c>
    </row>
    <row r="2853" spans="1:9" hidden="1" x14ac:dyDescent="0.2">
      <c r="A2853" s="6">
        <v>43963.708333333336</v>
      </c>
      <c r="B2853" s="1" t="s">
        <v>17</v>
      </c>
      <c r="C2853">
        <v>80</v>
      </c>
      <c r="D2853">
        <v>9</v>
      </c>
      <c r="E2853">
        <v>445</v>
      </c>
      <c r="F2853">
        <v>4303</v>
      </c>
      <c r="G2853" s="3">
        <f t="shared" si="132"/>
        <v>6</v>
      </c>
      <c r="H2853" s="4">
        <f t="shared" si="133"/>
        <v>1.3943760167325348E-3</v>
      </c>
      <c r="I2853" s="1">
        <f t="shared" si="134"/>
        <v>2</v>
      </c>
    </row>
    <row r="2854" spans="1:9" hidden="1" x14ac:dyDescent="0.2">
      <c r="A2854" s="6">
        <v>43964.708333333336</v>
      </c>
      <c r="B2854" s="1" t="s">
        <v>17</v>
      </c>
      <c r="C2854">
        <v>76</v>
      </c>
      <c r="D2854">
        <v>9</v>
      </c>
      <c r="E2854">
        <v>446</v>
      </c>
      <c r="F2854">
        <v>4312</v>
      </c>
      <c r="G2854" s="3">
        <f t="shared" si="132"/>
        <v>9</v>
      </c>
      <c r="H2854" s="4">
        <f t="shared" si="133"/>
        <v>2.0871985157699946E-3</v>
      </c>
      <c r="I2854" s="1">
        <f t="shared" si="134"/>
        <v>1</v>
      </c>
    </row>
    <row r="2855" spans="1:9" hidden="1" x14ac:dyDescent="0.2">
      <c r="A2855" s="6">
        <v>43965.708333333336</v>
      </c>
      <c r="B2855" s="1" t="s">
        <v>17</v>
      </c>
      <c r="C2855">
        <v>66</v>
      </c>
      <c r="D2855">
        <v>9</v>
      </c>
      <c r="E2855">
        <v>448</v>
      </c>
      <c r="F2855">
        <v>4315</v>
      </c>
      <c r="G2855" s="3">
        <f t="shared" si="132"/>
        <v>3</v>
      </c>
      <c r="H2855" s="4">
        <f t="shared" si="133"/>
        <v>6.9524913093854668E-4</v>
      </c>
      <c r="I2855" s="1">
        <f t="shared" si="134"/>
        <v>2</v>
      </c>
    </row>
    <row r="2856" spans="1:9" hidden="1" x14ac:dyDescent="0.2">
      <c r="A2856" s="6">
        <v>43966.708333333336</v>
      </c>
      <c r="B2856" s="1" t="s">
        <v>17</v>
      </c>
      <c r="C2856">
        <v>53</v>
      </c>
      <c r="D2856">
        <v>9</v>
      </c>
      <c r="E2856">
        <v>451</v>
      </c>
      <c r="F2856">
        <v>4318</v>
      </c>
      <c r="G2856" s="3">
        <f t="shared" si="132"/>
        <v>3</v>
      </c>
      <c r="H2856" s="4">
        <f t="shared" si="133"/>
        <v>6.9476609541452294E-4</v>
      </c>
      <c r="I2856" s="1">
        <f t="shared" si="134"/>
        <v>3</v>
      </c>
    </row>
    <row r="2857" spans="1:9" hidden="1" x14ac:dyDescent="0.2">
      <c r="A2857" s="6">
        <v>43967.708333333336</v>
      </c>
      <c r="B2857" s="1" t="s">
        <v>17</v>
      </c>
      <c r="C2857">
        <v>44</v>
      </c>
      <c r="D2857">
        <v>8</v>
      </c>
      <c r="E2857">
        <v>453</v>
      </c>
      <c r="F2857">
        <v>4326</v>
      </c>
      <c r="G2857" s="3">
        <f t="shared" si="132"/>
        <v>8</v>
      </c>
      <c r="H2857" s="4">
        <f t="shared" si="133"/>
        <v>1.8492834026814231E-3</v>
      </c>
      <c r="I2857" s="1">
        <f t="shared" si="134"/>
        <v>2</v>
      </c>
    </row>
    <row r="2858" spans="1:9" hidden="1" x14ac:dyDescent="0.2">
      <c r="A2858" s="6">
        <v>43968.708333333336</v>
      </c>
      <c r="B2858" s="1" t="s">
        <v>17</v>
      </c>
      <c r="C2858">
        <v>41</v>
      </c>
      <c r="D2858">
        <v>8</v>
      </c>
      <c r="E2858">
        <v>453</v>
      </c>
      <c r="F2858">
        <v>4338</v>
      </c>
      <c r="G2858" s="3">
        <f t="shared" si="132"/>
        <v>12</v>
      </c>
      <c r="H2858" s="4">
        <f t="shared" si="133"/>
        <v>2.7662517289073207E-3</v>
      </c>
      <c r="I2858" s="1">
        <f t="shared" si="134"/>
        <v>0</v>
      </c>
    </row>
    <row r="2859" spans="1:9" hidden="1" x14ac:dyDescent="0.2">
      <c r="A2859" s="6">
        <v>43969.708333333336</v>
      </c>
      <c r="B2859" s="1" t="s">
        <v>17</v>
      </c>
      <c r="C2859">
        <v>41</v>
      </c>
      <c r="D2859">
        <v>8</v>
      </c>
      <c r="E2859">
        <v>453</v>
      </c>
      <c r="F2859">
        <v>4351</v>
      </c>
      <c r="G2859" s="3">
        <f t="shared" si="132"/>
        <v>13</v>
      </c>
      <c r="H2859" s="4">
        <f t="shared" si="133"/>
        <v>2.9878188922086713E-3</v>
      </c>
      <c r="I2859" s="1">
        <f t="shared" si="134"/>
        <v>0</v>
      </c>
    </row>
    <row r="2860" spans="1:9" hidden="1" x14ac:dyDescent="0.2">
      <c r="A2860" s="6">
        <v>43970.708333333336</v>
      </c>
      <c r="B2860" s="1" t="s">
        <v>17</v>
      </c>
      <c r="C2860">
        <v>42</v>
      </c>
      <c r="D2860">
        <v>8</v>
      </c>
      <c r="E2860">
        <v>455</v>
      </c>
      <c r="F2860">
        <v>4358</v>
      </c>
      <c r="G2860" s="3">
        <f t="shared" si="132"/>
        <v>7</v>
      </c>
      <c r="H2860" s="4">
        <f t="shared" si="133"/>
        <v>1.6062413951354326E-3</v>
      </c>
      <c r="I2860" s="1">
        <f t="shared" si="134"/>
        <v>2</v>
      </c>
    </row>
    <row r="2861" spans="1:9" hidden="1" x14ac:dyDescent="0.2">
      <c r="A2861" s="6">
        <v>43971.708333333336</v>
      </c>
      <c r="B2861" s="1" t="s">
        <v>17</v>
      </c>
      <c r="C2861">
        <v>39</v>
      </c>
      <c r="D2861">
        <v>6</v>
      </c>
      <c r="E2861">
        <v>455</v>
      </c>
      <c r="F2861">
        <v>4368</v>
      </c>
      <c r="G2861" s="3">
        <f t="shared" si="132"/>
        <v>10</v>
      </c>
      <c r="H2861" s="4">
        <f t="shared" si="133"/>
        <v>2.2893772893772812E-3</v>
      </c>
      <c r="I2861" s="1">
        <f t="shared" si="134"/>
        <v>0</v>
      </c>
    </row>
    <row r="2862" spans="1:9" hidden="1" x14ac:dyDescent="0.2">
      <c r="A2862" s="6">
        <v>43972.708333333336</v>
      </c>
      <c r="B2862" s="1" t="s">
        <v>17</v>
      </c>
      <c r="C2862">
        <v>40</v>
      </c>
      <c r="D2862">
        <v>6</v>
      </c>
      <c r="E2862">
        <v>455</v>
      </c>
      <c r="F2862">
        <v>4378</v>
      </c>
      <c r="G2862" s="3">
        <f t="shared" si="132"/>
        <v>10</v>
      </c>
      <c r="H2862" s="4">
        <f t="shared" si="133"/>
        <v>2.2841480127911984E-3</v>
      </c>
      <c r="I2862" s="1">
        <f t="shared" si="134"/>
        <v>0</v>
      </c>
    </row>
    <row r="2863" spans="1:9" hidden="1" x14ac:dyDescent="0.2">
      <c r="A2863" s="6">
        <v>43973.708333333336</v>
      </c>
      <c r="B2863" s="1" t="s">
        <v>17</v>
      </c>
      <c r="C2863">
        <v>32</v>
      </c>
      <c r="D2863">
        <v>4</v>
      </c>
      <c r="E2863">
        <v>455</v>
      </c>
      <c r="F2863">
        <v>4388</v>
      </c>
      <c r="G2863" s="3">
        <f t="shared" si="132"/>
        <v>10</v>
      </c>
      <c r="H2863" s="4">
        <f t="shared" si="133"/>
        <v>2.2789425706472022E-3</v>
      </c>
      <c r="I2863" s="1">
        <f t="shared" si="134"/>
        <v>0</v>
      </c>
    </row>
    <row r="2864" spans="1:9" hidden="1" x14ac:dyDescent="0.2">
      <c r="A2864" s="6">
        <v>43974.708333333336</v>
      </c>
      <c r="B2864" s="1" t="s">
        <v>17</v>
      </c>
      <c r="C2864">
        <v>28</v>
      </c>
      <c r="D2864">
        <v>4</v>
      </c>
      <c r="E2864">
        <v>456</v>
      </c>
      <c r="F2864">
        <v>4395</v>
      </c>
      <c r="G2864" s="3">
        <f t="shared" si="132"/>
        <v>7</v>
      </c>
      <c r="H2864" s="4">
        <f t="shared" si="133"/>
        <v>1.5927189988623747E-3</v>
      </c>
      <c r="I2864" s="1">
        <f t="shared" si="134"/>
        <v>1</v>
      </c>
    </row>
    <row r="2865" spans="1:9" hidden="1" x14ac:dyDescent="0.2">
      <c r="A2865" s="6">
        <v>43975.708333333336</v>
      </c>
      <c r="B2865" s="1" t="s">
        <v>17</v>
      </c>
      <c r="C2865">
        <v>27</v>
      </c>
      <c r="D2865">
        <v>4</v>
      </c>
      <c r="E2865">
        <v>457</v>
      </c>
      <c r="F2865">
        <v>4404</v>
      </c>
      <c r="G2865" s="3">
        <f t="shared" si="132"/>
        <v>9</v>
      </c>
      <c r="H2865" s="4">
        <f t="shared" si="133"/>
        <v>2.043596730245234E-3</v>
      </c>
      <c r="I2865" s="1">
        <f t="shared" si="134"/>
        <v>1</v>
      </c>
    </row>
    <row r="2866" spans="1:9" hidden="1" x14ac:dyDescent="0.2">
      <c r="A2866" s="6">
        <v>43976.708333333336</v>
      </c>
      <c r="B2866" s="1" t="s">
        <v>17</v>
      </c>
      <c r="C2866">
        <v>27</v>
      </c>
      <c r="D2866">
        <v>4</v>
      </c>
      <c r="E2866">
        <v>458</v>
      </c>
      <c r="F2866">
        <v>4405</v>
      </c>
      <c r="G2866" s="3">
        <f t="shared" si="132"/>
        <v>1</v>
      </c>
      <c r="H2866" s="4">
        <f t="shared" si="133"/>
        <v>2.2701475595909848E-4</v>
      </c>
      <c r="I2866" s="1">
        <f t="shared" si="134"/>
        <v>1</v>
      </c>
    </row>
    <row r="2867" spans="1:9" hidden="1" x14ac:dyDescent="0.2">
      <c r="A2867" s="6">
        <v>43977.708333333336</v>
      </c>
      <c r="B2867" s="1" t="s">
        <v>17</v>
      </c>
      <c r="C2867">
        <v>24</v>
      </c>
      <c r="D2867">
        <v>3</v>
      </c>
      <c r="E2867">
        <v>461</v>
      </c>
      <c r="F2867">
        <v>4415</v>
      </c>
      <c r="G2867" s="3">
        <f t="shared" si="132"/>
        <v>10</v>
      </c>
      <c r="H2867" s="4">
        <f t="shared" si="133"/>
        <v>2.2650056625141968E-3</v>
      </c>
      <c r="I2867" s="1">
        <f t="shared" si="134"/>
        <v>3</v>
      </c>
    </row>
    <row r="2868" spans="1:9" hidden="1" x14ac:dyDescent="0.2">
      <c r="A2868" s="6">
        <v>43978.708333333336</v>
      </c>
      <c r="B2868" s="1" t="s">
        <v>17</v>
      </c>
      <c r="C2868">
        <v>19</v>
      </c>
      <c r="D2868">
        <v>2</v>
      </c>
      <c r="E2868">
        <v>462</v>
      </c>
      <c r="F2868">
        <v>4422</v>
      </c>
      <c r="G2868" s="3">
        <f t="shared" si="132"/>
        <v>7</v>
      </c>
      <c r="H2868" s="4">
        <f t="shared" si="133"/>
        <v>1.5829941203076014E-3</v>
      </c>
      <c r="I2868" s="1">
        <f t="shared" si="134"/>
        <v>1</v>
      </c>
    </row>
    <row r="2869" spans="1:9" hidden="1" x14ac:dyDescent="0.2">
      <c r="A2869" s="6">
        <v>43979.708333333336</v>
      </c>
      <c r="B2869" s="1" t="s">
        <v>17</v>
      </c>
      <c r="C2869">
        <v>17</v>
      </c>
      <c r="D2869">
        <v>3</v>
      </c>
      <c r="E2869">
        <v>462</v>
      </c>
      <c r="F2869">
        <v>4425</v>
      </c>
      <c r="G2869" s="3">
        <f t="shared" si="132"/>
        <v>3</v>
      </c>
      <c r="H2869" s="4">
        <f t="shared" si="133"/>
        <v>6.7796610169490457E-4</v>
      </c>
      <c r="I2869" s="1">
        <f t="shared" si="134"/>
        <v>0</v>
      </c>
    </row>
    <row r="2870" spans="1:9" hidden="1" x14ac:dyDescent="0.2">
      <c r="A2870" s="6">
        <v>43980.708333333336</v>
      </c>
      <c r="B2870" s="1" t="s">
        <v>17</v>
      </c>
      <c r="C2870">
        <v>16</v>
      </c>
      <c r="D2870">
        <v>3</v>
      </c>
      <c r="E2870">
        <v>462</v>
      </c>
      <c r="F2870">
        <v>4428</v>
      </c>
      <c r="G2870" s="3">
        <f t="shared" si="132"/>
        <v>3</v>
      </c>
      <c r="H2870" s="4">
        <f t="shared" si="133"/>
        <v>6.7750677506772661E-4</v>
      </c>
      <c r="I2870" s="1">
        <f t="shared" si="134"/>
        <v>0</v>
      </c>
    </row>
    <row r="2871" spans="1:9" hidden="1" x14ac:dyDescent="0.2">
      <c r="A2871" s="6">
        <v>43981.708333333336</v>
      </c>
      <c r="B2871" s="1" t="s">
        <v>17</v>
      </c>
      <c r="C2871">
        <v>13</v>
      </c>
      <c r="D2871">
        <v>3</v>
      </c>
      <c r="E2871">
        <v>462</v>
      </c>
      <c r="F2871">
        <v>4429</v>
      </c>
      <c r="G2871" s="3">
        <f t="shared" si="132"/>
        <v>1</v>
      </c>
      <c r="H2871" s="4">
        <f t="shared" si="133"/>
        <v>2.2578460149014212E-4</v>
      </c>
      <c r="I2871" s="1">
        <f t="shared" si="134"/>
        <v>0</v>
      </c>
    </row>
    <row r="2872" spans="1:9" hidden="1" x14ac:dyDescent="0.2">
      <c r="A2872" s="6">
        <v>43982.708333333336</v>
      </c>
      <c r="B2872" s="1" t="s">
        <v>17</v>
      </c>
      <c r="C2872">
        <v>13</v>
      </c>
      <c r="D2872">
        <v>3</v>
      </c>
      <c r="E2872">
        <v>462</v>
      </c>
      <c r="F2872">
        <v>4430</v>
      </c>
      <c r="G2872" s="3">
        <f t="shared" si="132"/>
        <v>1</v>
      </c>
      <c r="H2872" s="4">
        <f t="shared" si="133"/>
        <v>2.2573363431155347E-4</v>
      </c>
      <c r="I2872" s="1">
        <f t="shared" si="134"/>
        <v>0</v>
      </c>
    </row>
    <row r="2873" spans="1:9" hidden="1" x14ac:dyDescent="0.2">
      <c r="A2873" s="6">
        <v>43983.708333333336</v>
      </c>
      <c r="B2873" s="1" t="s">
        <v>17</v>
      </c>
      <c r="C2873">
        <v>14</v>
      </c>
      <c r="D2873">
        <v>3</v>
      </c>
      <c r="E2873">
        <v>462</v>
      </c>
      <c r="F2873">
        <v>4432</v>
      </c>
      <c r="G2873" s="3">
        <f t="shared" si="132"/>
        <v>2</v>
      </c>
      <c r="H2873" s="4">
        <f t="shared" si="133"/>
        <v>4.512635379061436E-4</v>
      </c>
      <c r="I2873" s="1">
        <f t="shared" si="134"/>
        <v>0</v>
      </c>
    </row>
    <row r="2874" spans="1:9" hidden="1" x14ac:dyDescent="0.2">
      <c r="A2874" s="6">
        <v>43984.708333333336</v>
      </c>
      <c r="B2874" s="1" t="s">
        <v>17</v>
      </c>
      <c r="C2874">
        <v>14</v>
      </c>
      <c r="D2874">
        <v>2</v>
      </c>
      <c r="E2874">
        <v>463</v>
      </c>
      <c r="F2874">
        <v>4432</v>
      </c>
      <c r="G2874" s="3">
        <f t="shared" si="132"/>
        <v>0</v>
      </c>
      <c r="H2874" s="4">
        <f t="shared" si="133"/>
        <v>0</v>
      </c>
      <c r="I2874" s="1">
        <f t="shared" si="134"/>
        <v>1</v>
      </c>
    </row>
    <row r="2875" spans="1:9" hidden="1" x14ac:dyDescent="0.2">
      <c r="A2875" s="6">
        <v>43985.708333333336</v>
      </c>
      <c r="B2875" s="1" t="s">
        <v>17</v>
      </c>
      <c r="C2875">
        <v>15</v>
      </c>
      <c r="D2875">
        <v>2</v>
      </c>
      <c r="E2875">
        <v>463</v>
      </c>
      <c r="F2875">
        <v>4433</v>
      </c>
      <c r="G2875" s="3">
        <f t="shared" si="132"/>
        <v>1</v>
      </c>
      <c r="H2875" s="4">
        <f t="shared" si="133"/>
        <v>2.2558087074220357E-4</v>
      </c>
      <c r="I2875" s="1">
        <f t="shared" si="134"/>
        <v>0</v>
      </c>
    </row>
    <row r="2876" spans="1:9" hidden="1" x14ac:dyDescent="0.2">
      <c r="A2876" s="6">
        <v>43986.708333333336</v>
      </c>
      <c r="B2876" s="1" t="s">
        <v>17</v>
      </c>
      <c r="C2876">
        <v>14</v>
      </c>
      <c r="D2876">
        <v>1</v>
      </c>
      <c r="E2876">
        <v>464</v>
      </c>
      <c r="F2876">
        <v>4433</v>
      </c>
      <c r="G2876" s="3">
        <f t="shared" si="132"/>
        <v>0</v>
      </c>
      <c r="H2876" s="4">
        <f t="shared" si="133"/>
        <v>0</v>
      </c>
      <c r="I2876" s="1">
        <f t="shared" si="134"/>
        <v>1</v>
      </c>
    </row>
    <row r="2877" spans="1:9" hidden="1" x14ac:dyDescent="0.2">
      <c r="A2877" s="6">
        <v>43987.708333333336</v>
      </c>
      <c r="B2877" s="1" t="s">
        <v>17</v>
      </c>
      <c r="C2877">
        <v>8</v>
      </c>
      <c r="D2877">
        <v>1</v>
      </c>
      <c r="E2877">
        <v>464</v>
      </c>
      <c r="F2877">
        <v>4433</v>
      </c>
      <c r="G2877" s="3">
        <f t="shared" si="132"/>
        <v>0</v>
      </c>
      <c r="H2877" s="4">
        <f t="shared" si="133"/>
        <v>0</v>
      </c>
      <c r="I2877" s="1">
        <f t="shared" si="134"/>
        <v>0</v>
      </c>
    </row>
    <row r="2878" spans="1:9" hidden="1" x14ac:dyDescent="0.2">
      <c r="A2878" s="6">
        <v>43988.708333333336</v>
      </c>
      <c r="B2878" s="1" t="s">
        <v>17</v>
      </c>
      <c r="C2878">
        <v>6</v>
      </c>
      <c r="D2878">
        <v>1</v>
      </c>
      <c r="E2878">
        <v>464</v>
      </c>
      <c r="F2878">
        <v>4434</v>
      </c>
      <c r="G2878" s="3">
        <f t="shared" si="132"/>
        <v>1</v>
      </c>
      <c r="H2878" s="4">
        <f t="shared" si="133"/>
        <v>2.2552999548941521E-4</v>
      </c>
      <c r="I2878" s="1">
        <f t="shared" si="134"/>
        <v>0</v>
      </c>
    </row>
    <row r="2879" spans="1:9" hidden="1" x14ac:dyDescent="0.2">
      <c r="A2879" s="6">
        <v>43989.708333333336</v>
      </c>
      <c r="B2879" s="1" t="s">
        <v>17</v>
      </c>
      <c r="C2879">
        <v>6</v>
      </c>
      <c r="D2879">
        <v>1</v>
      </c>
      <c r="E2879">
        <v>464</v>
      </c>
      <c r="F2879">
        <v>4435</v>
      </c>
      <c r="G2879" s="3">
        <f t="shared" si="132"/>
        <v>1</v>
      </c>
      <c r="H2879" s="4">
        <f t="shared" si="133"/>
        <v>2.2547914317927464E-4</v>
      </c>
      <c r="I2879" s="1">
        <f t="shared" si="134"/>
        <v>0</v>
      </c>
    </row>
    <row r="2880" spans="1:9" hidden="1" x14ac:dyDescent="0.2">
      <c r="A2880" s="6">
        <v>43990.708333333336</v>
      </c>
      <c r="B2880" s="1" t="s">
        <v>17</v>
      </c>
      <c r="C2880">
        <v>7</v>
      </c>
      <c r="D2880">
        <v>1</v>
      </c>
      <c r="E2880">
        <v>464</v>
      </c>
      <c r="F2880">
        <v>4436</v>
      </c>
      <c r="G2880" s="3">
        <f t="shared" si="132"/>
        <v>1</v>
      </c>
      <c r="H2880" s="4">
        <f t="shared" si="133"/>
        <v>2.2542831379623873E-4</v>
      </c>
      <c r="I2880" s="1">
        <f t="shared" si="134"/>
        <v>0</v>
      </c>
    </row>
    <row r="2881" spans="1:9" hidden="1" x14ac:dyDescent="0.2">
      <c r="A2881" s="6">
        <v>43991.708333333336</v>
      </c>
      <c r="B2881" s="1" t="s">
        <v>17</v>
      </c>
      <c r="C2881">
        <v>6</v>
      </c>
      <c r="D2881">
        <v>1</v>
      </c>
      <c r="E2881">
        <v>464</v>
      </c>
      <c r="F2881">
        <v>4439</v>
      </c>
      <c r="G2881" s="3">
        <f t="shared" si="132"/>
        <v>3</v>
      </c>
      <c r="H2881" s="4">
        <f t="shared" si="133"/>
        <v>6.7582788916420444E-4</v>
      </c>
      <c r="I2881" s="1">
        <f t="shared" si="134"/>
        <v>0</v>
      </c>
    </row>
    <row r="2882" spans="1:9" hidden="1" x14ac:dyDescent="0.2">
      <c r="A2882" s="6">
        <v>43992.708333333336</v>
      </c>
      <c r="B2882" s="1" t="s">
        <v>17</v>
      </c>
      <c r="C2882">
        <v>6</v>
      </c>
      <c r="D2882">
        <v>1</v>
      </c>
      <c r="E2882">
        <v>464</v>
      </c>
      <c r="F2882">
        <v>4439</v>
      </c>
      <c r="G2882" s="3">
        <f t="shared" si="132"/>
        <v>0</v>
      </c>
      <c r="H2882" s="4">
        <f t="shared" si="133"/>
        <v>0</v>
      </c>
      <c r="I2882" s="1">
        <f t="shared" si="134"/>
        <v>0</v>
      </c>
    </row>
    <row r="2883" spans="1:9" hidden="1" x14ac:dyDescent="0.2">
      <c r="A2883" s="6">
        <v>43993.708333333336</v>
      </c>
      <c r="B2883" s="1" t="s">
        <v>17</v>
      </c>
      <c r="C2883">
        <v>5</v>
      </c>
      <c r="D2883">
        <v>1</v>
      </c>
      <c r="E2883">
        <v>464</v>
      </c>
      <c r="F2883">
        <v>4441</v>
      </c>
      <c r="G2883" s="3">
        <f t="shared" ref="G2883:G2946" si="135">IF(AND(F2883&gt;0,AND(B2883=B2882,F2883&gt;0)),F2883-F2882,0)</f>
        <v>2</v>
      </c>
      <c r="H2883" s="4">
        <f t="shared" ref="H2883:H2946" si="136">IF(AND(F2882&gt;0,AND(B2883=B2882,F2882&gt;0)),1-(F2882/F2883),0)</f>
        <v>4.5034902049090331E-4</v>
      </c>
      <c r="I2883" s="1">
        <f t="shared" ref="I2883:I2946" si="137">IF(AND(E2883&gt;0,AND(B2883=B2882,E2883&gt;0)),E2883-E2882,0)</f>
        <v>0</v>
      </c>
    </row>
    <row r="2884" spans="1:9" hidden="1" x14ac:dyDescent="0.2">
      <c r="A2884" s="6">
        <v>43994.708333333336</v>
      </c>
      <c r="B2884" s="1" t="s">
        <v>17</v>
      </c>
      <c r="C2884">
        <v>5</v>
      </c>
      <c r="D2884">
        <v>1</v>
      </c>
      <c r="E2884">
        <v>464</v>
      </c>
      <c r="F2884">
        <v>4443</v>
      </c>
      <c r="G2884" s="3">
        <f t="shared" si="135"/>
        <v>2</v>
      </c>
      <c r="H2884" s="4">
        <f t="shared" si="136"/>
        <v>4.5014629754669411E-4</v>
      </c>
      <c r="I2884" s="1">
        <f t="shared" si="137"/>
        <v>0</v>
      </c>
    </row>
    <row r="2885" spans="1:9" hidden="1" x14ac:dyDescent="0.2">
      <c r="A2885" s="6">
        <v>43995.708333333336</v>
      </c>
      <c r="B2885" s="1" t="s">
        <v>17</v>
      </c>
      <c r="C2885">
        <v>5</v>
      </c>
      <c r="D2885">
        <v>1</v>
      </c>
      <c r="E2885">
        <v>464</v>
      </c>
      <c r="F2885">
        <v>4446</v>
      </c>
      <c r="G2885" s="3">
        <f t="shared" si="135"/>
        <v>3</v>
      </c>
      <c r="H2885" s="4">
        <f t="shared" si="136"/>
        <v>6.7476383265852036E-4</v>
      </c>
      <c r="I2885" s="1">
        <f t="shared" si="137"/>
        <v>0</v>
      </c>
    </row>
    <row r="2886" spans="1:9" hidden="1" x14ac:dyDescent="0.2">
      <c r="A2886" s="6">
        <v>43996.708333333336</v>
      </c>
      <c r="B2886" s="1" t="s">
        <v>17</v>
      </c>
      <c r="C2886">
        <v>5</v>
      </c>
      <c r="D2886">
        <v>1</v>
      </c>
      <c r="E2886">
        <v>464</v>
      </c>
      <c r="F2886">
        <v>4447</v>
      </c>
      <c r="G2886" s="3">
        <f t="shared" si="135"/>
        <v>1</v>
      </c>
      <c r="H2886" s="4">
        <f t="shared" si="136"/>
        <v>2.2487069934784554E-4</v>
      </c>
      <c r="I2886" s="1">
        <f t="shared" si="137"/>
        <v>0</v>
      </c>
    </row>
    <row r="2887" spans="1:9" hidden="1" x14ac:dyDescent="0.2">
      <c r="A2887" s="6">
        <v>43997.708333333336</v>
      </c>
      <c r="B2887" s="1" t="s">
        <v>17</v>
      </c>
      <c r="C2887">
        <v>5</v>
      </c>
      <c r="D2887">
        <v>0</v>
      </c>
      <c r="E2887">
        <v>465</v>
      </c>
      <c r="F2887">
        <v>4448</v>
      </c>
      <c r="G2887" s="3">
        <f t="shared" si="135"/>
        <v>1</v>
      </c>
      <c r="H2887" s="4">
        <f t="shared" si="136"/>
        <v>2.2482014388491844E-4</v>
      </c>
      <c r="I2887" s="1">
        <f t="shared" si="137"/>
        <v>1</v>
      </c>
    </row>
    <row r="2888" spans="1:9" hidden="1" x14ac:dyDescent="0.2">
      <c r="A2888" s="6">
        <v>43998.708333333336</v>
      </c>
      <c r="B2888" s="1" t="s">
        <v>17</v>
      </c>
      <c r="C2888">
        <v>2</v>
      </c>
      <c r="D2888">
        <v>0</v>
      </c>
      <c r="E2888">
        <v>465</v>
      </c>
      <c r="F2888">
        <v>4448</v>
      </c>
      <c r="G2888" s="3">
        <f t="shared" si="135"/>
        <v>0</v>
      </c>
      <c r="H2888" s="4">
        <f t="shared" si="136"/>
        <v>0</v>
      </c>
      <c r="I2888" s="1">
        <f t="shared" si="137"/>
        <v>0</v>
      </c>
    </row>
    <row r="2889" spans="1:9" hidden="1" x14ac:dyDescent="0.2">
      <c r="A2889" s="6">
        <v>43999.708333333336</v>
      </c>
      <c r="B2889" s="1" t="s">
        <v>17</v>
      </c>
      <c r="C2889">
        <v>2</v>
      </c>
      <c r="D2889">
        <v>0</v>
      </c>
      <c r="E2889">
        <v>465</v>
      </c>
      <c r="F2889">
        <v>4449</v>
      </c>
      <c r="G2889" s="3">
        <f t="shared" si="135"/>
        <v>1</v>
      </c>
      <c r="H2889" s="4">
        <f t="shared" si="136"/>
        <v>2.2476961114858973E-4</v>
      </c>
      <c r="I2889" s="1">
        <f t="shared" si="137"/>
        <v>0</v>
      </c>
    </row>
    <row r="2890" spans="1:9" hidden="1" x14ac:dyDescent="0.2">
      <c r="A2890" s="6">
        <v>44000.708333333336</v>
      </c>
      <c r="B2890" s="1" t="s">
        <v>17</v>
      </c>
      <c r="C2890">
        <v>2</v>
      </c>
      <c r="D2890">
        <v>0</v>
      </c>
      <c r="E2890">
        <v>465</v>
      </c>
      <c r="F2890">
        <v>4457</v>
      </c>
      <c r="G2890" s="3">
        <f t="shared" si="135"/>
        <v>8</v>
      </c>
      <c r="H2890" s="4">
        <f t="shared" si="136"/>
        <v>1.7949293246578568E-3</v>
      </c>
      <c r="I2890" s="1">
        <f t="shared" si="137"/>
        <v>0</v>
      </c>
    </row>
    <row r="2891" spans="1:9" hidden="1" x14ac:dyDescent="0.2">
      <c r="A2891" s="6">
        <v>44001.708333333336</v>
      </c>
      <c r="B2891" s="1" t="s">
        <v>17</v>
      </c>
      <c r="C2891">
        <v>2</v>
      </c>
      <c r="D2891">
        <v>0</v>
      </c>
      <c r="E2891">
        <v>466</v>
      </c>
      <c r="F2891">
        <v>4458</v>
      </c>
      <c r="G2891" s="3">
        <f t="shared" si="135"/>
        <v>1</v>
      </c>
      <c r="H2891" s="4">
        <f t="shared" si="136"/>
        <v>2.2431583669801913E-4</v>
      </c>
      <c r="I2891" s="1">
        <f t="shared" si="137"/>
        <v>1</v>
      </c>
    </row>
    <row r="2892" spans="1:9" hidden="1" x14ac:dyDescent="0.2">
      <c r="A2892" s="6">
        <v>44002.708333333336</v>
      </c>
      <c r="B2892" s="1" t="s">
        <v>17</v>
      </c>
      <c r="C2892">
        <v>1</v>
      </c>
      <c r="D2892">
        <v>0</v>
      </c>
      <c r="E2892">
        <v>466</v>
      </c>
      <c r="F2892">
        <v>4458</v>
      </c>
      <c r="G2892" s="3">
        <f t="shared" si="135"/>
        <v>0</v>
      </c>
      <c r="H2892" s="4">
        <f t="shared" si="136"/>
        <v>0</v>
      </c>
      <c r="I2892" s="1">
        <f t="shared" si="137"/>
        <v>0</v>
      </c>
    </row>
    <row r="2893" spans="1:9" hidden="1" x14ac:dyDescent="0.2">
      <c r="A2893" s="6">
        <v>44003.708333333336</v>
      </c>
      <c r="B2893" s="1" t="s">
        <v>17</v>
      </c>
      <c r="C2893">
        <v>0</v>
      </c>
      <c r="D2893">
        <v>0</v>
      </c>
      <c r="E2893">
        <v>466</v>
      </c>
      <c r="F2893">
        <v>4463</v>
      </c>
      <c r="G2893" s="3">
        <f t="shared" si="135"/>
        <v>5</v>
      </c>
      <c r="H2893" s="4">
        <f t="shared" si="136"/>
        <v>1.1203226529240551E-3</v>
      </c>
      <c r="I2893" s="1">
        <f t="shared" si="137"/>
        <v>0</v>
      </c>
    </row>
    <row r="2894" spans="1:9" hidden="1" x14ac:dyDescent="0.2">
      <c r="A2894" s="6">
        <v>44004.708333333336</v>
      </c>
      <c r="B2894" s="1" t="s">
        <v>17</v>
      </c>
      <c r="C2894">
        <v>0</v>
      </c>
      <c r="D2894">
        <v>0</v>
      </c>
      <c r="E2894">
        <v>466</v>
      </c>
      <c r="F2894">
        <v>4464</v>
      </c>
      <c r="G2894" s="3">
        <f t="shared" si="135"/>
        <v>1</v>
      </c>
      <c r="H2894" s="4">
        <f t="shared" si="136"/>
        <v>2.2401433691754402E-4</v>
      </c>
      <c r="I2894" s="1">
        <f t="shared" si="137"/>
        <v>0</v>
      </c>
    </row>
    <row r="2895" spans="1:9" hidden="1" x14ac:dyDescent="0.2">
      <c r="A2895" s="6">
        <v>44005.708333333336</v>
      </c>
      <c r="B2895" s="1" t="s">
        <v>17</v>
      </c>
      <c r="C2895">
        <v>0</v>
      </c>
      <c r="D2895">
        <v>0</v>
      </c>
      <c r="E2895">
        <v>466</v>
      </c>
      <c r="F2895">
        <v>4465</v>
      </c>
      <c r="G2895" s="3">
        <f t="shared" si="135"/>
        <v>1</v>
      </c>
      <c r="H2895" s="4">
        <f t="shared" si="136"/>
        <v>2.2396416573344791E-4</v>
      </c>
      <c r="I2895" s="1">
        <f t="shared" si="137"/>
        <v>0</v>
      </c>
    </row>
    <row r="2896" spans="1:9" hidden="1" x14ac:dyDescent="0.2">
      <c r="A2896" s="6">
        <v>44006.708333333336</v>
      </c>
      <c r="B2896" s="1" t="s">
        <v>17</v>
      </c>
      <c r="C2896">
        <v>0</v>
      </c>
      <c r="D2896">
        <v>0</v>
      </c>
      <c r="E2896">
        <v>405</v>
      </c>
      <c r="F2896">
        <v>4852</v>
      </c>
      <c r="G2896" s="3">
        <f t="shared" si="135"/>
        <v>387</v>
      </c>
      <c r="H2896" s="4">
        <f t="shared" si="136"/>
        <v>7.9760923330585376E-2</v>
      </c>
      <c r="I2896" s="1">
        <f t="shared" si="137"/>
        <v>-61</v>
      </c>
    </row>
    <row r="2897" spans="1:9" hidden="1" x14ac:dyDescent="0.2">
      <c r="A2897" s="6">
        <v>44007.708333333336</v>
      </c>
      <c r="B2897" s="1" t="s">
        <v>17</v>
      </c>
      <c r="C2897">
        <v>1</v>
      </c>
      <c r="D2897">
        <v>0</v>
      </c>
      <c r="E2897">
        <v>405</v>
      </c>
      <c r="F2897">
        <v>4855</v>
      </c>
      <c r="G2897" s="3">
        <f t="shared" si="135"/>
        <v>3</v>
      </c>
      <c r="H2897" s="4">
        <f t="shared" si="136"/>
        <v>6.179196704428902E-4</v>
      </c>
      <c r="I2897" s="1">
        <f t="shared" si="137"/>
        <v>0</v>
      </c>
    </row>
    <row r="2898" spans="1:9" hidden="1" x14ac:dyDescent="0.2">
      <c r="A2898" s="6">
        <v>44008.708333333336</v>
      </c>
      <c r="B2898" s="1" t="s">
        <v>17</v>
      </c>
      <c r="C2898">
        <v>1</v>
      </c>
      <c r="D2898">
        <v>0</v>
      </c>
      <c r="E2898">
        <v>405</v>
      </c>
      <c r="F2898">
        <v>4859</v>
      </c>
      <c r="G2898" s="3">
        <f t="shared" si="135"/>
        <v>4</v>
      </c>
      <c r="H2898" s="4">
        <f t="shared" si="136"/>
        <v>8.2321465322088283E-4</v>
      </c>
      <c r="I2898" s="1">
        <f t="shared" si="137"/>
        <v>0</v>
      </c>
    </row>
    <row r="2899" spans="1:9" hidden="1" x14ac:dyDescent="0.2">
      <c r="A2899" s="6">
        <v>44009.708333333336</v>
      </c>
      <c r="B2899" s="1" t="s">
        <v>17</v>
      </c>
      <c r="C2899">
        <v>2</v>
      </c>
      <c r="D2899">
        <v>0</v>
      </c>
      <c r="E2899">
        <v>405</v>
      </c>
      <c r="F2899">
        <v>4860</v>
      </c>
      <c r="G2899" s="3">
        <f t="shared" si="135"/>
        <v>1</v>
      </c>
      <c r="H2899" s="4">
        <f t="shared" si="136"/>
        <v>2.057613168724437E-4</v>
      </c>
      <c r="I2899" s="1">
        <f t="shared" si="137"/>
        <v>0</v>
      </c>
    </row>
    <row r="2900" spans="1:9" hidden="1" x14ac:dyDescent="0.2">
      <c r="A2900" s="6">
        <v>44010.708333333336</v>
      </c>
      <c r="B2900" s="1" t="s">
        <v>17</v>
      </c>
      <c r="C2900">
        <v>2</v>
      </c>
      <c r="D2900">
        <v>0</v>
      </c>
      <c r="E2900">
        <v>405</v>
      </c>
      <c r="F2900">
        <v>4863</v>
      </c>
      <c r="G2900" s="3">
        <f t="shared" si="135"/>
        <v>3</v>
      </c>
      <c r="H2900" s="4">
        <f t="shared" si="136"/>
        <v>6.1690314620599374E-4</v>
      </c>
      <c r="I2900" s="1">
        <f t="shared" si="137"/>
        <v>0</v>
      </c>
    </row>
    <row r="2901" spans="1:9" hidden="1" x14ac:dyDescent="0.2">
      <c r="A2901" s="6">
        <v>44011.708333333336</v>
      </c>
      <c r="B2901" s="1" t="s">
        <v>17</v>
      </c>
      <c r="C2901">
        <v>1</v>
      </c>
      <c r="D2901">
        <v>0</v>
      </c>
      <c r="E2901">
        <v>405</v>
      </c>
      <c r="F2901">
        <v>4863</v>
      </c>
      <c r="G2901" s="3">
        <f t="shared" si="135"/>
        <v>0</v>
      </c>
      <c r="H2901" s="4">
        <f t="shared" si="136"/>
        <v>0</v>
      </c>
      <c r="I2901" s="1">
        <f t="shared" si="137"/>
        <v>0</v>
      </c>
    </row>
    <row r="2902" spans="1:9" hidden="1" x14ac:dyDescent="0.2">
      <c r="A2902" s="6">
        <v>44012.708333333336</v>
      </c>
      <c r="B2902" s="1" t="s">
        <v>17</v>
      </c>
      <c r="C2902">
        <v>1</v>
      </c>
      <c r="D2902">
        <v>0</v>
      </c>
      <c r="E2902">
        <v>405</v>
      </c>
      <c r="F2902">
        <v>4863</v>
      </c>
      <c r="G2902" s="3">
        <f t="shared" si="135"/>
        <v>0</v>
      </c>
      <c r="H2902" s="4">
        <f t="shared" si="136"/>
        <v>0</v>
      </c>
      <c r="I2902" s="1">
        <f t="shared" si="137"/>
        <v>0</v>
      </c>
    </row>
    <row r="2903" spans="1:9" hidden="1" x14ac:dyDescent="0.2">
      <c r="A2903" s="6">
        <v>44013.708333333336</v>
      </c>
      <c r="B2903" s="1" t="s">
        <v>17</v>
      </c>
      <c r="C2903">
        <v>1</v>
      </c>
      <c r="D2903">
        <v>0</v>
      </c>
      <c r="E2903">
        <v>405</v>
      </c>
      <c r="F2903">
        <v>4864</v>
      </c>
      <c r="G2903" s="3">
        <f t="shared" si="135"/>
        <v>1</v>
      </c>
      <c r="H2903" s="4">
        <f t="shared" si="136"/>
        <v>2.0559210526316374E-4</v>
      </c>
      <c r="I2903" s="1">
        <f t="shared" si="137"/>
        <v>0</v>
      </c>
    </row>
    <row r="2904" spans="1:9" hidden="1" x14ac:dyDescent="0.2">
      <c r="A2904" s="6">
        <v>44014.708333333336</v>
      </c>
      <c r="B2904" s="1" t="s">
        <v>17</v>
      </c>
      <c r="C2904">
        <v>1</v>
      </c>
      <c r="D2904">
        <v>0</v>
      </c>
      <c r="E2904">
        <v>405</v>
      </c>
      <c r="F2904">
        <v>4865</v>
      </c>
      <c r="G2904" s="3">
        <f t="shared" si="135"/>
        <v>1</v>
      </c>
      <c r="H2904" s="4">
        <f t="shared" si="136"/>
        <v>2.0554984583764924E-4</v>
      </c>
      <c r="I2904" s="1">
        <f t="shared" si="137"/>
        <v>0</v>
      </c>
    </row>
    <row r="2905" spans="1:9" hidden="1" x14ac:dyDescent="0.2">
      <c r="A2905" s="6">
        <v>44015.708333333336</v>
      </c>
      <c r="B2905" s="1" t="s">
        <v>17</v>
      </c>
      <c r="C2905">
        <v>2</v>
      </c>
      <c r="D2905">
        <v>0</v>
      </c>
      <c r="E2905">
        <v>405</v>
      </c>
      <c r="F2905">
        <v>4871</v>
      </c>
      <c r="G2905" s="3">
        <f t="shared" si="135"/>
        <v>6</v>
      </c>
      <c r="H2905" s="4">
        <f t="shared" si="136"/>
        <v>1.2317799219873082E-3</v>
      </c>
      <c r="I2905" s="1">
        <f t="shared" si="137"/>
        <v>0</v>
      </c>
    </row>
    <row r="2906" spans="1:9" hidden="1" x14ac:dyDescent="0.2">
      <c r="A2906" s="6">
        <v>44016.708333333336</v>
      </c>
      <c r="B2906" s="1" t="s">
        <v>17</v>
      </c>
      <c r="C2906">
        <v>2</v>
      </c>
      <c r="D2906">
        <v>0</v>
      </c>
      <c r="E2906">
        <v>405</v>
      </c>
      <c r="F2906">
        <v>4873</v>
      </c>
      <c r="G2906" s="3">
        <f t="shared" si="135"/>
        <v>2</v>
      </c>
      <c r="H2906" s="4">
        <f t="shared" si="136"/>
        <v>4.1042478965724882E-4</v>
      </c>
      <c r="I2906" s="1">
        <f t="shared" si="137"/>
        <v>0</v>
      </c>
    </row>
    <row r="2907" spans="1:9" hidden="1" x14ac:dyDescent="0.2">
      <c r="A2907" s="6">
        <v>44017.708333333336</v>
      </c>
      <c r="B2907" s="1" t="s">
        <v>17</v>
      </c>
      <c r="C2907">
        <v>2</v>
      </c>
      <c r="D2907">
        <v>0</v>
      </c>
      <c r="E2907">
        <v>405</v>
      </c>
      <c r="F2907">
        <v>4873</v>
      </c>
      <c r="G2907" s="3">
        <f t="shared" si="135"/>
        <v>0</v>
      </c>
      <c r="H2907" s="4">
        <f t="shared" si="136"/>
        <v>0</v>
      </c>
      <c r="I2907" s="1">
        <f t="shared" si="137"/>
        <v>0</v>
      </c>
    </row>
    <row r="2908" spans="1:9" hidden="1" x14ac:dyDescent="0.2">
      <c r="A2908" s="6">
        <v>44018.708333333336</v>
      </c>
      <c r="B2908" s="1" t="s">
        <v>17</v>
      </c>
      <c r="C2908">
        <v>3</v>
      </c>
      <c r="D2908">
        <v>0</v>
      </c>
      <c r="E2908">
        <v>405</v>
      </c>
      <c r="F2908">
        <v>4873</v>
      </c>
      <c r="G2908" s="3">
        <f t="shared" si="135"/>
        <v>0</v>
      </c>
      <c r="H2908" s="4">
        <f t="shared" si="136"/>
        <v>0</v>
      </c>
      <c r="I2908" s="1">
        <f t="shared" si="137"/>
        <v>0</v>
      </c>
    </row>
    <row r="2909" spans="1:9" hidden="1" x14ac:dyDescent="0.2">
      <c r="A2909" s="6">
        <v>44019.708333333336</v>
      </c>
      <c r="B2909" s="1" t="s">
        <v>17</v>
      </c>
      <c r="C2909">
        <v>3</v>
      </c>
      <c r="D2909">
        <v>0</v>
      </c>
      <c r="E2909">
        <v>405</v>
      </c>
      <c r="F2909">
        <v>4876</v>
      </c>
      <c r="G2909" s="3">
        <f t="shared" si="135"/>
        <v>3</v>
      </c>
      <c r="H2909" s="4">
        <f t="shared" si="136"/>
        <v>6.1525840853160485E-4</v>
      </c>
      <c r="I2909" s="1">
        <f t="shared" si="137"/>
        <v>0</v>
      </c>
    </row>
    <row r="2910" spans="1:9" hidden="1" x14ac:dyDescent="0.2">
      <c r="A2910" s="6">
        <v>44020.708333333336</v>
      </c>
      <c r="B2910" s="1" t="s">
        <v>17</v>
      </c>
      <c r="C2910">
        <v>3</v>
      </c>
      <c r="D2910">
        <v>0</v>
      </c>
      <c r="E2910">
        <v>405</v>
      </c>
      <c r="F2910">
        <v>4876</v>
      </c>
      <c r="G2910" s="3">
        <f t="shared" si="135"/>
        <v>0</v>
      </c>
      <c r="H2910" s="4">
        <f t="shared" si="136"/>
        <v>0</v>
      </c>
      <c r="I2910" s="1">
        <f t="shared" si="137"/>
        <v>0</v>
      </c>
    </row>
    <row r="2911" spans="1:9" hidden="1" x14ac:dyDescent="0.2">
      <c r="A2911" s="6">
        <v>44021.708333333336</v>
      </c>
      <c r="B2911" s="1" t="s">
        <v>17</v>
      </c>
      <c r="C2911">
        <v>1</v>
      </c>
      <c r="D2911">
        <v>0</v>
      </c>
      <c r="E2911">
        <v>405</v>
      </c>
      <c r="F2911">
        <v>4876</v>
      </c>
      <c r="G2911" s="3">
        <f t="shared" si="135"/>
        <v>0</v>
      </c>
      <c r="H2911" s="4">
        <f t="shared" si="136"/>
        <v>0</v>
      </c>
      <c r="I2911" s="1">
        <f t="shared" si="137"/>
        <v>0</v>
      </c>
    </row>
    <row r="2912" spans="1:9" hidden="1" x14ac:dyDescent="0.2">
      <c r="A2912" s="6">
        <v>44022.708333333336</v>
      </c>
      <c r="B2912" s="1" t="s">
        <v>17</v>
      </c>
      <c r="C2912">
        <v>1</v>
      </c>
      <c r="D2912">
        <v>0</v>
      </c>
      <c r="E2912">
        <v>405</v>
      </c>
      <c r="F2912">
        <v>4879</v>
      </c>
      <c r="G2912" s="3">
        <f t="shared" si="135"/>
        <v>3</v>
      </c>
      <c r="H2912" s="4">
        <f t="shared" si="136"/>
        <v>6.1488009838084334E-4</v>
      </c>
      <c r="I2912" s="1">
        <f t="shared" si="137"/>
        <v>0</v>
      </c>
    </row>
    <row r="2913" spans="1:9" hidden="1" x14ac:dyDescent="0.2">
      <c r="A2913" s="6">
        <v>44023.708333333336</v>
      </c>
      <c r="B2913" s="1" t="s">
        <v>17</v>
      </c>
      <c r="C2913">
        <v>2</v>
      </c>
      <c r="D2913">
        <v>0</v>
      </c>
      <c r="E2913">
        <v>405</v>
      </c>
      <c r="F2913">
        <v>4881</v>
      </c>
      <c r="G2913" s="3">
        <f t="shared" si="135"/>
        <v>2</v>
      </c>
      <c r="H2913" s="4">
        <f t="shared" si="136"/>
        <v>4.0975209997951012E-4</v>
      </c>
      <c r="I2913" s="1">
        <f t="shared" si="137"/>
        <v>0</v>
      </c>
    </row>
    <row r="2914" spans="1:9" hidden="1" x14ac:dyDescent="0.2">
      <c r="A2914" s="6">
        <v>44024.708333333336</v>
      </c>
      <c r="B2914" s="1" t="s">
        <v>17</v>
      </c>
      <c r="C2914">
        <v>2</v>
      </c>
      <c r="D2914">
        <v>0</v>
      </c>
      <c r="E2914">
        <v>405</v>
      </c>
      <c r="F2914">
        <v>4881</v>
      </c>
      <c r="G2914" s="3">
        <f t="shared" si="135"/>
        <v>0</v>
      </c>
      <c r="H2914" s="4">
        <f t="shared" si="136"/>
        <v>0</v>
      </c>
      <c r="I2914" s="1">
        <f t="shared" si="137"/>
        <v>0</v>
      </c>
    </row>
    <row r="2915" spans="1:9" hidden="1" x14ac:dyDescent="0.2">
      <c r="A2915" s="6">
        <v>44025.708333333336</v>
      </c>
      <c r="B2915" s="1" t="s">
        <v>17</v>
      </c>
      <c r="C2915">
        <v>2</v>
      </c>
      <c r="D2915">
        <v>0</v>
      </c>
      <c r="E2915">
        <v>405</v>
      </c>
      <c r="F2915">
        <v>4881</v>
      </c>
      <c r="G2915" s="3">
        <f t="shared" si="135"/>
        <v>0</v>
      </c>
      <c r="H2915" s="4">
        <f t="shared" si="136"/>
        <v>0</v>
      </c>
      <c r="I2915" s="1">
        <f t="shared" si="137"/>
        <v>0</v>
      </c>
    </row>
    <row r="2916" spans="1:9" hidden="1" x14ac:dyDescent="0.2">
      <c r="A2916" s="6">
        <v>44026.708333333336</v>
      </c>
      <c r="B2916" s="1" t="s">
        <v>17</v>
      </c>
      <c r="C2916">
        <v>2</v>
      </c>
      <c r="D2916">
        <v>0</v>
      </c>
      <c r="E2916">
        <v>405</v>
      </c>
      <c r="F2916">
        <v>4881</v>
      </c>
      <c r="G2916" s="3">
        <f t="shared" si="135"/>
        <v>0</v>
      </c>
      <c r="H2916" s="4">
        <f t="shared" si="136"/>
        <v>0</v>
      </c>
      <c r="I2916" s="1">
        <f t="shared" si="137"/>
        <v>0</v>
      </c>
    </row>
    <row r="2917" spans="1:9" hidden="1" x14ac:dyDescent="0.2">
      <c r="A2917" s="6">
        <v>44027.708333333336</v>
      </c>
      <c r="B2917" s="1" t="s">
        <v>17</v>
      </c>
      <c r="C2917">
        <v>1</v>
      </c>
      <c r="D2917">
        <v>0</v>
      </c>
      <c r="E2917">
        <v>405</v>
      </c>
      <c r="F2917">
        <v>4881</v>
      </c>
      <c r="G2917" s="3">
        <f t="shared" si="135"/>
        <v>0</v>
      </c>
      <c r="H2917" s="4">
        <f t="shared" si="136"/>
        <v>0</v>
      </c>
      <c r="I2917" s="1">
        <f t="shared" si="137"/>
        <v>0</v>
      </c>
    </row>
    <row r="2918" spans="1:9" hidden="1" x14ac:dyDescent="0.2">
      <c r="A2918" s="6">
        <v>44028.708333333336</v>
      </c>
      <c r="B2918" s="1" t="s">
        <v>17</v>
      </c>
      <c r="C2918">
        <v>1</v>
      </c>
      <c r="D2918">
        <v>0</v>
      </c>
      <c r="E2918">
        <v>405</v>
      </c>
      <c r="F2918">
        <v>4881</v>
      </c>
      <c r="G2918" s="3">
        <f t="shared" si="135"/>
        <v>0</v>
      </c>
      <c r="H2918" s="4">
        <f t="shared" si="136"/>
        <v>0</v>
      </c>
      <c r="I2918" s="1">
        <f t="shared" si="137"/>
        <v>0</v>
      </c>
    </row>
    <row r="2919" spans="1:9" hidden="1" x14ac:dyDescent="0.2">
      <c r="A2919" s="6">
        <v>44029.708333333336</v>
      </c>
      <c r="B2919" s="1" t="s">
        <v>17</v>
      </c>
      <c r="C2919">
        <v>0</v>
      </c>
      <c r="D2919">
        <v>0</v>
      </c>
      <c r="E2919">
        <v>405</v>
      </c>
      <c r="F2919">
        <v>4881</v>
      </c>
      <c r="G2919" s="3">
        <f t="shared" si="135"/>
        <v>0</v>
      </c>
      <c r="H2919" s="4">
        <f t="shared" si="136"/>
        <v>0</v>
      </c>
      <c r="I2919" s="1">
        <f t="shared" si="137"/>
        <v>0</v>
      </c>
    </row>
    <row r="2920" spans="1:9" hidden="1" x14ac:dyDescent="0.2">
      <c r="A2920" s="6">
        <v>44030.708333333336</v>
      </c>
      <c r="B2920" s="1" t="s">
        <v>17</v>
      </c>
      <c r="C2920">
        <v>0</v>
      </c>
      <c r="D2920">
        <v>0</v>
      </c>
      <c r="E2920">
        <v>405</v>
      </c>
      <c r="F2920">
        <v>4884</v>
      </c>
      <c r="G2920" s="3">
        <f t="shared" si="135"/>
        <v>3</v>
      </c>
      <c r="H2920" s="4">
        <f t="shared" si="136"/>
        <v>6.142506142505777E-4</v>
      </c>
      <c r="I2920" s="1">
        <f t="shared" si="137"/>
        <v>0</v>
      </c>
    </row>
    <row r="2921" spans="1:9" hidden="1" x14ac:dyDescent="0.2">
      <c r="A2921" s="6">
        <v>44031.708333333336</v>
      </c>
      <c r="B2921" s="1" t="s">
        <v>17</v>
      </c>
      <c r="C2921">
        <v>0</v>
      </c>
      <c r="D2921">
        <v>0</v>
      </c>
      <c r="E2921">
        <v>405</v>
      </c>
      <c r="F2921">
        <v>4885</v>
      </c>
      <c r="G2921" s="3">
        <f t="shared" si="135"/>
        <v>1</v>
      </c>
      <c r="H2921" s="4">
        <f t="shared" si="136"/>
        <v>2.0470829068575114E-4</v>
      </c>
      <c r="I2921" s="1">
        <f t="shared" si="137"/>
        <v>0</v>
      </c>
    </row>
    <row r="2922" spans="1:9" hidden="1" x14ac:dyDescent="0.2">
      <c r="A2922" s="6">
        <v>44032.708333333336</v>
      </c>
      <c r="B2922" s="1" t="s">
        <v>17</v>
      </c>
      <c r="C2922">
        <v>1</v>
      </c>
      <c r="D2922">
        <v>0</v>
      </c>
      <c r="E2922">
        <v>405</v>
      </c>
      <c r="F2922">
        <v>4889</v>
      </c>
      <c r="G2922" s="3">
        <f t="shared" si="135"/>
        <v>4</v>
      </c>
      <c r="H2922" s="4">
        <f t="shared" si="136"/>
        <v>8.1816322356309534E-4</v>
      </c>
      <c r="I2922" s="1">
        <f t="shared" si="137"/>
        <v>0</v>
      </c>
    </row>
    <row r="2923" spans="1:9" hidden="1" x14ac:dyDescent="0.2">
      <c r="A2923" s="6">
        <v>44033.708333333336</v>
      </c>
      <c r="B2923" s="1" t="s">
        <v>17</v>
      </c>
      <c r="C2923">
        <v>1</v>
      </c>
      <c r="D2923">
        <v>0</v>
      </c>
      <c r="E2923">
        <v>405</v>
      </c>
      <c r="F2923">
        <v>4891</v>
      </c>
      <c r="G2923" s="3">
        <f t="shared" si="135"/>
        <v>2</v>
      </c>
      <c r="H2923" s="4">
        <f t="shared" si="136"/>
        <v>4.089143324473854E-4</v>
      </c>
      <c r="I2923" s="1">
        <f t="shared" si="137"/>
        <v>0</v>
      </c>
    </row>
    <row r="2924" spans="1:9" hidden="1" x14ac:dyDescent="0.2">
      <c r="A2924" s="6">
        <v>44034.708333333336</v>
      </c>
      <c r="B2924" s="1" t="s">
        <v>17</v>
      </c>
      <c r="C2924">
        <v>2</v>
      </c>
      <c r="D2924">
        <v>0</v>
      </c>
      <c r="E2924">
        <v>405</v>
      </c>
      <c r="F2924">
        <v>4911</v>
      </c>
      <c r="G2924" s="3">
        <f t="shared" si="135"/>
        <v>20</v>
      </c>
      <c r="H2924" s="4">
        <f t="shared" si="136"/>
        <v>4.0724903278355207E-3</v>
      </c>
      <c r="I2924" s="1">
        <f t="shared" si="137"/>
        <v>0</v>
      </c>
    </row>
    <row r="2925" spans="1:9" hidden="1" x14ac:dyDescent="0.2">
      <c r="A2925" s="6">
        <v>44035.708333333336</v>
      </c>
      <c r="B2925" s="1" t="s">
        <v>17</v>
      </c>
      <c r="C2925">
        <v>2</v>
      </c>
      <c r="D2925">
        <v>0</v>
      </c>
      <c r="E2925">
        <v>405</v>
      </c>
      <c r="F2925">
        <v>4941</v>
      </c>
      <c r="G2925" s="3">
        <f t="shared" si="135"/>
        <v>30</v>
      </c>
      <c r="H2925" s="4">
        <f t="shared" si="136"/>
        <v>6.0716454159076561E-3</v>
      </c>
      <c r="I2925" s="1">
        <f t="shared" si="137"/>
        <v>0</v>
      </c>
    </row>
    <row r="2926" spans="1:9" hidden="1" x14ac:dyDescent="0.2">
      <c r="A2926" s="6">
        <v>44036.708333333336</v>
      </c>
      <c r="B2926" s="1" t="s">
        <v>17</v>
      </c>
      <c r="C2926">
        <v>2</v>
      </c>
      <c r="D2926">
        <v>0</v>
      </c>
      <c r="E2926">
        <v>405</v>
      </c>
      <c r="F2926">
        <v>4957</v>
      </c>
      <c r="G2926" s="3">
        <f t="shared" si="135"/>
        <v>16</v>
      </c>
      <c r="H2926" s="4">
        <f t="shared" si="136"/>
        <v>3.2277587250353346E-3</v>
      </c>
      <c r="I2926" s="1">
        <f t="shared" si="137"/>
        <v>0</v>
      </c>
    </row>
    <row r="2927" spans="1:9" hidden="1" x14ac:dyDescent="0.2">
      <c r="A2927" s="6">
        <v>44037.708333333336</v>
      </c>
      <c r="B2927" s="1" t="s">
        <v>17</v>
      </c>
      <c r="C2927">
        <v>2</v>
      </c>
      <c r="D2927">
        <v>0</v>
      </c>
      <c r="E2927">
        <v>405</v>
      </c>
      <c r="F2927">
        <v>4959</v>
      </c>
      <c r="G2927" s="3">
        <f t="shared" si="135"/>
        <v>2</v>
      </c>
      <c r="H2927" s="4">
        <f t="shared" si="136"/>
        <v>4.0330711837066602E-4</v>
      </c>
      <c r="I2927" s="1">
        <f t="shared" si="137"/>
        <v>0</v>
      </c>
    </row>
    <row r="2928" spans="1:9" hidden="1" x14ac:dyDescent="0.2">
      <c r="A2928" s="6">
        <v>44038.708333333336</v>
      </c>
      <c r="B2928" s="1" t="s">
        <v>17</v>
      </c>
      <c r="C2928">
        <v>1</v>
      </c>
      <c r="D2928">
        <v>0</v>
      </c>
      <c r="E2928">
        <v>405</v>
      </c>
      <c r="F2928">
        <v>4965</v>
      </c>
      <c r="G2928" s="3">
        <f t="shared" si="135"/>
        <v>6</v>
      </c>
      <c r="H2928" s="4">
        <f t="shared" si="136"/>
        <v>1.2084592145015227E-3</v>
      </c>
      <c r="I2928" s="1">
        <f t="shared" si="137"/>
        <v>0</v>
      </c>
    </row>
    <row r="2929" spans="1:9" hidden="1" x14ac:dyDescent="0.2">
      <c r="A2929" s="6">
        <v>44039.708333333336</v>
      </c>
      <c r="B2929" s="1" t="s">
        <v>17</v>
      </c>
      <c r="C2929">
        <v>1</v>
      </c>
      <c r="D2929">
        <v>0</v>
      </c>
      <c r="E2929">
        <v>405</v>
      </c>
      <c r="F2929">
        <v>4966</v>
      </c>
      <c r="G2929" s="3">
        <f t="shared" si="135"/>
        <v>1</v>
      </c>
      <c r="H2929" s="4">
        <f t="shared" si="136"/>
        <v>2.0136931131697899E-4</v>
      </c>
      <c r="I2929" s="1">
        <f t="shared" si="137"/>
        <v>0</v>
      </c>
    </row>
    <row r="2930" spans="1:9" hidden="1" x14ac:dyDescent="0.2">
      <c r="A2930" s="6">
        <v>44040.708333333336</v>
      </c>
      <c r="B2930" s="1" t="s">
        <v>17</v>
      </c>
      <c r="C2930">
        <v>1</v>
      </c>
      <c r="D2930">
        <v>0</v>
      </c>
      <c r="E2930">
        <v>405</v>
      </c>
      <c r="F2930">
        <v>4966</v>
      </c>
      <c r="G2930" s="3">
        <f t="shared" si="135"/>
        <v>0</v>
      </c>
      <c r="H2930" s="4">
        <f t="shared" si="136"/>
        <v>0</v>
      </c>
      <c r="I2930" s="1">
        <f t="shared" si="137"/>
        <v>0</v>
      </c>
    </row>
    <row r="2931" spans="1:9" hidden="1" x14ac:dyDescent="0.2">
      <c r="A2931" s="6">
        <v>44041.708333333336</v>
      </c>
      <c r="B2931" s="1" t="s">
        <v>17</v>
      </c>
      <c r="C2931">
        <v>0</v>
      </c>
      <c r="D2931">
        <v>0</v>
      </c>
      <c r="E2931">
        <v>405</v>
      </c>
      <c r="F2931">
        <v>4970</v>
      </c>
      <c r="G2931" s="3">
        <f t="shared" si="135"/>
        <v>4</v>
      </c>
      <c r="H2931" s="4">
        <f t="shared" si="136"/>
        <v>8.0482897384304142E-4</v>
      </c>
      <c r="I2931" s="1">
        <f t="shared" si="137"/>
        <v>0</v>
      </c>
    </row>
    <row r="2932" spans="1:9" hidden="1" x14ac:dyDescent="0.2">
      <c r="A2932" s="6">
        <v>44042.708333333336</v>
      </c>
      <c r="B2932" s="1" t="s">
        <v>17</v>
      </c>
      <c r="C2932">
        <v>0</v>
      </c>
      <c r="D2932">
        <v>0</v>
      </c>
      <c r="E2932">
        <v>405</v>
      </c>
      <c r="F2932">
        <v>4973</v>
      </c>
      <c r="G2932" s="3">
        <f t="shared" si="135"/>
        <v>3</v>
      </c>
      <c r="H2932" s="4">
        <f t="shared" si="136"/>
        <v>6.0325759099133514E-4</v>
      </c>
      <c r="I2932" s="1">
        <f t="shared" si="137"/>
        <v>0</v>
      </c>
    </row>
    <row r="2933" spans="1:9" hidden="1" x14ac:dyDescent="0.2">
      <c r="A2933" s="6">
        <v>44043.708333333336</v>
      </c>
      <c r="B2933" s="1" t="s">
        <v>17</v>
      </c>
      <c r="C2933">
        <v>0</v>
      </c>
      <c r="D2933">
        <v>0</v>
      </c>
      <c r="E2933">
        <v>405</v>
      </c>
      <c r="F2933">
        <v>4975</v>
      </c>
      <c r="G2933" s="3">
        <f t="shared" si="135"/>
        <v>2</v>
      </c>
      <c r="H2933" s="4">
        <f t="shared" si="136"/>
        <v>4.0201005025131131E-4</v>
      </c>
      <c r="I2933" s="1">
        <f t="shared" si="137"/>
        <v>0</v>
      </c>
    </row>
    <row r="2934" spans="1:9" hidden="1" x14ac:dyDescent="0.2">
      <c r="A2934" s="6">
        <v>44044.708333333336</v>
      </c>
      <c r="B2934" s="1" t="s">
        <v>17</v>
      </c>
      <c r="C2934">
        <v>1</v>
      </c>
      <c r="D2934">
        <v>0</v>
      </c>
      <c r="E2934">
        <v>405</v>
      </c>
      <c r="F2934">
        <v>4975</v>
      </c>
      <c r="G2934" s="3">
        <f t="shared" si="135"/>
        <v>0</v>
      </c>
      <c r="H2934" s="4">
        <f t="shared" si="136"/>
        <v>0</v>
      </c>
      <c r="I2934" s="1">
        <f t="shared" si="137"/>
        <v>0</v>
      </c>
    </row>
    <row r="2935" spans="1:9" hidden="1" x14ac:dyDescent="0.2">
      <c r="A2935" s="6">
        <v>44045.708333333336</v>
      </c>
      <c r="B2935" s="1" t="s">
        <v>17</v>
      </c>
      <c r="C2935">
        <v>1</v>
      </c>
      <c r="D2935">
        <v>0</v>
      </c>
      <c r="E2935">
        <v>405</v>
      </c>
      <c r="F2935">
        <v>4979</v>
      </c>
      <c r="G2935" s="3">
        <f t="shared" si="135"/>
        <v>4</v>
      </c>
      <c r="H2935" s="4">
        <f t="shared" si="136"/>
        <v>8.0337417152043233E-4</v>
      </c>
      <c r="I2935" s="1">
        <f t="shared" si="137"/>
        <v>0</v>
      </c>
    </row>
    <row r="2936" spans="1:9" hidden="1" x14ac:dyDescent="0.2">
      <c r="A2936" s="6">
        <v>44046.708333333336</v>
      </c>
      <c r="B2936" s="1" t="s">
        <v>17</v>
      </c>
      <c r="C2936">
        <v>3</v>
      </c>
      <c r="D2936">
        <v>0</v>
      </c>
      <c r="E2936">
        <v>405</v>
      </c>
      <c r="F2936">
        <v>4981</v>
      </c>
      <c r="G2936" s="3">
        <f t="shared" si="135"/>
        <v>2</v>
      </c>
      <c r="H2936" s="4">
        <f t="shared" si="136"/>
        <v>4.0152579803254262E-4</v>
      </c>
      <c r="I2936" s="1">
        <f t="shared" si="137"/>
        <v>0</v>
      </c>
    </row>
    <row r="2937" spans="1:9" hidden="1" x14ac:dyDescent="0.2">
      <c r="A2937" s="6">
        <v>44047.708333333336</v>
      </c>
      <c r="B2937" s="1" t="s">
        <v>17</v>
      </c>
      <c r="C2937">
        <v>3</v>
      </c>
      <c r="D2937">
        <v>0</v>
      </c>
      <c r="E2937">
        <v>405</v>
      </c>
      <c r="F2937">
        <v>4983</v>
      </c>
      <c r="G2937" s="3">
        <f t="shared" si="135"/>
        <v>2</v>
      </c>
      <c r="H2937" s="4">
        <f t="shared" si="136"/>
        <v>4.0136463977524794E-4</v>
      </c>
      <c r="I2937" s="1">
        <f t="shared" si="137"/>
        <v>0</v>
      </c>
    </row>
    <row r="2938" spans="1:9" hidden="1" x14ac:dyDescent="0.2">
      <c r="A2938" s="6">
        <v>44048.708333333336</v>
      </c>
      <c r="B2938" s="1" t="s">
        <v>17</v>
      </c>
      <c r="C2938">
        <v>3</v>
      </c>
      <c r="D2938">
        <v>0</v>
      </c>
      <c r="E2938">
        <v>405</v>
      </c>
      <c r="F2938">
        <v>4984</v>
      </c>
      <c r="G2938" s="3">
        <f t="shared" si="135"/>
        <v>1</v>
      </c>
      <c r="H2938" s="4">
        <f t="shared" si="136"/>
        <v>2.0064205457459572E-4</v>
      </c>
      <c r="I2938" s="1">
        <f t="shared" si="137"/>
        <v>0</v>
      </c>
    </row>
    <row r="2939" spans="1:9" hidden="1" x14ac:dyDescent="0.2">
      <c r="A2939" s="6">
        <v>44049.708333333336</v>
      </c>
      <c r="B2939" s="1" t="s">
        <v>17</v>
      </c>
      <c r="C2939">
        <v>3</v>
      </c>
      <c r="D2939">
        <v>0</v>
      </c>
      <c r="E2939">
        <v>405</v>
      </c>
      <c r="F2939">
        <v>4988</v>
      </c>
      <c r="G2939" s="3">
        <f t="shared" si="135"/>
        <v>4</v>
      </c>
      <c r="H2939" s="4">
        <f t="shared" si="136"/>
        <v>8.0192461908579205E-4</v>
      </c>
      <c r="I2939" s="1">
        <f t="shared" si="137"/>
        <v>0</v>
      </c>
    </row>
    <row r="2940" spans="1:9" hidden="1" x14ac:dyDescent="0.2">
      <c r="A2940" s="6">
        <v>44050.708333333336</v>
      </c>
      <c r="B2940" s="1" t="s">
        <v>17</v>
      </c>
      <c r="C2940">
        <v>5</v>
      </c>
      <c r="D2940">
        <v>0</v>
      </c>
      <c r="E2940">
        <v>405</v>
      </c>
      <c r="F2940">
        <v>4992</v>
      </c>
      <c r="G2940" s="3">
        <f t="shared" si="135"/>
        <v>4</v>
      </c>
      <c r="H2940" s="4">
        <f t="shared" si="136"/>
        <v>8.0128205128204844E-4</v>
      </c>
      <c r="I2940" s="1">
        <f t="shared" si="137"/>
        <v>0</v>
      </c>
    </row>
    <row r="2941" spans="1:9" hidden="1" x14ac:dyDescent="0.2">
      <c r="A2941" s="6">
        <v>44051.708333333336</v>
      </c>
      <c r="B2941" s="1" t="s">
        <v>17</v>
      </c>
      <c r="C2941">
        <v>5</v>
      </c>
      <c r="D2941">
        <v>0</v>
      </c>
      <c r="E2941">
        <v>405</v>
      </c>
      <c r="F2941">
        <v>4993</v>
      </c>
      <c r="G2941" s="3">
        <f t="shared" si="135"/>
        <v>1</v>
      </c>
      <c r="H2941" s="4">
        <f t="shared" si="136"/>
        <v>2.0028039254960106E-4</v>
      </c>
      <c r="I2941" s="1">
        <f t="shared" si="137"/>
        <v>0</v>
      </c>
    </row>
    <row r="2942" spans="1:9" hidden="1" x14ac:dyDescent="0.2">
      <c r="A2942" s="6">
        <v>44052.708333333336</v>
      </c>
      <c r="B2942" s="1" t="s">
        <v>17</v>
      </c>
      <c r="C2942">
        <v>6</v>
      </c>
      <c r="D2942">
        <v>0</v>
      </c>
      <c r="E2942">
        <v>405</v>
      </c>
      <c r="F2942">
        <v>4995</v>
      </c>
      <c r="G2942" s="3">
        <f t="shared" si="135"/>
        <v>2</v>
      </c>
      <c r="H2942" s="4">
        <f t="shared" si="136"/>
        <v>4.0040040040034697E-4</v>
      </c>
      <c r="I2942" s="1">
        <f t="shared" si="137"/>
        <v>0</v>
      </c>
    </row>
    <row r="2943" spans="1:9" hidden="1" x14ac:dyDescent="0.2">
      <c r="A2943" s="6">
        <v>44053.708333333336</v>
      </c>
      <c r="B2943" s="1" t="s">
        <v>17</v>
      </c>
      <c r="C2943">
        <v>7</v>
      </c>
      <c r="D2943">
        <v>0</v>
      </c>
      <c r="E2943">
        <v>405</v>
      </c>
      <c r="F2943">
        <v>4996</v>
      </c>
      <c r="G2943" s="3">
        <f t="shared" si="135"/>
        <v>1</v>
      </c>
      <c r="H2943" s="4">
        <f t="shared" si="136"/>
        <v>2.0016012810253336E-4</v>
      </c>
      <c r="I2943" s="1">
        <f t="shared" si="137"/>
        <v>0</v>
      </c>
    </row>
    <row r="2944" spans="1:9" hidden="1" x14ac:dyDescent="0.2">
      <c r="A2944" s="6">
        <v>44054.708333333336</v>
      </c>
      <c r="B2944" s="1" t="s">
        <v>17</v>
      </c>
      <c r="C2944">
        <v>5</v>
      </c>
      <c r="D2944">
        <v>0</v>
      </c>
      <c r="E2944">
        <v>405</v>
      </c>
      <c r="F2944">
        <v>4998</v>
      </c>
      <c r="G2944" s="3">
        <f t="shared" si="135"/>
        <v>2</v>
      </c>
      <c r="H2944" s="4">
        <f t="shared" si="136"/>
        <v>4.001600640256564E-4</v>
      </c>
      <c r="I2944" s="1">
        <f t="shared" si="137"/>
        <v>0</v>
      </c>
    </row>
    <row r="2945" spans="1:9" hidden="1" x14ac:dyDescent="0.2">
      <c r="A2945" s="6">
        <v>44055.708333333336</v>
      </c>
      <c r="B2945" s="1" t="s">
        <v>17</v>
      </c>
      <c r="C2945">
        <v>2</v>
      </c>
      <c r="D2945">
        <v>1</v>
      </c>
      <c r="E2945">
        <v>405</v>
      </c>
      <c r="F2945">
        <v>4998</v>
      </c>
      <c r="G2945" s="3">
        <f t="shared" si="135"/>
        <v>0</v>
      </c>
      <c r="H2945" s="4">
        <f t="shared" si="136"/>
        <v>0</v>
      </c>
      <c r="I2945" s="1">
        <f t="shared" si="137"/>
        <v>0</v>
      </c>
    </row>
    <row r="2946" spans="1:9" hidden="1" x14ac:dyDescent="0.2">
      <c r="A2946" s="6">
        <v>44056.708333333336</v>
      </c>
      <c r="B2946" s="1" t="s">
        <v>17</v>
      </c>
      <c r="C2946">
        <v>1</v>
      </c>
      <c r="D2946">
        <v>1</v>
      </c>
      <c r="E2946">
        <v>405</v>
      </c>
      <c r="F2946">
        <v>5000</v>
      </c>
      <c r="G2946" s="3">
        <f t="shared" si="135"/>
        <v>2</v>
      </c>
      <c r="H2946" s="4">
        <f t="shared" si="136"/>
        <v>3.9999999999995595E-4</v>
      </c>
      <c r="I2946" s="1">
        <f t="shared" si="137"/>
        <v>0</v>
      </c>
    </row>
    <row r="2947" spans="1:9" hidden="1" x14ac:dyDescent="0.2">
      <c r="A2947" s="6">
        <v>44057.708333333336</v>
      </c>
      <c r="B2947" s="1" t="s">
        <v>17</v>
      </c>
      <c r="C2947">
        <v>2</v>
      </c>
      <c r="D2947">
        <v>1</v>
      </c>
      <c r="E2947">
        <v>405</v>
      </c>
      <c r="F2947">
        <v>5003</v>
      </c>
      <c r="G2947" s="3">
        <f t="shared" ref="G2947:G3010" si="138">IF(AND(F2947&gt;0,AND(B2947=B2946,F2947&gt;0)),F2947-F2946,0)</f>
        <v>3</v>
      </c>
      <c r="H2947" s="4">
        <f t="shared" ref="H2947:H3010" si="139">IF(AND(F2946&gt;0,AND(B2947=B2946,F2946&gt;0)),1-(F2946/F2947),0)</f>
        <v>5.9964021587044503E-4</v>
      </c>
      <c r="I2947" s="1">
        <f t="shared" ref="I2947:I3010" si="140">IF(AND(E2947&gt;0,AND(B2947=B2946,E2947&gt;0)),E2947-E2946,0)</f>
        <v>0</v>
      </c>
    </row>
    <row r="2948" spans="1:9" hidden="1" x14ac:dyDescent="0.2">
      <c r="A2948" s="6">
        <v>44058.708333333336</v>
      </c>
      <c r="B2948" s="1" t="s">
        <v>17</v>
      </c>
      <c r="C2948">
        <v>1</v>
      </c>
      <c r="D2948">
        <v>1</v>
      </c>
      <c r="E2948">
        <v>405</v>
      </c>
      <c r="F2948">
        <v>5003</v>
      </c>
      <c r="G2948" s="3">
        <f t="shared" si="138"/>
        <v>0</v>
      </c>
      <c r="H2948" s="4">
        <f t="shared" si="139"/>
        <v>0</v>
      </c>
      <c r="I2948" s="1">
        <f t="shared" si="140"/>
        <v>0</v>
      </c>
    </row>
    <row r="2949" spans="1:9" hidden="1" x14ac:dyDescent="0.2">
      <c r="A2949" s="6">
        <v>44059.708333333336</v>
      </c>
      <c r="B2949" s="1" t="s">
        <v>17</v>
      </c>
      <c r="C2949">
        <v>1</v>
      </c>
      <c r="D2949">
        <v>1</v>
      </c>
      <c r="E2949">
        <v>405</v>
      </c>
      <c r="F2949">
        <v>5003</v>
      </c>
      <c r="G2949" s="3">
        <f t="shared" si="138"/>
        <v>0</v>
      </c>
      <c r="H2949" s="4">
        <f t="shared" si="139"/>
        <v>0</v>
      </c>
      <c r="I2949" s="1">
        <f t="shared" si="140"/>
        <v>0</v>
      </c>
    </row>
    <row r="2950" spans="1:9" hidden="1" x14ac:dyDescent="0.2">
      <c r="A2950" s="6">
        <v>44060.708333333336</v>
      </c>
      <c r="B2950" s="1" t="s">
        <v>17</v>
      </c>
      <c r="C2950">
        <v>1</v>
      </c>
      <c r="D2950">
        <v>1</v>
      </c>
      <c r="E2950">
        <v>405</v>
      </c>
      <c r="F2950">
        <v>5004</v>
      </c>
      <c r="G2950" s="3">
        <f t="shared" si="138"/>
        <v>1</v>
      </c>
      <c r="H2950" s="4">
        <f t="shared" si="139"/>
        <v>1.998401278976436E-4</v>
      </c>
      <c r="I2950" s="1">
        <f t="shared" si="140"/>
        <v>0</v>
      </c>
    </row>
    <row r="2951" spans="1:9" hidden="1" x14ac:dyDescent="0.2">
      <c r="A2951" s="6">
        <v>44061.708333333336</v>
      </c>
      <c r="B2951" s="1" t="s">
        <v>17</v>
      </c>
      <c r="C2951">
        <v>2</v>
      </c>
      <c r="D2951">
        <v>1</v>
      </c>
      <c r="E2951">
        <v>405</v>
      </c>
      <c r="F2951">
        <v>5006</v>
      </c>
      <c r="G2951" s="3">
        <f t="shared" si="138"/>
        <v>2</v>
      </c>
      <c r="H2951" s="4">
        <f t="shared" si="139"/>
        <v>3.9952057530967533E-4</v>
      </c>
      <c r="I2951" s="1">
        <f t="shared" si="140"/>
        <v>0</v>
      </c>
    </row>
    <row r="2952" spans="1:9" hidden="1" x14ac:dyDescent="0.2">
      <c r="A2952" s="6">
        <v>44062.708333333336</v>
      </c>
      <c r="B2952" s="1" t="s">
        <v>17</v>
      </c>
      <c r="C2952">
        <v>2</v>
      </c>
      <c r="D2952">
        <v>1</v>
      </c>
      <c r="E2952">
        <v>405</v>
      </c>
      <c r="F2952">
        <v>5008</v>
      </c>
      <c r="G2952" s="3">
        <f t="shared" si="138"/>
        <v>2</v>
      </c>
      <c r="H2952" s="4">
        <f t="shared" si="139"/>
        <v>3.9936102236426407E-4</v>
      </c>
      <c r="I2952" s="1">
        <f t="shared" si="140"/>
        <v>0</v>
      </c>
    </row>
    <row r="2953" spans="1:9" hidden="1" x14ac:dyDescent="0.2">
      <c r="A2953" s="6">
        <v>44063.708333333336</v>
      </c>
      <c r="B2953" s="1" t="s">
        <v>17</v>
      </c>
      <c r="C2953">
        <v>2</v>
      </c>
      <c r="D2953">
        <v>1</v>
      </c>
      <c r="E2953">
        <v>405</v>
      </c>
      <c r="F2953">
        <v>5012</v>
      </c>
      <c r="G2953" s="3">
        <f t="shared" si="138"/>
        <v>4</v>
      </c>
      <c r="H2953" s="4">
        <f t="shared" si="139"/>
        <v>7.9808459696728562E-4</v>
      </c>
      <c r="I2953" s="1">
        <f t="shared" si="140"/>
        <v>0</v>
      </c>
    </row>
    <row r="2954" spans="1:9" hidden="1" x14ac:dyDescent="0.2">
      <c r="A2954" s="6">
        <v>44064.708333333336</v>
      </c>
      <c r="B2954" s="1" t="s">
        <v>17</v>
      </c>
      <c r="C2954">
        <v>3</v>
      </c>
      <c r="D2954">
        <v>1</v>
      </c>
      <c r="E2954">
        <v>405</v>
      </c>
      <c r="F2954">
        <v>5016</v>
      </c>
      <c r="G2954" s="3">
        <f t="shared" si="138"/>
        <v>4</v>
      </c>
      <c r="H2954" s="4">
        <f t="shared" si="139"/>
        <v>7.9744816586924117E-4</v>
      </c>
      <c r="I2954" s="1">
        <f t="shared" si="140"/>
        <v>0</v>
      </c>
    </row>
    <row r="2955" spans="1:9" hidden="1" x14ac:dyDescent="0.2">
      <c r="A2955" s="6">
        <v>44065.708333333336</v>
      </c>
      <c r="B2955" s="1" t="s">
        <v>17</v>
      </c>
      <c r="C2955">
        <v>3</v>
      </c>
      <c r="D2955">
        <v>1</v>
      </c>
      <c r="E2955">
        <v>405</v>
      </c>
      <c r="F2955">
        <v>5025</v>
      </c>
      <c r="G2955" s="3">
        <f t="shared" si="138"/>
        <v>9</v>
      </c>
      <c r="H2955" s="4">
        <f t="shared" si="139"/>
        <v>1.7910447761193549E-3</v>
      </c>
      <c r="I2955" s="1">
        <f t="shared" si="140"/>
        <v>0</v>
      </c>
    </row>
    <row r="2956" spans="1:9" hidden="1" x14ac:dyDescent="0.2">
      <c r="A2956" s="6">
        <v>44066.708333333336</v>
      </c>
      <c r="B2956" s="1" t="s">
        <v>17</v>
      </c>
      <c r="C2956">
        <v>3</v>
      </c>
      <c r="D2956">
        <v>1</v>
      </c>
      <c r="E2956">
        <v>405</v>
      </c>
      <c r="F2956">
        <v>5028</v>
      </c>
      <c r="G2956" s="3">
        <f t="shared" si="138"/>
        <v>3</v>
      </c>
      <c r="H2956" s="4">
        <f t="shared" si="139"/>
        <v>5.966587112171684E-4</v>
      </c>
      <c r="I2956" s="1">
        <f t="shared" si="140"/>
        <v>0</v>
      </c>
    </row>
    <row r="2957" spans="1:9" hidden="1" x14ac:dyDescent="0.2">
      <c r="A2957" s="6">
        <v>44067.708333333336</v>
      </c>
      <c r="B2957" s="1" t="s">
        <v>17</v>
      </c>
      <c r="C2957">
        <v>3</v>
      </c>
      <c r="D2957">
        <v>1</v>
      </c>
      <c r="E2957">
        <v>405</v>
      </c>
      <c r="F2957">
        <v>5029</v>
      </c>
      <c r="G2957" s="3">
        <f t="shared" si="138"/>
        <v>1</v>
      </c>
      <c r="H2957" s="4">
        <f t="shared" si="139"/>
        <v>1.9884668920266968E-4</v>
      </c>
      <c r="I2957" s="1">
        <f t="shared" si="140"/>
        <v>0</v>
      </c>
    </row>
    <row r="2958" spans="1:9" hidden="1" x14ac:dyDescent="0.2">
      <c r="A2958" s="6">
        <v>44068.708333333336</v>
      </c>
      <c r="B2958" s="1" t="s">
        <v>17</v>
      </c>
      <c r="C2958">
        <v>4</v>
      </c>
      <c r="D2958">
        <v>1</v>
      </c>
      <c r="E2958">
        <v>405</v>
      </c>
      <c r="F2958">
        <v>5032</v>
      </c>
      <c r="G2958" s="3">
        <f t="shared" si="138"/>
        <v>3</v>
      </c>
      <c r="H2958" s="4">
        <f t="shared" si="139"/>
        <v>5.9618441971387437E-4</v>
      </c>
      <c r="I2958" s="1">
        <f t="shared" si="140"/>
        <v>0</v>
      </c>
    </row>
    <row r="2959" spans="1:9" hidden="1" x14ac:dyDescent="0.2">
      <c r="A2959" s="6">
        <v>44069.708333333336</v>
      </c>
      <c r="B2959" s="1" t="s">
        <v>17</v>
      </c>
      <c r="C2959">
        <v>4</v>
      </c>
      <c r="D2959">
        <v>1</v>
      </c>
      <c r="E2959">
        <v>405</v>
      </c>
      <c r="F2959">
        <v>5039</v>
      </c>
      <c r="G2959" s="3">
        <f t="shared" si="138"/>
        <v>7</v>
      </c>
      <c r="H2959" s="4">
        <f t="shared" si="139"/>
        <v>1.3891645167691813E-3</v>
      </c>
      <c r="I2959" s="1">
        <f t="shared" si="140"/>
        <v>0</v>
      </c>
    </row>
    <row r="2960" spans="1:9" hidden="1" x14ac:dyDescent="0.2">
      <c r="A2960" s="6">
        <v>44070.708333333336</v>
      </c>
      <c r="B2960" s="1" t="s">
        <v>17</v>
      </c>
      <c r="C2960">
        <v>4</v>
      </c>
      <c r="D2960">
        <v>1</v>
      </c>
      <c r="E2960">
        <v>405</v>
      </c>
      <c r="F2960">
        <v>5054</v>
      </c>
      <c r="G2960" s="3">
        <f t="shared" si="138"/>
        <v>15</v>
      </c>
      <c r="H2960" s="4">
        <f t="shared" si="139"/>
        <v>2.9679461812426311E-3</v>
      </c>
      <c r="I2960" s="1">
        <f t="shared" si="140"/>
        <v>0</v>
      </c>
    </row>
    <row r="2961" spans="1:9" hidden="1" x14ac:dyDescent="0.2">
      <c r="A2961" s="6">
        <v>44071.708333333336</v>
      </c>
      <c r="B2961" s="1" t="s">
        <v>17</v>
      </c>
      <c r="C2961">
        <v>6</v>
      </c>
      <c r="D2961">
        <v>1</v>
      </c>
      <c r="E2961">
        <v>405</v>
      </c>
      <c r="F2961">
        <v>5070</v>
      </c>
      <c r="G2961" s="3">
        <f t="shared" si="138"/>
        <v>16</v>
      </c>
      <c r="H2961" s="4">
        <f t="shared" si="139"/>
        <v>3.1558185404338968E-3</v>
      </c>
      <c r="I2961" s="1">
        <f t="shared" si="140"/>
        <v>0</v>
      </c>
    </row>
    <row r="2962" spans="1:9" hidden="1" x14ac:dyDescent="0.2">
      <c r="A2962" s="6">
        <v>44072.708333333336</v>
      </c>
      <c r="B2962" s="1" t="s">
        <v>17</v>
      </c>
      <c r="C2962">
        <v>3</v>
      </c>
      <c r="D2962">
        <v>1</v>
      </c>
      <c r="E2962">
        <v>405</v>
      </c>
      <c r="F2962">
        <v>5084</v>
      </c>
      <c r="G2962" s="3">
        <f t="shared" si="138"/>
        <v>14</v>
      </c>
      <c r="H2962" s="4">
        <f t="shared" si="139"/>
        <v>2.7537372147915518E-3</v>
      </c>
      <c r="I2962" s="1">
        <f t="shared" si="140"/>
        <v>0</v>
      </c>
    </row>
    <row r="2963" spans="1:9" hidden="1" x14ac:dyDescent="0.2">
      <c r="A2963" s="6">
        <v>44073.708333333336</v>
      </c>
      <c r="B2963" s="1" t="s">
        <v>17</v>
      </c>
      <c r="C2963">
        <v>3</v>
      </c>
      <c r="D2963">
        <v>1</v>
      </c>
      <c r="E2963">
        <v>405</v>
      </c>
      <c r="F2963">
        <v>5092</v>
      </c>
      <c r="G2963" s="3">
        <f t="shared" si="138"/>
        <v>8</v>
      </c>
      <c r="H2963" s="4">
        <f t="shared" si="139"/>
        <v>1.5710919088767206E-3</v>
      </c>
      <c r="I2963" s="1">
        <f t="shared" si="140"/>
        <v>0</v>
      </c>
    </row>
    <row r="2964" spans="1:9" hidden="1" x14ac:dyDescent="0.2">
      <c r="A2964" s="6">
        <v>44074.708333333336</v>
      </c>
      <c r="B2964" s="1" t="s">
        <v>17</v>
      </c>
      <c r="C2964">
        <v>5</v>
      </c>
      <c r="D2964">
        <v>1</v>
      </c>
      <c r="E2964">
        <v>405</v>
      </c>
      <c r="F2964">
        <v>5096</v>
      </c>
      <c r="G2964" s="3">
        <f t="shared" si="138"/>
        <v>4</v>
      </c>
      <c r="H2964" s="4">
        <f t="shared" si="139"/>
        <v>7.8492935635787742E-4</v>
      </c>
      <c r="I2964" s="1">
        <f t="shared" si="140"/>
        <v>0</v>
      </c>
    </row>
    <row r="2965" spans="1:9" hidden="1" x14ac:dyDescent="0.2">
      <c r="A2965" s="6">
        <v>44075.708333333336</v>
      </c>
      <c r="B2965" s="1" t="s">
        <v>17</v>
      </c>
      <c r="C2965">
        <v>4</v>
      </c>
      <c r="D2965">
        <v>1</v>
      </c>
      <c r="E2965">
        <v>405</v>
      </c>
      <c r="F2965">
        <v>5099</v>
      </c>
      <c r="G2965" s="3">
        <f t="shared" si="138"/>
        <v>3</v>
      </c>
      <c r="H2965" s="4">
        <f t="shared" si="139"/>
        <v>5.8835065699158751E-4</v>
      </c>
      <c r="I2965" s="1">
        <f t="shared" si="140"/>
        <v>0</v>
      </c>
    </row>
    <row r="2966" spans="1:9" hidden="1" x14ac:dyDescent="0.2">
      <c r="A2966" s="6">
        <v>44076.708333333336</v>
      </c>
      <c r="B2966" s="1" t="s">
        <v>17</v>
      </c>
      <c r="C2966">
        <v>4</v>
      </c>
      <c r="D2966">
        <v>1</v>
      </c>
      <c r="E2966">
        <v>405</v>
      </c>
      <c r="F2966">
        <v>5132</v>
      </c>
      <c r="G2966" s="3">
        <f t="shared" si="138"/>
        <v>33</v>
      </c>
      <c r="H2966" s="4">
        <f t="shared" si="139"/>
        <v>6.4302416212003166E-3</v>
      </c>
      <c r="I2966" s="1">
        <f t="shared" si="140"/>
        <v>0</v>
      </c>
    </row>
    <row r="2967" spans="1:9" hidden="1" x14ac:dyDescent="0.2">
      <c r="A2967" s="6">
        <v>44077.708333333336</v>
      </c>
      <c r="B2967" s="1" t="s">
        <v>17</v>
      </c>
      <c r="C2967">
        <v>3</v>
      </c>
      <c r="D2967">
        <v>1</v>
      </c>
      <c r="E2967">
        <v>405</v>
      </c>
      <c r="F2967">
        <v>5223</v>
      </c>
      <c r="G2967" s="3">
        <f t="shared" si="138"/>
        <v>91</v>
      </c>
      <c r="H2967" s="4">
        <f t="shared" si="139"/>
        <v>1.7422937009381578E-2</v>
      </c>
      <c r="I2967" s="1">
        <f t="shared" si="140"/>
        <v>0</v>
      </c>
    </row>
    <row r="2968" spans="1:9" hidden="1" x14ac:dyDescent="0.2">
      <c r="A2968" s="6">
        <v>44078.708333333336</v>
      </c>
      <c r="B2968" s="1" t="s">
        <v>17</v>
      </c>
      <c r="C2968">
        <v>7</v>
      </c>
      <c r="D2968">
        <v>0</v>
      </c>
      <c r="E2968">
        <v>405</v>
      </c>
      <c r="F2968">
        <v>5246</v>
      </c>
      <c r="G2968" s="3">
        <f t="shared" si="138"/>
        <v>23</v>
      </c>
      <c r="H2968" s="4">
        <f t="shared" si="139"/>
        <v>4.3842927945101362E-3</v>
      </c>
      <c r="I2968" s="1">
        <f t="shared" si="140"/>
        <v>0</v>
      </c>
    </row>
    <row r="2969" spans="1:9" hidden="1" x14ac:dyDescent="0.2">
      <c r="A2969" s="6">
        <v>44079.708333333336</v>
      </c>
      <c r="B2969" s="1" t="s">
        <v>17</v>
      </c>
      <c r="C2969">
        <v>6</v>
      </c>
      <c r="D2969">
        <v>0</v>
      </c>
      <c r="E2969">
        <v>405</v>
      </c>
      <c r="F2969">
        <v>5299</v>
      </c>
      <c r="G2969" s="3">
        <f t="shared" si="138"/>
        <v>53</v>
      </c>
      <c r="H2969" s="4">
        <f t="shared" si="139"/>
        <v>1.0001887148518573E-2</v>
      </c>
      <c r="I2969" s="1">
        <f t="shared" si="140"/>
        <v>0</v>
      </c>
    </row>
    <row r="2970" spans="1:9" hidden="1" x14ac:dyDescent="0.2">
      <c r="A2970" s="6">
        <v>44080.708333333336</v>
      </c>
      <c r="B2970" s="1" t="s">
        <v>17</v>
      </c>
      <c r="C2970">
        <v>5</v>
      </c>
      <c r="D2970">
        <v>0</v>
      </c>
      <c r="E2970">
        <v>405</v>
      </c>
      <c r="F2970">
        <v>5332</v>
      </c>
      <c r="G2970" s="3">
        <f t="shared" si="138"/>
        <v>33</v>
      </c>
      <c r="H2970" s="4">
        <f t="shared" si="139"/>
        <v>6.1890472618154613E-3</v>
      </c>
      <c r="I2970" s="1">
        <f t="shared" si="140"/>
        <v>0</v>
      </c>
    </row>
    <row r="2971" spans="1:9" hidden="1" x14ac:dyDescent="0.2">
      <c r="A2971" s="6">
        <v>44081.708333333336</v>
      </c>
      <c r="B2971" s="1" t="s">
        <v>17</v>
      </c>
      <c r="C2971">
        <v>5</v>
      </c>
      <c r="D2971">
        <v>0</v>
      </c>
      <c r="E2971">
        <v>405</v>
      </c>
      <c r="F2971">
        <v>5349</v>
      </c>
      <c r="G2971" s="3">
        <f t="shared" si="138"/>
        <v>17</v>
      </c>
      <c r="H2971" s="4">
        <f t="shared" si="139"/>
        <v>3.178164142830453E-3</v>
      </c>
      <c r="I2971" s="1">
        <f t="shared" si="140"/>
        <v>0</v>
      </c>
    </row>
    <row r="2972" spans="1:9" hidden="1" x14ac:dyDescent="0.2">
      <c r="A2972" s="6">
        <v>44082.708333333336</v>
      </c>
      <c r="B2972" s="1" t="s">
        <v>17</v>
      </c>
      <c r="C2972">
        <v>6</v>
      </c>
      <c r="D2972">
        <v>0</v>
      </c>
      <c r="E2972">
        <v>405</v>
      </c>
      <c r="F2972">
        <v>5352</v>
      </c>
      <c r="G2972" s="3">
        <f t="shared" si="138"/>
        <v>3</v>
      </c>
      <c r="H2972" s="4">
        <f t="shared" si="139"/>
        <v>5.6053811659195762E-4</v>
      </c>
      <c r="I2972" s="1">
        <f t="shared" si="140"/>
        <v>0</v>
      </c>
    </row>
    <row r="2973" spans="1:9" hidden="1" x14ac:dyDescent="0.2">
      <c r="A2973" s="6">
        <v>44083.708333333336</v>
      </c>
      <c r="B2973" s="1" t="s">
        <v>17</v>
      </c>
      <c r="C2973">
        <v>7</v>
      </c>
      <c r="D2973">
        <v>0</v>
      </c>
      <c r="E2973">
        <v>405</v>
      </c>
      <c r="F2973">
        <v>5359</v>
      </c>
      <c r="G2973" s="3">
        <f t="shared" si="138"/>
        <v>7</v>
      </c>
      <c r="H2973" s="4">
        <f t="shared" si="139"/>
        <v>1.3062138458668215E-3</v>
      </c>
      <c r="I2973" s="1">
        <f t="shared" si="140"/>
        <v>0</v>
      </c>
    </row>
    <row r="2974" spans="1:9" hidden="1" x14ac:dyDescent="0.2">
      <c r="A2974" s="6">
        <v>44084.708333333336</v>
      </c>
      <c r="B2974" s="1" t="s">
        <v>17</v>
      </c>
      <c r="C2974">
        <v>6</v>
      </c>
      <c r="D2974">
        <v>0</v>
      </c>
      <c r="E2974">
        <v>405</v>
      </c>
      <c r="F2974">
        <v>5441</v>
      </c>
      <c r="G2974" s="3">
        <f t="shared" si="138"/>
        <v>82</v>
      </c>
      <c r="H2974" s="4">
        <f t="shared" si="139"/>
        <v>1.50707590516449E-2</v>
      </c>
      <c r="I2974" s="1">
        <f t="shared" si="140"/>
        <v>0</v>
      </c>
    </row>
    <row r="2975" spans="1:9" hidden="1" x14ac:dyDescent="0.2">
      <c r="A2975" s="6">
        <v>44085.708333333336</v>
      </c>
      <c r="B2975" s="1" t="s">
        <v>17</v>
      </c>
      <c r="C2975">
        <v>6</v>
      </c>
      <c r="D2975">
        <v>0</v>
      </c>
      <c r="E2975">
        <v>405</v>
      </c>
      <c r="F2975">
        <v>5470</v>
      </c>
      <c r="G2975" s="3">
        <f t="shared" si="138"/>
        <v>29</v>
      </c>
      <c r="H2975" s="4">
        <f t="shared" si="139"/>
        <v>5.3016453382084272E-3</v>
      </c>
      <c r="I2975" s="1">
        <f t="shared" si="140"/>
        <v>0</v>
      </c>
    </row>
    <row r="2976" spans="1:9" hidden="1" x14ac:dyDescent="0.2">
      <c r="A2976" s="6">
        <v>44086.708333333336</v>
      </c>
      <c r="B2976" s="1" t="s">
        <v>17</v>
      </c>
      <c r="C2976">
        <v>8</v>
      </c>
      <c r="D2976">
        <v>0</v>
      </c>
      <c r="E2976">
        <v>405</v>
      </c>
      <c r="F2976">
        <v>5492</v>
      </c>
      <c r="G2976" s="3">
        <f t="shared" si="138"/>
        <v>22</v>
      </c>
      <c r="H2976" s="4">
        <f t="shared" si="139"/>
        <v>4.0058266569555911E-3</v>
      </c>
      <c r="I2976" s="1">
        <f t="shared" si="140"/>
        <v>0</v>
      </c>
    </row>
    <row r="2977" spans="1:9" hidden="1" x14ac:dyDescent="0.2">
      <c r="A2977" s="6">
        <v>44087.708333333336</v>
      </c>
      <c r="B2977" s="1" t="s">
        <v>17</v>
      </c>
      <c r="C2977">
        <v>9</v>
      </c>
      <c r="D2977">
        <v>0</v>
      </c>
      <c r="E2977">
        <v>405</v>
      </c>
      <c r="F2977">
        <v>5501</v>
      </c>
      <c r="G2977" s="3">
        <f t="shared" si="138"/>
        <v>9</v>
      </c>
      <c r="H2977" s="4">
        <f t="shared" si="139"/>
        <v>1.6360661697872869E-3</v>
      </c>
      <c r="I2977" s="1">
        <f t="shared" si="140"/>
        <v>0</v>
      </c>
    </row>
    <row r="2978" spans="1:9" hidden="1" x14ac:dyDescent="0.2">
      <c r="A2978" s="6">
        <v>44088.708333333336</v>
      </c>
      <c r="B2978" s="1" t="s">
        <v>17</v>
      </c>
      <c r="C2978">
        <v>11</v>
      </c>
      <c r="D2978">
        <v>0</v>
      </c>
      <c r="E2978">
        <v>405</v>
      </c>
      <c r="F2978">
        <v>5521</v>
      </c>
      <c r="G2978" s="3">
        <f t="shared" si="138"/>
        <v>20</v>
      </c>
      <c r="H2978" s="4">
        <f t="shared" si="139"/>
        <v>3.6225321499728791E-3</v>
      </c>
      <c r="I2978" s="1">
        <f t="shared" si="140"/>
        <v>0</v>
      </c>
    </row>
    <row r="2979" spans="1:9" hidden="1" x14ac:dyDescent="0.2">
      <c r="A2979" s="6">
        <v>44089.708333333336</v>
      </c>
      <c r="B2979" s="1" t="s">
        <v>17</v>
      </c>
      <c r="C2979">
        <v>9</v>
      </c>
      <c r="D2979">
        <v>0</v>
      </c>
      <c r="E2979">
        <v>405</v>
      </c>
      <c r="F2979">
        <v>5541</v>
      </c>
      <c r="G2979" s="3">
        <f t="shared" si="138"/>
        <v>20</v>
      </c>
      <c r="H2979" s="4">
        <f t="shared" si="139"/>
        <v>3.60945677675506E-3</v>
      </c>
      <c r="I2979" s="1">
        <f t="shared" si="140"/>
        <v>0</v>
      </c>
    </row>
    <row r="2980" spans="1:9" hidden="1" x14ac:dyDescent="0.2">
      <c r="A2980" s="6">
        <v>44090.708333333336</v>
      </c>
      <c r="B2980" s="1" t="s">
        <v>17</v>
      </c>
      <c r="C2980">
        <v>13</v>
      </c>
      <c r="D2980">
        <v>0</v>
      </c>
      <c r="E2980">
        <v>405</v>
      </c>
      <c r="F2980">
        <v>5573</v>
      </c>
      <c r="G2980" s="3">
        <f t="shared" si="138"/>
        <v>32</v>
      </c>
      <c r="H2980" s="4">
        <f t="shared" si="139"/>
        <v>5.7419702135295125E-3</v>
      </c>
      <c r="I2980" s="1">
        <f t="shared" si="140"/>
        <v>0</v>
      </c>
    </row>
    <row r="2981" spans="1:9" hidden="1" x14ac:dyDescent="0.2">
      <c r="A2981" s="6">
        <v>44091.708333333336</v>
      </c>
      <c r="B2981" s="1" t="s">
        <v>17</v>
      </c>
      <c r="C2981">
        <v>11</v>
      </c>
      <c r="D2981">
        <v>0</v>
      </c>
      <c r="E2981">
        <v>405</v>
      </c>
      <c r="F2981">
        <v>5649</v>
      </c>
      <c r="G2981" s="3">
        <f t="shared" si="138"/>
        <v>76</v>
      </c>
      <c r="H2981" s="4">
        <f t="shared" si="139"/>
        <v>1.345370862099482E-2</v>
      </c>
      <c r="I2981" s="1">
        <f t="shared" si="140"/>
        <v>0</v>
      </c>
    </row>
    <row r="2982" spans="1:9" hidden="1" x14ac:dyDescent="0.2">
      <c r="A2982" s="6">
        <v>44092.708333333336</v>
      </c>
      <c r="B2982" s="1" t="s">
        <v>17</v>
      </c>
      <c r="C2982">
        <v>12</v>
      </c>
      <c r="D2982">
        <v>0</v>
      </c>
      <c r="E2982">
        <v>405</v>
      </c>
      <c r="F2982">
        <v>5667</v>
      </c>
      <c r="G2982" s="3">
        <f t="shared" si="138"/>
        <v>18</v>
      </c>
      <c r="H2982" s="4">
        <f t="shared" si="139"/>
        <v>3.1762837480148187E-3</v>
      </c>
      <c r="I2982" s="1">
        <f t="shared" si="140"/>
        <v>0</v>
      </c>
    </row>
    <row r="2983" spans="1:9" hidden="1" x14ac:dyDescent="0.2">
      <c r="A2983" s="6">
        <v>44093.708333333336</v>
      </c>
      <c r="B2983" s="1" t="s">
        <v>17</v>
      </c>
      <c r="C2983">
        <v>10</v>
      </c>
      <c r="D2983">
        <v>0</v>
      </c>
      <c r="E2983">
        <v>405</v>
      </c>
      <c r="F2983">
        <v>5689</v>
      </c>
      <c r="G2983" s="3">
        <f t="shared" si="138"/>
        <v>22</v>
      </c>
      <c r="H2983" s="4">
        <f t="shared" si="139"/>
        <v>3.8671119704692947E-3</v>
      </c>
      <c r="I2983" s="1">
        <f t="shared" si="140"/>
        <v>0</v>
      </c>
    </row>
    <row r="2984" spans="1:9" hidden="1" x14ac:dyDescent="0.2">
      <c r="A2984" s="6">
        <v>44094.708333333336</v>
      </c>
      <c r="B2984" s="1" t="s">
        <v>17</v>
      </c>
      <c r="C2984">
        <v>13</v>
      </c>
      <c r="D2984">
        <v>0</v>
      </c>
      <c r="E2984">
        <v>405</v>
      </c>
      <c r="F2984">
        <v>5734</v>
      </c>
      <c r="G2984" s="3">
        <f t="shared" si="138"/>
        <v>45</v>
      </c>
      <c r="H2984" s="4">
        <f t="shared" si="139"/>
        <v>7.8479246599232333E-3</v>
      </c>
      <c r="I2984" s="1">
        <f t="shared" si="140"/>
        <v>0</v>
      </c>
    </row>
    <row r="2985" spans="1:9" hidden="1" x14ac:dyDescent="0.2">
      <c r="A2985" s="6">
        <v>44095.708333333336</v>
      </c>
      <c r="B2985" s="1" t="s">
        <v>17</v>
      </c>
      <c r="C2985">
        <v>13</v>
      </c>
      <c r="D2985">
        <v>0</v>
      </c>
      <c r="E2985">
        <v>405</v>
      </c>
      <c r="F2985">
        <v>5736</v>
      </c>
      <c r="G2985" s="3">
        <f t="shared" si="138"/>
        <v>2</v>
      </c>
      <c r="H2985" s="4">
        <f t="shared" si="139"/>
        <v>3.4867503486746276E-4</v>
      </c>
      <c r="I2985" s="1">
        <f t="shared" si="140"/>
        <v>0</v>
      </c>
    </row>
    <row r="2986" spans="1:9" hidden="1" x14ac:dyDescent="0.2">
      <c r="A2986" s="6">
        <v>44096.708333333336</v>
      </c>
      <c r="B2986" s="1" t="s">
        <v>17</v>
      </c>
      <c r="C2986">
        <v>13</v>
      </c>
      <c r="D2986">
        <v>0</v>
      </c>
      <c r="E2986">
        <v>405</v>
      </c>
      <c r="F2986">
        <v>5761</v>
      </c>
      <c r="G2986" s="3">
        <f t="shared" si="138"/>
        <v>25</v>
      </c>
      <c r="H2986" s="4">
        <f t="shared" si="139"/>
        <v>4.339524388127014E-3</v>
      </c>
      <c r="I2986" s="1">
        <f t="shared" si="140"/>
        <v>0</v>
      </c>
    </row>
    <row r="2987" spans="1:9" hidden="1" x14ac:dyDescent="0.2">
      <c r="A2987" s="6">
        <v>44097.708333333336</v>
      </c>
      <c r="B2987" s="1" t="s">
        <v>17</v>
      </c>
      <c r="C2987">
        <v>13</v>
      </c>
      <c r="D2987">
        <v>0</v>
      </c>
      <c r="E2987">
        <v>405</v>
      </c>
      <c r="F2987">
        <v>5783</v>
      </c>
      <c r="G2987" s="3">
        <f t="shared" si="138"/>
        <v>22</v>
      </c>
      <c r="H2987" s="4">
        <f t="shared" si="139"/>
        <v>3.8042538474839516E-3</v>
      </c>
      <c r="I2987" s="1">
        <f t="shared" si="140"/>
        <v>0</v>
      </c>
    </row>
    <row r="2988" spans="1:9" hidden="1" x14ac:dyDescent="0.2">
      <c r="A2988" s="6">
        <v>44098.708333333336</v>
      </c>
      <c r="B2988" s="1" t="s">
        <v>17</v>
      </c>
      <c r="C2988">
        <v>14</v>
      </c>
      <c r="D2988">
        <v>0</v>
      </c>
      <c r="E2988">
        <v>405</v>
      </c>
      <c r="F2988">
        <v>5806</v>
      </c>
      <c r="G2988" s="3">
        <f t="shared" si="138"/>
        <v>23</v>
      </c>
      <c r="H2988" s="4">
        <f t="shared" si="139"/>
        <v>3.9614192214949551E-3</v>
      </c>
      <c r="I2988" s="1">
        <f t="shared" si="140"/>
        <v>0</v>
      </c>
    </row>
    <row r="2989" spans="1:9" hidden="1" x14ac:dyDescent="0.2">
      <c r="A2989" s="6">
        <v>44099.708333333336</v>
      </c>
      <c r="B2989" s="1" t="s">
        <v>17</v>
      </c>
      <c r="C2989">
        <v>13</v>
      </c>
      <c r="D2989">
        <v>0</v>
      </c>
      <c r="E2989">
        <v>405</v>
      </c>
      <c r="F2989">
        <v>5829</v>
      </c>
      <c r="G2989" s="3">
        <f t="shared" si="138"/>
        <v>23</v>
      </c>
      <c r="H2989" s="4">
        <f t="shared" si="139"/>
        <v>3.9457882998799043E-3</v>
      </c>
      <c r="I2989" s="1">
        <f t="shared" si="140"/>
        <v>0</v>
      </c>
    </row>
    <row r="2990" spans="1:9" hidden="1" x14ac:dyDescent="0.2">
      <c r="A2990" s="6">
        <v>44100.708333333336</v>
      </c>
      <c r="B2990" s="1" t="s">
        <v>17</v>
      </c>
      <c r="C2990">
        <v>14</v>
      </c>
      <c r="D2990">
        <v>0</v>
      </c>
      <c r="E2990">
        <v>405</v>
      </c>
      <c r="F2990">
        <v>5880</v>
      </c>
      <c r="G2990" s="3">
        <f t="shared" si="138"/>
        <v>51</v>
      </c>
      <c r="H2990" s="4">
        <f t="shared" si="139"/>
        <v>8.6734693877551505E-3</v>
      </c>
      <c r="I2990" s="1">
        <f t="shared" si="140"/>
        <v>0</v>
      </c>
    </row>
    <row r="2991" spans="1:9" hidden="1" x14ac:dyDescent="0.2">
      <c r="A2991" s="6">
        <v>44101.708333333336</v>
      </c>
      <c r="B2991" s="1" t="s">
        <v>17</v>
      </c>
      <c r="C2991">
        <v>12</v>
      </c>
      <c r="D2991">
        <v>0</v>
      </c>
      <c r="E2991">
        <v>405</v>
      </c>
      <c r="F2991">
        <v>5922</v>
      </c>
      <c r="G2991" s="3">
        <f t="shared" si="138"/>
        <v>42</v>
      </c>
      <c r="H2991" s="4">
        <f t="shared" si="139"/>
        <v>7.0921985815602939E-3</v>
      </c>
      <c r="I2991" s="1">
        <f t="shared" si="140"/>
        <v>0</v>
      </c>
    </row>
    <row r="2992" spans="1:9" hidden="1" x14ac:dyDescent="0.2">
      <c r="A2992" s="6">
        <v>44102.708333333336</v>
      </c>
      <c r="B2992" s="1" t="s">
        <v>17</v>
      </c>
      <c r="C2992">
        <v>11</v>
      </c>
      <c r="D2992">
        <v>0</v>
      </c>
      <c r="E2992">
        <v>406</v>
      </c>
      <c r="F2992">
        <v>5942</v>
      </c>
      <c r="G2992" s="3">
        <f t="shared" si="138"/>
        <v>20</v>
      </c>
      <c r="H2992" s="4">
        <f t="shared" si="139"/>
        <v>3.3658700774149564E-3</v>
      </c>
      <c r="I2992" s="1">
        <f t="shared" si="140"/>
        <v>1</v>
      </c>
    </row>
    <row r="2993" spans="1:9" hidden="1" x14ac:dyDescent="0.2">
      <c r="A2993" s="6">
        <v>44103.708333333336</v>
      </c>
      <c r="B2993" s="1" t="s">
        <v>17</v>
      </c>
      <c r="C2993">
        <v>11</v>
      </c>
      <c r="D2993">
        <v>0</v>
      </c>
      <c r="E2993">
        <v>406</v>
      </c>
      <c r="F2993">
        <v>5955</v>
      </c>
      <c r="G2993" s="3">
        <f t="shared" si="138"/>
        <v>13</v>
      </c>
      <c r="H2993" s="4">
        <f t="shared" si="139"/>
        <v>2.1830394626364269E-3</v>
      </c>
      <c r="I2993" s="1">
        <f t="shared" si="140"/>
        <v>0</v>
      </c>
    </row>
    <row r="2994" spans="1:9" hidden="1" x14ac:dyDescent="0.2">
      <c r="A2994" s="6">
        <v>44104.708333333336</v>
      </c>
      <c r="B2994" s="1" t="s">
        <v>17</v>
      </c>
      <c r="C2994">
        <v>14</v>
      </c>
      <c r="D2994">
        <v>0</v>
      </c>
      <c r="E2994">
        <v>406</v>
      </c>
      <c r="F2994">
        <v>5992</v>
      </c>
      <c r="G2994" s="3">
        <f t="shared" si="138"/>
        <v>37</v>
      </c>
      <c r="H2994" s="4">
        <f t="shared" si="139"/>
        <v>6.1748998664886701E-3</v>
      </c>
      <c r="I2994" s="1">
        <f t="shared" si="140"/>
        <v>0</v>
      </c>
    </row>
    <row r="2995" spans="1:9" hidden="1" x14ac:dyDescent="0.2">
      <c r="A2995" s="6">
        <v>44105.708333333336</v>
      </c>
      <c r="B2995" s="1" t="s">
        <v>17</v>
      </c>
      <c r="C2995">
        <v>15</v>
      </c>
      <c r="D2995">
        <v>0</v>
      </c>
      <c r="E2995">
        <v>406</v>
      </c>
      <c r="F2995">
        <v>6040</v>
      </c>
      <c r="G2995" s="3">
        <f t="shared" si="138"/>
        <v>48</v>
      </c>
      <c r="H2995" s="4">
        <f t="shared" si="139"/>
        <v>7.9470198675496428E-3</v>
      </c>
      <c r="I2995" s="1">
        <f t="shared" si="140"/>
        <v>0</v>
      </c>
    </row>
    <row r="2996" spans="1:9" hidden="1" x14ac:dyDescent="0.2">
      <c r="A2996" s="6">
        <v>44106.708333333336</v>
      </c>
      <c r="B2996" s="1" t="s">
        <v>17</v>
      </c>
      <c r="C2996">
        <v>16</v>
      </c>
      <c r="D2996">
        <v>0</v>
      </c>
      <c r="E2996">
        <v>406</v>
      </c>
      <c r="F2996">
        <v>6079</v>
      </c>
      <c r="G2996" s="3">
        <f t="shared" si="138"/>
        <v>39</v>
      </c>
      <c r="H2996" s="4">
        <f t="shared" si="139"/>
        <v>6.4155288698799495E-3</v>
      </c>
      <c r="I2996" s="1">
        <f t="shared" si="140"/>
        <v>0</v>
      </c>
    </row>
    <row r="2997" spans="1:9" hidden="1" x14ac:dyDescent="0.2">
      <c r="A2997" s="6">
        <v>44107.708333333336</v>
      </c>
      <c r="B2997" s="1" t="s">
        <v>17</v>
      </c>
      <c r="C2997">
        <v>16</v>
      </c>
      <c r="D2997">
        <v>0</v>
      </c>
      <c r="E2997">
        <v>406</v>
      </c>
      <c r="F2997">
        <v>6141</v>
      </c>
      <c r="G2997" s="3">
        <f t="shared" si="138"/>
        <v>62</v>
      </c>
      <c r="H2997" s="4">
        <f t="shared" si="139"/>
        <v>1.0096075557726736E-2</v>
      </c>
      <c r="I2997" s="1">
        <f t="shared" si="140"/>
        <v>0</v>
      </c>
    </row>
    <row r="2998" spans="1:9" hidden="1" x14ac:dyDescent="0.2">
      <c r="A2998" s="6">
        <v>44108.708333333336</v>
      </c>
      <c r="B2998" s="1" t="s">
        <v>17</v>
      </c>
      <c r="C2998">
        <v>17</v>
      </c>
      <c r="D2998">
        <v>0</v>
      </c>
      <c r="E2998">
        <v>406</v>
      </c>
      <c r="F2998">
        <v>6175</v>
      </c>
      <c r="G2998" s="3">
        <f t="shared" si="138"/>
        <v>34</v>
      </c>
      <c r="H2998" s="4">
        <f t="shared" si="139"/>
        <v>5.5060728744938947E-3</v>
      </c>
      <c r="I2998" s="1">
        <f t="shared" si="140"/>
        <v>0</v>
      </c>
    </row>
    <row r="2999" spans="1:9" hidden="1" x14ac:dyDescent="0.2">
      <c r="A2999" s="6">
        <v>44109.708333333336</v>
      </c>
      <c r="B2999" s="1" t="s">
        <v>17</v>
      </c>
      <c r="C2999">
        <v>17</v>
      </c>
      <c r="D2999">
        <v>0</v>
      </c>
      <c r="E2999">
        <v>406</v>
      </c>
      <c r="F2999">
        <v>6224</v>
      </c>
      <c r="G2999" s="3">
        <f t="shared" si="138"/>
        <v>49</v>
      </c>
      <c r="H2999" s="4">
        <f t="shared" si="139"/>
        <v>7.8727506426735649E-3</v>
      </c>
      <c r="I2999" s="1">
        <f t="shared" si="140"/>
        <v>0</v>
      </c>
    </row>
    <row r="3000" spans="1:9" hidden="1" x14ac:dyDescent="0.2">
      <c r="A3000" s="6">
        <v>44110.708333333336</v>
      </c>
      <c r="B3000" s="1" t="s">
        <v>17</v>
      </c>
      <c r="C3000">
        <v>22</v>
      </c>
      <c r="D3000">
        <v>0</v>
      </c>
      <c r="E3000">
        <v>406</v>
      </c>
      <c r="F3000">
        <v>6264</v>
      </c>
      <c r="G3000" s="3">
        <f t="shared" si="138"/>
        <v>40</v>
      </c>
      <c r="H3000" s="4">
        <f t="shared" si="139"/>
        <v>6.3856960408684715E-3</v>
      </c>
      <c r="I3000" s="1">
        <f t="shared" si="140"/>
        <v>0</v>
      </c>
    </row>
    <row r="3001" spans="1:9" hidden="1" x14ac:dyDescent="0.2">
      <c r="A3001" s="6">
        <v>44111.708333333336</v>
      </c>
      <c r="B3001" s="1" t="s">
        <v>17</v>
      </c>
      <c r="C3001">
        <v>18</v>
      </c>
      <c r="D3001">
        <v>0</v>
      </c>
      <c r="E3001">
        <v>406</v>
      </c>
      <c r="F3001">
        <v>6296</v>
      </c>
      <c r="G3001" s="3">
        <f t="shared" si="138"/>
        <v>32</v>
      </c>
      <c r="H3001" s="4">
        <f t="shared" si="139"/>
        <v>5.0825921219822545E-3</v>
      </c>
      <c r="I3001" s="1">
        <f t="shared" si="140"/>
        <v>0</v>
      </c>
    </row>
    <row r="3002" spans="1:9" hidden="1" x14ac:dyDescent="0.2">
      <c r="A3002" s="6">
        <v>44112.708333333336</v>
      </c>
      <c r="B3002" s="1" t="s">
        <v>17</v>
      </c>
      <c r="C3002">
        <v>18</v>
      </c>
      <c r="D3002">
        <v>0</v>
      </c>
      <c r="E3002">
        <v>406</v>
      </c>
      <c r="F3002">
        <v>6355</v>
      </c>
      <c r="G3002" s="3">
        <f t="shared" si="138"/>
        <v>59</v>
      </c>
      <c r="H3002" s="4">
        <f t="shared" si="139"/>
        <v>9.2840283241542032E-3</v>
      </c>
      <c r="I3002" s="1">
        <f t="shared" si="140"/>
        <v>0</v>
      </c>
    </row>
    <row r="3003" spans="1:9" hidden="1" x14ac:dyDescent="0.2">
      <c r="A3003" s="6">
        <v>44113.708333333336</v>
      </c>
      <c r="B3003" s="1" t="s">
        <v>17</v>
      </c>
      <c r="C3003">
        <v>20</v>
      </c>
      <c r="D3003">
        <v>0</v>
      </c>
      <c r="E3003">
        <v>406</v>
      </c>
      <c r="F3003">
        <v>6394</v>
      </c>
      <c r="G3003" s="3">
        <f t="shared" si="138"/>
        <v>39</v>
      </c>
      <c r="H3003" s="4">
        <f t="shared" si="139"/>
        <v>6.0994682514857734E-3</v>
      </c>
      <c r="I3003" s="1">
        <f t="shared" si="140"/>
        <v>0</v>
      </c>
    </row>
    <row r="3004" spans="1:9" hidden="1" x14ac:dyDescent="0.2">
      <c r="A3004" s="6">
        <v>44114.708333333336</v>
      </c>
      <c r="B3004" s="1" t="s">
        <v>17</v>
      </c>
      <c r="C3004">
        <v>19</v>
      </c>
      <c r="D3004">
        <v>0</v>
      </c>
      <c r="E3004">
        <v>408</v>
      </c>
      <c r="F3004">
        <v>6444</v>
      </c>
      <c r="G3004" s="3">
        <f t="shared" si="138"/>
        <v>50</v>
      </c>
      <c r="H3004" s="4">
        <f t="shared" si="139"/>
        <v>7.7591558038485609E-3</v>
      </c>
      <c r="I3004" s="1">
        <f t="shared" si="140"/>
        <v>2</v>
      </c>
    </row>
    <row r="3005" spans="1:9" hidden="1" x14ac:dyDescent="0.2">
      <c r="A3005" s="6">
        <v>44115.708333333336</v>
      </c>
      <c r="B3005" s="1" t="s">
        <v>17</v>
      </c>
      <c r="C3005">
        <v>19</v>
      </c>
      <c r="D3005">
        <v>0</v>
      </c>
      <c r="E3005">
        <v>408</v>
      </c>
      <c r="F3005">
        <v>6483</v>
      </c>
      <c r="G3005" s="3">
        <f t="shared" si="138"/>
        <v>39</v>
      </c>
      <c r="H3005" s="4">
        <f t="shared" si="139"/>
        <v>6.0157334567330079E-3</v>
      </c>
      <c r="I3005" s="1">
        <f t="shared" si="140"/>
        <v>0</v>
      </c>
    </row>
    <row r="3006" spans="1:9" hidden="1" x14ac:dyDescent="0.2">
      <c r="A3006" s="6">
        <v>43885.75</v>
      </c>
      <c r="B3006" s="1" t="s">
        <v>18</v>
      </c>
      <c r="C3006">
        <v>2</v>
      </c>
      <c r="D3006">
        <v>0</v>
      </c>
      <c r="E3006">
        <v>0</v>
      </c>
      <c r="F3006">
        <v>3</v>
      </c>
      <c r="G3006" s="3">
        <f t="shared" si="138"/>
        <v>0</v>
      </c>
      <c r="H3006" s="4">
        <f t="shared" si="139"/>
        <v>0</v>
      </c>
      <c r="I3006" s="1">
        <f t="shared" si="140"/>
        <v>0</v>
      </c>
    </row>
    <row r="3007" spans="1:9" hidden="1" x14ac:dyDescent="0.2">
      <c r="A3007" s="6">
        <v>43886.75</v>
      </c>
      <c r="B3007" s="1" t="s">
        <v>18</v>
      </c>
      <c r="C3007">
        <v>2</v>
      </c>
      <c r="D3007">
        <v>0</v>
      </c>
      <c r="E3007">
        <v>0</v>
      </c>
      <c r="F3007">
        <v>3</v>
      </c>
      <c r="G3007" s="3">
        <f t="shared" si="138"/>
        <v>0</v>
      </c>
      <c r="H3007" s="4">
        <f t="shared" si="139"/>
        <v>0</v>
      </c>
      <c r="I3007" s="1">
        <f t="shared" si="140"/>
        <v>0</v>
      </c>
    </row>
    <row r="3008" spans="1:9" hidden="1" x14ac:dyDescent="0.2">
      <c r="A3008" s="6">
        <v>43887.75</v>
      </c>
      <c r="B3008" s="1" t="s">
        <v>18</v>
      </c>
      <c r="C3008">
        <v>2</v>
      </c>
      <c r="D3008">
        <v>0</v>
      </c>
      <c r="E3008">
        <v>0</v>
      </c>
      <c r="F3008">
        <v>3</v>
      </c>
      <c r="G3008" s="3">
        <f t="shared" si="138"/>
        <v>0</v>
      </c>
      <c r="H3008" s="4">
        <f t="shared" si="139"/>
        <v>0</v>
      </c>
      <c r="I3008" s="1">
        <f t="shared" si="140"/>
        <v>0</v>
      </c>
    </row>
    <row r="3009" spans="1:9" hidden="1" x14ac:dyDescent="0.2">
      <c r="A3009" s="6">
        <v>43888.75</v>
      </c>
      <c r="B3009" s="1" t="s">
        <v>18</v>
      </c>
      <c r="C3009">
        <v>2</v>
      </c>
      <c r="D3009">
        <v>0</v>
      </c>
      <c r="E3009">
        <v>0</v>
      </c>
      <c r="F3009">
        <v>2</v>
      </c>
      <c r="G3009" s="3">
        <f t="shared" si="138"/>
        <v>-1</v>
      </c>
      <c r="H3009" s="4">
        <f t="shared" si="139"/>
        <v>-0.5</v>
      </c>
      <c r="I3009" s="1">
        <f t="shared" si="140"/>
        <v>0</v>
      </c>
    </row>
    <row r="3010" spans="1:9" hidden="1" x14ac:dyDescent="0.2">
      <c r="A3010" s="6">
        <v>43889.75</v>
      </c>
      <c r="B3010" s="1" t="s">
        <v>18</v>
      </c>
      <c r="C3010">
        <v>7</v>
      </c>
      <c r="D3010">
        <v>0</v>
      </c>
      <c r="E3010">
        <v>0</v>
      </c>
      <c r="F3010">
        <v>11</v>
      </c>
      <c r="G3010" s="3">
        <f t="shared" si="138"/>
        <v>9</v>
      </c>
      <c r="H3010" s="4">
        <f t="shared" si="139"/>
        <v>0.81818181818181812</v>
      </c>
      <c r="I3010" s="1">
        <f t="shared" si="140"/>
        <v>0</v>
      </c>
    </row>
    <row r="3011" spans="1:9" hidden="1" x14ac:dyDescent="0.2">
      <c r="A3011" s="6">
        <v>43890.708333333336</v>
      </c>
      <c r="B3011" s="1" t="s">
        <v>18</v>
      </c>
      <c r="C3011">
        <v>7</v>
      </c>
      <c r="D3011">
        <v>0</v>
      </c>
      <c r="E3011">
        <v>0</v>
      </c>
      <c r="F3011">
        <v>11</v>
      </c>
      <c r="G3011" s="3">
        <f t="shared" ref="G3011:G3074" si="141">IF(AND(F3011&gt;0,AND(B3011=B3010,F3011&gt;0)),F3011-F3010,0)</f>
        <v>0</v>
      </c>
      <c r="H3011" s="4">
        <f t="shared" ref="H3011:H3074" si="142">IF(AND(F3010&gt;0,AND(B3011=B3010,F3010&gt;0)),1-(F3010/F3011),0)</f>
        <v>0</v>
      </c>
      <c r="I3011" s="1">
        <f t="shared" ref="I3011:I3074" si="143">IF(AND(E3011&gt;0,AND(B3011=B3010,E3011&gt;0)),E3011-E3010,0)</f>
        <v>0</v>
      </c>
    </row>
    <row r="3012" spans="1:9" hidden="1" x14ac:dyDescent="0.2">
      <c r="A3012" s="6">
        <v>43891.708333333336</v>
      </c>
      <c r="B3012" s="1" t="s">
        <v>18</v>
      </c>
      <c r="C3012">
        <v>11</v>
      </c>
      <c r="D3012">
        <v>2</v>
      </c>
      <c r="E3012">
        <v>0</v>
      </c>
      <c r="F3012">
        <v>49</v>
      </c>
      <c r="G3012" s="3">
        <f t="shared" si="141"/>
        <v>38</v>
      </c>
      <c r="H3012" s="4">
        <f t="shared" si="142"/>
        <v>0.77551020408163263</v>
      </c>
      <c r="I3012" s="1">
        <f t="shared" si="143"/>
        <v>0</v>
      </c>
    </row>
    <row r="3013" spans="1:9" hidden="1" x14ac:dyDescent="0.2">
      <c r="A3013" s="6">
        <v>43892.75</v>
      </c>
      <c r="B3013" s="1" t="s">
        <v>18</v>
      </c>
      <c r="C3013">
        <v>12</v>
      </c>
      <c r="D3013">
        <v>2</v>
      </c>
      <c r="E3013">
        <v>0</v>
      </c>
      <c r="F3013">
        <v>51</v>
      </c>
      <c r="G3013" s="3">
        <f t="shared" si="141"/>
        <v>2</v>
      </c>
      <c r="H3013" s="4">
        <f t="shared" si="142"/>
        <v>3.9215686274509776E-2</v>
      </c>
      <c r="I3013" s="1">
        <f t="shared" si="143"/>
        <v>0</v>
      </c>
    </row>
    <row r="3014" spans="1:9" hidden="1" x14ac:dyDescent="0.2">
      <c r="A3014" s="6">
        <v>43893.75</v>
      </c>
      <c r="B3014" s="1" t="s">
        <v>18</v>
      </c>
      <c r="C3014">
        <v>13</v>
      </c>
      <c r="D3014">
        <v>3</v>
      </c>
      <c r="E3014">
        <v>0</v>
      </c>
      <c r="F3014">
        <v>56</v>
      </c>
      <c r="G3014" s="3">
        <f t="shared" si="141"/>
        <v>5</v>
      </c>
      <c r="H3014" s="4">
        <f t="shared" si="142"/>
        <v>8.9285714285714302E-2</v>
      </c>
      <c r="I3014" s="1">
        <f t="shared" si="143"/>
        <v>0</v>
      </c>
    </row>
    <row r="3015" spans="1:9" hidden="1" x14ac:dyDescent="0.2">
      <c r="A3015" s="6">
        <v>43894.708333333336</v>
      </c>
      <c r="B3015" s="1" t="s">
        <v>18</v>
      </c>
      <c r="C3015">
        <v>26</v>
      </c>
      <c r="D3015">
        <v>13</v>
      </c>
      <c r="E3015">
        <v>0</v>
      </c>
      <c r="F3015">
        <v>82</v>
      </c>
      <c r="G3015" s="3">
        <f t="shared" si="141"/>
        <v>26</v>
      </c>
      <c r="H3015" s="4">
        <f t="shared" si="142"/>
        <v>0.31707317073170727</v>
      </c>
      <c r="I3015" s="1">
        <f t="shared" si="143"/>
        <v>0</v>
      </c>
    </row>
    <row r="3016" spans="1:9" hidden="1" x14ac:dyDescent="0.2">
      <c r="A3016" s="6">
        <v>43895.708333333336</v>
      </c>
      <c r="B3016" s="1" t="s">
        <v>18</v>
      </c>
      <c r="C3016">
        <v>43</v>
      </c>
      <c r="D3016">
        <v>17</v>
      </c>
      <c r="E3016">
        <v>2</v>
      </c>
      <c r="F3016">
        <v>108</v>
      </c>
      <c r="G3016" s="3">
        <f t="shared" si="141"/>
        <v>26</v>
      </c>
      <c r="H3016" s="4">
        <f t="shared" si="142"/>
        <v>0.2407407407407407</v>
      </c>
      <c r="I3016" s="1">
        <f t="shared" si="143"/>
        <v>2</v>
      </c>
    </row>
    <row r="3017" spans="1:9" hidden="1" x14ac:dyDescent="0.2">
      <c r="A3017" s="6">
        <v>43896.708333333336</v>
      </c>
      <c r="B3017" s="1" t="s">
        <v>18</v>
      </c>
      <c r="C3017">
        <v>57</v>
      </c>
      <c r="D3017">
        <v>30</v>
      </c>
      <c r="E3017">
        <v>4</v>
      </c>
      <c r="F3017">
        <v>143</v>
      </c>
      <c r="G3017" s="3">
        <f t="shared" si="141"/>
        <v>35</v>
      </c>
      <c r="H3017" s="4">
        <f t="shared" si="142"/>
        <v>0.24475524475524479</v>
      </c>
      <c r="I3017" s="1">
        <f t="shared" si="143"/>
        <v>2</v>
      </c>
    </row>
    <row r="3018" spans="1:9" hidden="1" x14ac:dyDescent="0.2">
      <c r="A3018" s="6">
        <v>43897.75</v>
      </c>
      <c r="B3018" s="1" t="s">
        <v>18</v>
      </c>
      <c r="C3018">
        <v>110</v>
      </c>
      <c r="D3018">
        <v>38</v>
      </c>
      <c r="E3018">
        <v>5</v>
      </c>
      <c r="F3018">
        <v>207</v>
      </c>
      <c r="G3018" s="3">
        <f t="shared" si="141"/>
        <v>64</v>
      </c>
      <c r="H3018" s="4">
        <f t="shared" si="142"/>
        <v>0.3091787439613527</v>
      </c>
      <c r="I3018" s="1">
        <f t="shared" si="143"/>
        <v>1</v>
      </c>
    </row>
    <row r="3019" spans="1:9" hidden="1" x14ac:dyDescent="0.2">
      <c r="A3019" s="6">
        <v>43898.75</v>
      </c>
      <c r="B3019" s="1" t="s">
        <v>18</v>
      </c>
      <c r="C3019">
        <v>245</v>
      </c>
      <c r="D3019">
        <v>45</v>
      </c>
      <c r="E3019">
        <v>5</v>
      </c>
      <c r="F3019">
        <v>360</v>
      </c>
      <c r="G3019" s="3">
        <f t="shared" si="141"/>
        <v>153</v>
      </c>
      <c r="H3019" s="4">
        <f t="shared" si="142"/>
        <v>0.42500000000000004</v>
      </c>
      <c r="I3019" s="1">
        <f t="shared" si="143"/>
        <v>0</v>
      </c>
    </row>
    <row r="3020" spans="1:9" hidden="1" x14ac:dyDescent="0.2">
      <c r="A3020" s="6">
        <v>43899.75</v>
      </c>
      <c r="B3020" s="1" t="s">
        <v>18</v>
      </c>
      <c r="C3020">
        <v>222</v>
      </c>
      <c r="D3020">
        <v>50</v>
      </c>
      <c r="E3020">
        <v>13</v>
      </c>
      <c r="F3020">
        <v>350</v>
      </c>
      <c r="G3020" s="3">
        <f t="shared" si="141"/>
        <v>-10</v>
      </c>
      <c r="H3020" s="4">
        <f t="shared" si="142"/>
        <v>-2.857142857142847E-2</v>
      </c>
      <c r="I3020" s="1">
        <f t="shared" si="143"/>
        <v>8</v>
      </c>
    </row>
    <row r="3021" spans="1:9" hidden="1" x14ac:dyDescent="0.2">
      <c r="A3021" s="6">
        <v>43900.75</v>
      </c>
      <c r="B3021" s="1" t="s">
        <v>18</v>
      </c>
      <c r="C3021">
        <v>306</v>
      </c>
      <c r="D3021">
        <v>66</v>
      </c>
      <c r="E3021">
        <v>17</v>
      </c>
      <c r="F3021">
        <v>453</v>
      </c>
      <c r="G3021" s="3">
        <f t="shared" si="141"/>
        <v>103</v>
      </c>
      <c r="H3021" s="4">
        <f t="shared" si="142"/>
        <v>0.22737306843267113</v>
      </c>
      <c r="I3021" s="1">
        <f t="shared" si="143"/>
        <v>4</v>
      </c>
    </row>
    <row r="3022" spans="1:9" hidden="1" x14ac:dyDescent="0.2">
      <c r="A3022" s="6">
        <v>43901.708333333336</v>
      </c>
      <c r="B3022" s="1" t="s">
        <v>18</v>
      </c>
      <c r="C3022">
        <v>319</v>
      </c>
      <c r="D3022">
        <v>75</v>
      </c>
      <c r="E3022">
        <v>21</v>
      </c>
      <c r="F3022">
        <v>501</v>
      </c>
      <c r="G3022" s="3">
        <f t="shared" si="141"/>
        <v>48</v>
      </c>
      <c r="H3022" s="4">
        <f t="shared" si="142"/>
        <v>9.5808383233532912E-2</v>
      </c>
      <c r="I3022" s="1">
        <f t="shared" si="143"/>
        <v>4</v>
      </c>
    </row>
    <row r="3023" spans="1:9" hidden="1" x14ac:dyDescent="0.2">
      <c r="A3023" s="6">
        <v>43902.708333333336</v>
      </c>
      <c r="B3023" s="1" t="s">
        <v>18</v>
      </c>
      <c r="C3023">
        <v>368</v>
      </c>
      <c r="D3023">
        <v>97</v>
      </c>
      <c r="E3023">
        <v>26</v>
      </c>
      <c r="F3023">
        <v>580</v>
      </c>
      <c r="G3023" s="3">
        <f t="shared" si="141"/>
        <v>79</v>
      </c>
      <c r="H3023" s="4">
        <f t="shared" si="142"/>
        <v>0.13620689655172413</v>
      </c>
      <c r="I3023" s="1">
        <f t="shared" si="143"/>
        <v>5</v>
      </c>
    </row>
    <row r="3024" spans="1:9" hidden="1" x14ac:dyDescent="0.2">
      <c r="A3024" s="6">
        <v>43903.708333333336</v>
      </c>
      <c r="B3024" s="1" t="s">
        <v>18</v>
      </c>
      <c r="C3024">
        <v>556</v>
      </c>
      <c r="D3024">
        <v>135</v>
      </c>
      <c r="E3024">
        <v>46</v>
      </c>
      <c r="F3024">
        <v>840</v>
      </c>
      <c r="G3024" s="3">
        <f t="shared" si="141"/>
        <v>260</v>
      </c>
      <c r="H3024" s="4">
        <f t="shared" si="142"/>
        <v>0.30952380952380953</v>
      </c>
      <c r="I3024" s="1">
        <f t="shared" si="143"/>
        <v>20</v>
      </c>
    </row>
    <row r="3025" spans="1:9" hidden="1" x14ac:dyDescent="0.2">
      <c r="A3025" s="6">
        <v>43904.708333333336</v>
      </c>
      <c r="B3025" s="1" t="s">
        <v>18</v>
      </c>
      <c r="C3025">
        <v>538</v>
      </c>
      <c r="D3025">
        <v>150</v>
      </c>
      <c r="E3025">
        <v>59</v>
      </c>
      <c r="F3025">
        <v>873</v>
      </c>
      <c r="G3025" s="3">
        <f t="shared" si="141"/>
        <v>33</v>
      </c>
      <c r="H3025" s="4">
        <f t="shared" si="142"/>
        <v>3.7800687285223344E-2</v>
      </c>
      <c r="I3025" s="1">
        <f t="shared" si="143"/>
        <v>13</v>
      </c>
    </row>
    <row r="3026" spans="1:9" hidden="1" x14ac:dyDescent="0.2">
      <c r="A3026" s="6">
        <v>43905.708333333336</v>
      </c>
      <c r="B3026" s="1" t="s">
        <v>18</v>
      </c>
      <c r="C3026">
        <v>726</v>
      </c>
      <c r="D3026">
        <v>171</v>
      </c>
      <c r="E3026">
        <v>81</v>
      </c>
      <c r="F3026">
        <v>1111</v>
      </c>
      <c r="G3026" s="3">
        <f t="shared" si="141"/>
        <v>238</v>
      </c>
      <c r="H3026" s="4">
        <f t="shared" si="142"/>
        <v>0.21422142214221418</v>
      </c>
      <c r="I3026" s="1">
        <f t="shared" si="143"/>
        <v>22</v>
      </c>
    </row>
    <row r="3027" spans="1:9" hidden="1" x14ac:dyDescent="0.2">
      <c r="A3027" s="6">
        <v>43906.708333333336</v>
      </c>
      <c r="B3027" s="1" t="s">
        <v>18</v>
      </c>
      <c r="C3027">
        <v>1045</v>
      </c>
      <c r="D3027">
        <v>186</v>
      </c>
      <c r="E3027">
        <v>111</v>
      </c>
      <c r="F3027">
        <v>1516</v>
      </c>
      <c r="G3027" s="3">
        <f t="shared" si="141"/>
        <v>405</v>
      </c>
      <c r="H3027" s="4">
        <f t="shared" si="142"/>
        <v>0.26715039577836408</v>
      </c>
      <c r="I3027" s="1">
        <f t="shared" si="143"/>
        <v>30</v>
      </c>
    </row>
    <row r="3028" spans="1:9" hidden="1" x14ac:dyDescent="0.2">
      <c r="A3028" s="6">
        <v>43907.708333333336</v>
      </c>
      <c r="B3028" s="1" t="s">
        <v>18</v>
      </c>
      <c r="C3028">
        <v>1378</v>
      </c>
      <c r="D3028">
        <v>206</v>
      </c>
      <c r="E3028">
        <v>133</v>
      </c>
      <c r="F3028">
        <v>1897</v>
      </c>
      <c r="G3028" s="3">
        <f t="shared" si="141"/>
        <v>381</v>
      </c>
      <c r="H3028" s="4">
        <f t="shared" si="142"/>
        <v>0.20084343700579865</v>
      </c>
      <c r="I3028" s="1">
        <f t="shared" si="143"/>
        <v>22</v>
      </c>
    </row>
    <row r="3029" spans="1:9" hidden="1" x14ac:dyDescent="0.2">
      <c r="A3029" s="6">
        <v>43908.708333333336</v>
      </c>
      <c r="B3029" s="1" t="s">
        <v>18</v>
      </c>
      <c r="C3029">
        <v>1780</v>
      </c>
      <c r="D3029">
        <v>227</v>
      </c>
      <c r="E3029">
        <v>154</v>
      </c>
      <c r="F3029">
        <v>2341</v>
      </c>
      <c r="G3029" s="3">
        <f t="shared" si="141"/>
        <v>444</v>
      </c>
      <c r="H3029" s="4">
        <f t="shared" si="142"/>
        <v>0.18966253737718919</v>
      </c>
      <c r="I3029" s="1">
        <f t="shared" si="143"/>
        <v>21</v>
      </c>
    </row>
    <row r="3030" spans="1:9" hidden="1" x14ac:dyDescent="0.2">
      <c r="A3030" s="6">
        <v>43909.708333333336</v>
      </c>
      <c r="B3030" s="1" t="s">
        <v>18</v>
      </c>
      <c r="C3030">
        <v>2279</v>
      </c>
      <c r="D3030">
        <v>257</v>
      </c>
      <c r="E3030">
        <v>175</v>
      </c>
      <c r="F3030">
        <v>2932</v>
      </c>
      <c r="G3030" s="3">
        <f t="shared" si="141"/>
        <v>591</v>
      </c>
      <c r="H3030" s="4">
        <f t="shared" si="142"/>
        <v>0.20156889495225105</v>
      </c>
      <c r="I3030" s="1">
        <f t="shared" si="143"/>
        <v>21</v>
      </c>
    </row>
    <row r="3031" spans="1:9" hidden="1" x14ac:dyDescent="0.2">
      <c r="A3031" s="6">
        <v>43910.708333333336</v>
      </c>
      <c r="B3031" s="1" t="s">
        <v>18</v>
      </c>
      <c r="C3031">
        <v>1541</v>
      </c>
      <c r="D3031">
        <v>280</v>
      </c>
      <c r="E3031">
        <v>209</v>
      </c>
      <c r="F3031">
        <v>3461</v>
      </c>
      <c r="G3031" s="3">
        <f t="shared" si="141"/>
        <v>529</v>
      </c>
      <c r="H3031" s="4">
        <f t="shared" si="142"/>
        <v>0.152845998266397</v>
      </c>
      <c r="I3031" s="1">
        <f t="shared" si="143"/>
        <v>34</v>
      </c>
    </row>
    <row r="3032" spans="1:9" hidden="1" x14ac:dyDescent="0.2">
      <c r="A3032" s="6">
        <v>43911.708333333336</v>
      </c>
      <c r="B3032" s="1" t="s">
        <v>18</v>
      </c>
      <c r="C3032">
        <v>1976</v>
      </c>
      <c r="D3032">
        <v>301</v>
      </c>
      <c r="E3032">
        <v>238</v>
      </c>
      <c r="F3032">
        <v>3752</v>
      </c>
      <c r="G3032" s="3">
        <f t="shared" si="141"/>
        <v>291</v>
      </c>
      <c r="H3032" s="4">
        <f t="shared" si="142"/>
        <v>7.7558635394456288E-2</v>
      </c>
      <c r="I3032" s="1">
        <f t="shared" si="143"/>
        <v>29</v>
      </c>
    </row>
    <row r="3033" spans="1:9" hidden="1" x14ac:dyDescent="0.2">
      <c r="A3033" s="6">
        <v>43912.708333333336</v>
      </c>
      <c r="B3033" s="1" t="s">
        <v>18</v>
      </c>
      <c r="C3033">
        <v>2118</v>
      </c>
      <c r="D3033">
        <v>308</v>
      </c>
      <c r="E3033">
        <v>283</v>
      </c>
      <c r="F3033">
        <v>4420</v>
      </c>
      <c r="G3033" s="3">
        <f t="shared" si="141"/>
        <v>668</v>
      </c>
      <c r="H3033" s="4">
        <f t="shared" si="142"/>
        <v>0.15113122171945703</v>
      </c>
      <c r="I3033" s="1">
        <f t="shared" si="143"/>
        <v>45</v>
      </c>
    </row>
    <row r="3034" spans="1:9" hidden="1" x14ac:dyDescent="0.2">
      <c r="A3034" s="6">
        <v>43913.708333333336</v>
      </c>
      <c r="B3034" s="1" t="s">
        <v>18</v>
      </c>
      <c r="C3034">
        <v>2194</v>
      </c>
      <c r="D3034">
        <v>343</v>
      </c>
      <c r="E3034">
        <v>315</v>
      </c>
      <c r="F3034">
        <v>4861</v>
      </c>
      <c r="G3034" s="3">
        <f t="shared" si="141"/>
        <v>441</v>
      </c>
      <c r="H3034" s="4">
        <f t="shared" si="142"/>
        <v>9.0722073647397705E-2</v>
      </c>
      <c r="I3034" s="1">
        <f t="shared" si="143"/>
        <v>32</v>
      </c>
    </row>
    <row r="3035" spans="1:9" hidden="1" x14ac:dyDescent="0.2">
      <c r="A3035" s="6">
        <v>43914.708333333336</v>
      </c>
      <c r="B3035" s="1" t="s">
        <v>18</v>
      </c>
      <c r="C3035">
        <v>2404</v>
      </c>
      <c r="D3035">
        <v>360</v>
      </c>
      <c r="E3035">
        <v>374</v>
      </c>
      <c r="F3035">
        <v>5515</v>
      </c>
      <c r="G3035" s="3">
        <f t="shared" si="141"/>
        <v>654</v>
      </c>
      <c r="H3035" s="4">
        <f t="shared" si="142"/>
        <v>0.11858567543064369</v>
      </c>
      <c r="I3035" s="1">
        <f t="shared" si="143"/>
        <v>59</v>
      </c>
    </row>
    <row r="3036" spans="1:9" hidden="1" x14ac:dyDescent="0.2">
      <c r="A3036" s="6">
        <v>43915.708333333336</v>
      </c>
      <c r="B3036" s="1" t="s">
        <v>18</v>
      </c>
      <c r="C3036">
        <v>2544</v>
      </c>
      <c r="D3036">
        <v>381</v>
      </c>
      <c r="E3036">
        <v>449</v>
      </c>
      <c r="F3036">
        <v>6024</v>
      </c>
      <c r="G3036" s="3">
        <f t="shared" si="141"/>
        <v>509</v>
      </c>
      <c r="H3036" s="4">
        <f t="shared" si="142"/>
        <v>8.4495351925630846E-2</v>
      </c>
      <c r="I3036" s="1">
        <f t="shared" si="143"/>
        <v>75</v>
      </c>
    </row>
    <row r="3037" spans="1:9" hidden="1" x14ac:dyDescent="0.2">
      <c r="A3037" s="6">
        <v>43916.708333333336</v>
      </c>
      <c r="B3037" s="1" t="s">
        <v>18</v>
      </c>
      <c r="C3037">
        <v>2633</v>
      </c>
      <c r="D3037">
        <v>408</v>
      </c>
      <c r="E3037">
        <v>449</v>
      </c>
      <c r="F3037">
        <v>6534</v>
      </c>
      <c r="G3037" s="3">
        <f t="shared" si="141"/>
        <v>510</v>
      </c>
      <c r="H3037" s="4">
        <f t="shared" si="142"/>
        <v>7.8053259871441738E-2</v>
      </c>
      <c r="I3037" s="1">
        <f t="shared" si="143"/>
        <v>0</v>
      </c>
    </row>
    <row r="3038" spans="1:9" hidden="1" x14ac:dyDescent="0.2">
      <c r="A3038" s="6">
        <v>43917.708333333336</v>
      </c>
      <c r="B3038" s="1" t="s">
        <v>18</v>
      </c>
      <c r="C3038">
        <v>2852</v>
      </c>
      <c r="D3038">
        <v>431</v>
      </c>
      <c r="E3038">
        <v>569</v>
      </c>
      <c r="F3038">
        <v>7092</v>
      </c>
      <c r="G3038" s="3">
        <f t="shared" si="141"/>
        <v>558</v>
      </c>
      <c r="H3038" s="4">
        <f t="shared" si="142"/>
        <v>7.8680203045685237E-2</v>
      </c>
      <c r="I3038" s="1">
        <f t="shared" si="143"/>
        <v>120</v>
      </c>
    </row>
    <row r="3039" spans="1:9" hidden="1" x14ac:dyDescent="0.2">
      <c r="A3039" s="6">
        <v>43918.708333333336</v>
      </c>
      <c r="B3039" s="1" t="s">
        <v>18</v>
      </c>
      <c r="C3039">
        <v>3094</v>
      </c>
      <c r="D3039">
        <v>439</v>
      </c>
      <c r="E3039">
        <v>617</v>
      </c>
      <c r="F3039">
        <v>7671</v>
      </c>
      <c r="G3039" s="3">
        <f t="shared" si="141"/>
        <v>579</v>
      </c>
      <c r="H3039" s="4">
        <f t="shared" si="142"/>
        <v>7.5479077043410281E-2</v>
      </c>
      <c r="I3039" s="1">
        <f t="shared" si="143"/>
        <v>48</v>
      </c>
    </row>
    <row r="3040" spans="1:9" hidden="1" x14ac:dyDescent="0.2">
      <c r="A3040" s="6">
        <v>43919.708333333336</v>
      </c>
      <c r="B3040" s="1" t="s">
        <v>18</v>
      </c>
      <c r="C3040">
        <v>2985</v>
      </c>
      <c r="D3040">
        <v>443</v>
      </c>
      <c r="E3040">
        <v>684</v>
      </c>
      <c r="F3040">
        <v>8206</v>
      </c>
      <c r="G3040" s="3">
        <f t="shared" si="141"/>
        <v>535</v>
      </c>
      <c r="H3040" s="4">
        <f t="shared" si="142"/>
        <v>6.5196197903972686E-2</v>
      </c>
      <c r="I3040" s="1">
        <f t="shared" si="143"/>
        <v>67</v>
      </c>
    </row>
    <row r="3041" spans="1:9" hidden="1" x14ac:dyDescent="0.2">
      <c r="A3041" s="6">
        <v>43920.708333333336</v>
      </c>
      <c r="B3041" s="1" t="s">
        <v>18</v>
      </c>
      <c r="C3041">
        <v>2985</v>
      </c>
      <c r="D3041">
        <v>452</v>
      </c>
      <c r="E3041">
        <v>749</v>
      </c>
      <c r="F3041">
        <v>8712</v>
      </c>
      <c r="G3041" s="3">
        <f t="shared" si="141"/>
        <v>506</v>
      </c>
      <c r="H3041" s="4">
        <f t="shared" si="142"/>
        <v>5.8080808080808066E-2</v>
      </c>
      <c r="I3041" s="1">
        <f t="shared" si="143"/>
        <v>65</v>
      </c>
    </row>
    <row r="3042" spans="1:9" hidden="1" x14ac:dyDescent="0.2">
      <c r="A3042" s="6">
        <v>43921.708333333336</v>
      </c>
      <c r="B3042" s="1" t="s">
        <v>18</v>
      </c>
      <c r="C3042">
        <v>3174</v>
      </c>
      <c r="D3042">
        <v>452</v>
      </c>
      <c r="E3042">
        <v>854</v>
      </c>
      <c r="F3042">
        <v>9301</v>
      </c>
      <c r="G3042" s="3">
        <f t="shared" si="141"/>
        <v>589</v>
      </c>
      <c r="H3042" s="4">
        <f t="shared" si="142"/>
        <v>6.3326524029674203E-2</v>
      </c>
      <c r="I3042" s="1">
        <f t="shared" si="143"/>
        <v>105</v>
      </c>
    </row>
    <row r="3043" spans="1:9" hidden="1" x14ac:dyDescent="0.2">
      <c r="A3043" s="6">
        <v>43922.708333333336</v>
      </c>
      <c r="B3043" s="1" t="s">
        <v>18</v>
      </c>
      <c r="C3043">
        <v>3146</v>
      </c>
      <c r="D3043">
        <v>453</v>
      </c>
      <c r="E3043">
        <v>886</v>
      </c>
      <c r="F3043">
        <v>9795</v>
      </c>
      <c r="G3043" s="3">
        <f t="shared" si="141"/>
        <v>494</v>
      </c>
      <c r="H3043" s="4">
        <f t="shared" si="142"/>
        <v>5.0433894844308269E-2</v>
      </c>
      <c r="I3043" s="1">
        <f t="shared" si="143"/>
        <v>32</v>
      </c>
    </row>
    <row r="3044" spans="1:9" hidden="1" x14ac:dyDescent="0.2">
      <c r="A3044" s="6">
        <v>43923.708333333336</v>
      </c>
      <c r="B3044" s="1" t="s">
        <v>18</v>
      </c>
      <c r="C3044">
        <v>3341</v>
      </c>
      <c r="D3044">
        <v>453</v>
      </c>
      <c r="E3044">
        <v>983</v>
      </c>
      <c r="F3044">
        <v>10353</v>
      </c>
      <c r="G3044" s="3">
        <f t="shared" si="141"/>
        <v>558</v>
      </c>
      <c r="H3044" s="4">
        <f t="shared" si="142"/>
        <v>5.3897421037380489E-2</v>
      </c>
      <c r="I3044" s="1">
        <f t="shared" si="143"/>
        <v>97</v>
      </c>
    </row>
    <row r="3045" spans="1:9" hidden="1" x14ac:dyDescent="0.2">
      <c r="A3045" s="6">
        <v>43924.708333333336</v>
      </c>
      <c r="B3045" s="1" t="s">
        <v>18</v>
      </c>
      <c r="C3045">
        <v>3300</v>
      </c>
      <c r="D3045">
        <v>452</v>
      </c>
      <c r="E3045">
        <v>1043</v>
      </c>
      <c r="F3045">
        <v>10896</v>
      </c>
      <c r="G3045" s="3">
        <f t="shared" si="141"/>
        <v>543</v>
      </c>
      <c r="H3045" s="4">
        <f t="shared" si="142"/>
        <v>4.9834801762114522E-2</v>
      </c>
      <c r="I3045" s="1">
        <f t="shared" si="143"/>
        <v>60</v>
      </c>
    </row>
    <row r="3046" spans="1:9" hidden="1" x14ac:dyDescent="0.2">
      <c r="A3046" s="6">
        <v>43925.708333333336</v>
      </c>
      <c r="B3046" s="1" t="s">
        <v>18</v>
      </c>
      <c r="C3046">
        <v>3441</v>
      </c>
      <c r="D3046">
        <v>450</v>
      </c>
      <c r="E3046">
        <v>1128</v>
      </c>
      <c r="F3046">
        <v>11709</v>
      </c>
      <c r="G3046" s="3">
        <f t="shared" si="141"/>
        <v>813</v>
      </c>
      <c r="H3046" s="4">
        <f t="shared" si="142"/>
        <v>6.9433768895721282E-2</v>
      </c>
      <c r="I3046" s="1">
        <f t="shared" si="143"/>
        <v>85</v>
      </c>
    </row>
    <row r="3047" spans="1:9" hidden="1" x14ac:dyDescent="0.2">
      <c r="A3047" s="6">
        <v>43926.708333333336</v>
      </c>
      <c r="B3047" s="1" t="s">
        <v>18</v>
      </c>
      <c r="C3047">
        <v>3472</v>
      </c>
      <c r="D3047">
        <v>444</v>
      </c>
      <c r="E3047">
        <v>1168</v>
      </c>
      <c r="F3047">
        <v>12362</v>
      </c>
      <c r="G3047" s="3">
        <f t="shared" si="141"/>
        <v>653</v>
      </c>
      <c r="H3047" s="4">
        <f t="shared" si="142"/>
        <v>5.2823167772205193E-2</v>
      </c>
      <c r="I3047" s="1">
        <f t="shared" si="143"/>
        <v>40</v>
      </c>
    </row>
    <row r="3048" spans="1:9" hidden="1" x14ac:dyDescent="0.2">
      <c r="A3048" s="6">
        <v>43927.708333333336</v>
      </c>
      <c r="B3048" s="1" t="s">
        <v>18</v>
      </c>
      <c r="C3048">
        <v>3484</v>
      </c>
      <c r="D3048">
        <v>438</v>
      </c>
      <c r="E3048">
        <v>1251</v>
      </c>
      <c r="F3048">
        <v>12924</v>
      </c>
      <c r="G3048" s="3">
        <f t="shared" si="141"/>
        <v>562</v>
      </c>
      <c r="H3048" s="4">
        <f t="shared" si="142"/>
        <v>4.3484989167440369E-2</v>
      </c>
      <c r="I3048" s="1">
        <f t="shared" si="143"/>
        <v>83</v>
      </c>
    </row>
    <row r="3049" spans="1:9" hidden="1" x14ac:dyDescent="0.2">
      <c r="A3049" s="6">
        <v>43928.708333333336</v>
      </c>
      <c r="B3049" s="1" t="s">
        <v>18</v>
      </c>
      <c r="C3049">
        <v>3553</v>
      </c>
      <c r="D3049">
        <v>432</v>
      </c>
      <c r="E3049">
        <v>1319</v>
      </c>
      <c r="F3049">
        <v>13343</v>
      </c>
      <c r="G3049" s="3">
        <f t="shared" si="141"/>
        <v>419</v>
      </c>
      <c r="H3049" s="4">
        <f t="shared" si="142"/>
        <v>3.140223338079895E-2</v>
      </c>
      <c r="I3049" s="1">
        <f t="shared" si="143"/>
        <v>68</v>
      </c>
    </row>
    <row r="3050" spans="1:9" hidden="1" x14ac:dyDescent="0.2">
      <c r="A3050" s="6">
        <v>43929.708333333336</v>
      </c>
      <c r="B3050" s="1" t="s">
        <v>18</v>
      </c>
      <c r="C3050">
        <v>3493</v>
      </c>
      <c r="D3050">
        <v>423</v>
      </c>
      <c r="E3050">
        <v>1378</v>
      </c>
      <c r="F3050">
        <v>13883</v>
      </c>
      <c r="G3050" s="3">
        <f t="shared" si="141"/>
        <v>540</v>
      </c>
      <c r="H3050" s="4">
        <f t="shared" si="142"/>
        <v>3.8896492112655778E-2</v>
      </c>
      <c r="I3050" s="1">
        <f t="shared" si="143"/>
        <v>59</v>
      </c>
    </row>
    <row r="3051" spans="1:9" hidden="1" x14ac:dyDescent="0.2">
      <c r="A3051" s="6">
        <v>43930.708333333336</v>
      </c>
      <c r="B3051" s="1" t="s">
        <v>18</v>
      </c>
      <c r="C3051">
        <v>3514</v>
      </c>
      <c r="D3051">
        <v>412</v>
      </c>
      <c r="E3051">
        <v>1454</v>
      </c>
      <c r="F3051">
        <v>14522</v>
      </c>
      <c r="G3051" s="3">
        <f t="shared" si="141"/>
        <v>639</v>
      </c>
      <c r="H3051" s="4">
        <f t="shared" si="142"/>
        <v>4.4002203553229591E-2</v>
      </c>
      <c r="I3051" s="1">
        <f t="shared" si="143"/>
        <v>76</v>
      </c>
    </row>
    <row r="3052" spans="1:9" hidden="1" x14ac:dyDescent="0.2">
      <c r="A3052" s="6">
        <v>43931.708333333336</v>
      </c>
      <c r="B3052" s="1" t="s">
        <v>18</v>
      </c>
      <c r="C3052">
        <v>3497</v>
      </c>
      <c r="D3052">
        <v>394</v>
      </c>
      <c r="E3052">
        <v>1532</v>
      </c>
      <c r="F3052">
        <v>15012</v>
      </c>
      <c r="G3052" s="3">
        <f t="shared" si="141"/>
        <v>490</v>
      </c>
      <c r="H3052" s="4">
        <f t="shared" si="142"/>
        <v>3.2640554223288043E-2</v>
      </c>
      <c r="I3052" s="1">
        <f t="shared" si="143"/>
        <v>78</v>
      </c>
    </row>
    <row r="3053" spans="1:9" hidden="1" x14ac:dyDescent="0.2">
      <c r="A3053" s="6">
        <v>43932.708333333336</v>
      </c>
      <c r="B3053" s="1" t="s">
        <v>18</v>
      </c>
      <c r="C3053">
        <v>3435</v>
      </c>
      <c r="D3053">
        <v>384</v>
      </c>
      <c r="E3053">
        <v>1633</v>
      </c>
      <c r="F3053">
        <v>16008</v>
      </c>
      <c r="G3053" s="3">
        <f t="shared" si="141"/>
        <v>996</v>
      </c>
      <c r="H3053" s="4">
        <f t="shared" si="142"/>
        <v>6.2218890554722628E-2</v>
      </c>
      <c r="I3053" s="1">
        <f t="shared" si="143"/>
        <v>101</v>
      </c>
    </row>
    <row r="3054" spans="1:9" hidden="1" x14ac:dyDescent="0.2">
      <c r="A3054" s="6">
        <v>43933.708333333336</v>
      </c>
      <c r="B3054" s="1" t="s">
        <v>18</v>
      </c>
      <c r="C3054">
        <v>3429</v>
      </c>
      <c r="D3054">
        <v>381</v>
      </c>
      <c r="E3054">
        <v>1729</v>
      </c>
      <c r="F3054">
        <v>16660</v>
      </c>
      <c r="G3054" s="3">
        <f t="shared" si="141"/>
        <v>652</v>
      </c>
      <c r="H3054" s="4">
        <f t="shared" si="142"/>
        <v>3.9135654261704733E-2</v>
      </c>
      <c r="I3054" s="1">
        <f t="shared" si="143"/>
        <v>96</v>
      </c>
    </row>
    <row r="3055" spans="1:9" hidden="1" x14ac:dyDescent="0.2">
      <c r="A3055" s="6">
        <v>43934.708333333336</v>
      </c>
      <c r="B3055" s="1" t="s">
        <v>18</v>
      </c>
      <c r="C3055">
        <v>3344</v>
      </c>
      <c r="D3055">
        <v>379</v>
      </c>
      <c r="E3055">
        <v>1826</v>
      </c>
      <c r="F3055">
        <v>17134</v>
      </c>
      <c r="G3055" s="3">
        <f t="shared" si="141"/>
        <v>474</v>
      </c>
      <c r="H3055" s="4">
        <f t="shared" si="142"/>
        <v>2.7664293218162772E-2</v>
      </c>
      <c r="I3055" s="1">
        <f t="shared" si="143"/>
        <v>97</v>
      </c>
    </row>
    <row r="3056" spans="1:9" hidden="1" x14ac:dyDescent="0.2">
      <c r="A3056" s="6">
        <v>43935.708333333336</v>
      </c>
      <c r="B3056" s="1" t="s">
        <v>18</v>
      </c>
      <c r="C3056">
        <v>3395</v>
      </c>
      <c r="D3056">
        <v>367</v>
      </c>
      <c r="E3056">
        <v>1927</v>
      </c>
      <c r="F3056">
        <v>17690</v>
      </c>
      <c r="G3056" s="3">
        <f t="shared" si="141"/>
        <v>556</v>
      </c>
      <c r="H3056" s="4">
        <f t="shared" si="142"/>
        <v>3.1430186546071215E-2</v>
      </c>
      <c r="I3056" s="1">
        <f t="shared" si="143"/>
        <v>101</v>
      </c>
    </row>
    <row r="3057" spans="1:9" hidden="1" x14ac:dyDescent="0.2">
      <c r="A3057" s="6">
        <v>43936.708333333336</v>
      </c>
      <c r="B3057" s="1" t="s">
        <v>18</v>
      </c>
      <c r="C3057">
        <v>3338</v>
      </c>
      <c r="D3057">
        <v>366</v>
      </c>
      <c r="E3057">
        <v>2015</v>
      </c>
      <c r="F3057">
        <v>18229</v>
      </c>
      <c r="G3057" s="3">
        <f t="shared" si="141"/>
        <v>539</v>
      </c>
      <c r="H3057" s="4">
        <f t="shared" si="142"/>
        <v>2.9568270338471647E-2</v>
      </c>
      <c r="I3057" s="1">
        <f t="shared" si="143"/>
        <v>88</v>
      </c>
    </row>
    <row r="3058" spans="1:9" hidden="1" x14ac:dyDescent="0.2">
      <c r="A3058" s="6">
        <v>43937.708333333336</v>
      </c>
      <c r="B3058" s="1" t="s">
        <v>18</v>
      </c>
      <c r="C3058">
        <v>3418</v>
      </c>
      <c r="D3058">
        <v>346</v>
      </c>
      <c r="E3058">
        <v>2094</v>
      </c>
      <c r="F3058">
        <v>19108</v>
      </c>
      <c r="G3058" s="3">
        <f t="shared" si="141"/>
        <v>879</v>
      </c>
      <c r="H3058" s="4">
        <f t="shared" si="142"/>
        <v>4.6001674691228844E-2</v>
      </c>
      <c r="I3058" s="1">
        <f t="shared" si="143"/>
        <v>79</v>
      </c>
    </row>
    <row r="3059" spans="1:9" hidden="1" x14ac:dyDescent="0.2">
      <c r="A3059" s="6">
        <v>43938.708333333336</v>
      </c>
      <c r="B3059" s="1" t="s">
        <v>18</v>
      </c>
      <c r="C3059">
        <v>3266</v>
      </c>
      <c r="D3059">
        <v>333</v>
      </c>
      <c r="E3059">
        <v>2171</v>
      </c>
      <c r="F3059">
        <v>19803</v>
      </c>
      <c r="G3059" s="3">
        <f t="shared" si="141"/>
        <v>695</v>
      </c>
      <c r="H3059" s="4">
        <f t="shared" si="142"/>
        <v>3.5095692571832537E-2</v>
      </c>
      <c r="I3059" s="1">
        <f t="shared" si="143"/>
        <v>77</v>
      </c>
    </row>
    <row r="3060" spans="1:9" hidden="1" x14ac:dyDescent="0.2">
      <c r="A3060" s="6">
        <v>43939.708333333336</v>
      </c>
      <c r="B3060" s="1" t="s">
        <v>18</v>
      </c>
      <c r="C3060">
        <v>3271</v>
      </c>
      <c r="D3060">
        <v>323</v>
      </c>
      <c r="E3060">
        <v>2252</v>
      </c>
      <c r="F3060">
        <v>20464</v>
      </c>
      <c r="G3060" s="3">
        <f t="shared" si="141"/>
        <v>661</v>
      </c>
      <c r="H3060" s="4">
        <f t="shared" si="142"/>
        <v>3.2300625488662971E-2</v>
      </c>
      <c r="I3060" s="1">
        <f t="shared" si="143"/>
        <v>81</v>
      </c>
    </row>
    <row r="3061" spans="1:9" hidden="1" x14ac:dyDescent="0.2">
      <c r="A3061" s="6">
        <v>43940.708333333336</v>
      </c>
      <c r="B3061" s="1" t="s">
        <v>18</v>
      </c>
      <c r="C3061">
        <v>3201</v>
      </c>
      <c r="D3061">
        <v>305</v>
      </c>
      <c r="E3061">
        <v>2331</v>
      </c>
      <c r="F3061">
        <v>21057</v>
      </c>
      <c r="G3061" s="3">
        <f t="shared" si="141"/>
        <v>593</v>
      </c>
      <c r="H3061" s="4">
        <f t="shared" si="142"/>
        <v>2.8161656456285322E-2</v>
      </c>
      <c r="I3061" s="1">
        <f t="shared" si="143"/>
        <v>79</v>
      </c>
    </row>
    <row r="3062" spans="1:9" hidden="1" x14ac:dyDescent="0.2">
      <c r="A3062" s="6">
        <v>43941.708333333336</v>
      </c>
      <c r="B3062" s="1" t="s">
        <v>18</v>
      </c>
      <c r="C3062">
        <v>3299</v>
      </c>
      <c r="D3062">
        <v>301</v>
      </c>
      <c r="E3062">
        <v>2409</v>
      </c>
      <c r="F3062">
        <v>21349</v>
      </c>
      <c r="G3062" s="3">
        <f t="shared" si="141"/>
        <v>292</v>
      </c>
      <c r="H3062" s="4">
        <f t="shared" si="142"/>
        <v>1.3677455618530177E-2</v>
      </c>
      <c r="I3062" s="1">
        <f t="shared" si="143"/>
        <v>78</v>
      </c>
    </row>
    <row r="3063" spans="1:9" hidden="1" x14ac:dyDescent="0.2">
      <c r="A3063" s="6">
        <v>43942.708333333336</v>
      </c>
      <c r="B3063" s="1" t="s">
        <v>18</v>
      </c>
      <c r="C3063">
        <v>3116</v>
      </c>
      <c r="D3063">
        <v>293</v>
      </c>
      <c r="E3063">
        <v>2485</v>
      </c>
      <c r="F3063">
        <v>21955</v>
      </c>
      <c r="G3063" s="3">
        <f t="shared" si="141"/>
        <v>606</v>
      </c>
      <c r="H3063" s="4">
        <f t="shared" si="142"/>
        <v>2.7601913003871603E-2</v>
      </c>
      <c r="I3063" s="1">
        <f t="shared" si="143"/>
        <v>76</v>
      </c>
    </row>
    <row r="3064" spans="1:9" hidden="1" x14ac:dyDescent="0.2">
      <c r="A3064" s="6">
        <v>43943.708333333336</v>
      </c>
      <c r="B3064" s="1" t="s">
        <v>18</v>
      </c>
      <c r="C3064">
        <v>3213</v>
      </c>
      <c r="D3064">
        <v>273</v>
      </c>
      <c r="E3064">
        <v>2559</v>
      </c>
      <c r="F3064">
        <v>22739</v>
      </c>
      <c r="G3064" s="3">
        <f t="shared" si="141"/>
        <v>784</v>
      </c>
      <c r="H3064" s="4">
        <f t="shared" si="142"/>
        <v>3.4478209244030111E-2</v>
      </c>
      <c r="I3064" s="1">
        <f t="shared" si="143"/>
        <v>74</v>
      </c>
    </row>
    <row r="3065" spans="1:9" hidden="1" x14ac:dyDescent="0.2">
      <c r="A3065" s="6">
        <v>43944.708333333336</v>
      </c>
      <c r="B3065" s="1" t="s">
        <v>18</v>
      </c>
      <c r="C3065">
        <v>3039</v>
      </c>
      <c r="D3065">
        <v>261</v>
      </c>
      <c r="E3065">
        <v>2630</v>
      </c>
      <c r="F3065">
        <v>23140</v>
      </c>
      <c r="G3065" s="3">
        <f t="shared" si="141"/>
        <v>401</v>
      </c>
      <c r="H3065" s="4">
        <f t="shared" si="142"/>
        <v>1.7329299913569574E-2</v>
      </c>
      <c r="I3065" s="1">
        <f t="shared" si="143"/>
        <v>71</v>
      </c>
    </row>
    <row r="3066" spans="1:9" hidden="1" x14ac:dyDescent="0.2">
      <c r="A3066" s="6">
        <v>43945.708333333336</v>
      </c>
      <c r="B3066" s="1" t="s">
        <v>18</v>
      </c>
      <c r="C3066">
        <v>2918</v>
      </c>
      <c r="D3066">
        <v>257</v>
      </c>
      <c r="E3066">
        <v>2699</v>
      </c>
      <c r="F3066">
        <v>23822</v>
      </c>
      <c r="G3066" s="3">
        <f t="shared" si="141"/>
        <v>682</v>
      </c>
      <c r="H3066" s="4">
        <f t="shared" si="142"/>
        <v>2.8628998404835904E-2</v>
      </c>
      <c r="I3066" s="1">
        <f t="shared" si="143"/>
        <v>69</v>
      </c>
    </row>
    <row r="3067" spans="1:9" hidden="1" x14ac:dyDescent="0.2">
      <c r="A3067" s="6">
        <v>43946.708333333336</v>
      </c>
      <c r="B3067" s="1" t="s">
        <v>18</v>
      </c>
      <c r="C3067">
        <v>2937</v>
      </c>
      <c r="D3067">
        <v>238</v>
      </c>
      <c r="E3067">
        <v>2767</v>
      </c>
      <c r="F3067">
        <v>24426</v>
      </c>
      <c r="G3067" s="3">
        <f t="shared" si="141"/>
        <v>604</v>
      </c>
      <c r="H3067" s="4">
        <f t="shared" si="142"/>
        <v>2.4727749119790365E-2</v>
      </c>
      <c r="I3067" s="1">
        <f t="shared" si="143"/>
        <v>68</v>
      </c>
    </row>
    <row r="3068" spans="1:9" hidden="1" x14ac:dyDescent="0.2">
      <c r="A3068" s="6">
        <v>43947.708333333336</v>
      </c>
      <c r="B3068" s="1" t="s">
        <v>18</v>
      </c>
      <c r="C3068">
        <v>2866</v>
      </c>
      <c r="D3068">
        <v>214</v>
      </c>
      <c r="E3068">
        <v>2823</v>
      </c>
      <c r="F3068">
        <v>24820</v>
      </c>
      <c r="G3068" s="3">
        <f t="shared" si="141"/>
        <v>394</v>
      </c>
      <c r="H3068" s="4">
        <f t="shared" si="142"/>
        <v>1.5874294923448828E-2</v>
      </c>
      <c r="I3068" s="1">
        <f t="shared" si="143"/>
        <v>56</v>
      </c>
    </row>
    <row r="3069" spans="1:9" hidden="1" x14ac:dyDescent="0.2">
      <c r="A3069" s="6">
        <v>43948.708333333336</v>
      </c>
      <c r="B3069" s="1" t="s">
        <v>18</v>
      </c>
      <c r="C3069">
        <v>2830</v>
      </c>
      <c r="D3069">
        <v>214</v>
      </c>
      <c r="E3069">
        <v>2878</v>
      </c>
      <c r="F3069">
        <v>25098</v>
      </c>
      <c r="G3069" s="3">
        <f t="shared" si="141"/>
        <v>278</v>
      </c>
      <c r="H3069" s="4">
        <f t="shared" si="142"/>
        <v>1.1076579807155928E-2</v>
      </c>
      <c r="I3069" s="1">
        <f t="shared" si="143"/>
        <v>55</v>
      </c>
    </row>
    <row r="3070" spans="1:9" hidden="1" x14ac:dyDescent="0.2">
      <c r="A3070" s="6">
        <v>43949.708333333336</v>
      </c>
      <c r="B3070" s="1" t="s">
        <v>18</v>
      </c>
      <c r="C3070">
        <v>2701</v>
      </c>
      <c r="D3070">
        <v>202</v>
      </c>
      <c r="E3070">
        <v>2936</v>
      </c>
      <c r="F3070">
        <v>25450</v>
      </c>
      <c r="G3070" s="3">
        <f t="shared" si="141"/>
        <v>352</v>
      </c>
      <c r="H3070" s="4">
        <f t="shared" si="142"/>
        <v>1.3831041257367338E-2</v>
      </c>
      <c r="I3070" s="1">
        <f t="shared" si="143"/>
        <v>58</v>
      </c>
    </row>
    <row r="3071" spans="1:9" hidden="1" x14ac:dyDescent="0.2">
      <c r="A3071" s="6">
        <v>43950.708333333336</v>
      </c>
      <c r="B3071" s="1" t="s">
        <v>18</v>
      </c>
      <c r="C3071">
        <v>2637</v>
      </c>
      <c r="D3071">
        <v>202</v>
      </c>
      <c r="E3071">
        <v>3003</v>
      </c>
      <c r="F3071">
        <v>25861</v>
      </c>
      <c r="G3071" s="3">
        <f t="shared" si="141"/>
        <v>411</v>
      </c>
      <c r="H3071" s="4">
        <f t="shared" si="142"/>
        <v>1.5892656896485002E-2</v>
      </c>
      <c r="I3071" s="1">
        <f t="shared" si="143"/>
        <v>67</v>
      </c>
    </row>
    <row r="3072" spans="1:9" hidden="1" x14ac:dyDescent="0.2">
      <c r="A3072" s="6">
        <v>43951.708333333336</v>
      </c>
      <c r="B3072" s="1" t="s">
        <v>18</v>
      </c>
      <c r="C3072">
        <v>2621</v>
      </c>
      <c r="D3072">
        <v>199</v>
      </c>
      <c r="E3072">
        <v>3066</v>
      </c>
      <c r="F3072">
        <v>26289</v>
      </c>
      <c r="G3072" s="3">
        <f t="shared" si="141"/>
        <v>428</v>
      </c>
      <c r="H3072" s="4">
        <f t="shared" si="142"/>
        <v>1.628057362394919E-2</v>
      </c>
      <c r="I3072" s="1">
        <f t="shared" si="143"/>
        <v>63</v>
      </c>
    </row>
    <row r="3073" spans="1:9" hidden="1" x14ac:dyDescent="0.2">
      <c r="A3073" s="6">
        <v>43952.708333333336</v>
      </c>
      <c r="B3073" s="1" t="s">
        <v>18</v>
      </c>
      <c r="C3073">
        <v>2503</v>
      </c>
      <c r="D3073">
        <v>181</v>
      </c>
      <c r="E3073">
        <v>3097</v>
      </c>
      <c r="F3073">
        <v>26684</v>
      </c>
      <c r="G3073" s="3">
        <f t="shared" si="141"/>
        <v>395</v>
      </c>
      <c r="H3073" s="4">
        <f t="shared" si="142"/>
        <v>1.4802878129215991E-2</v>
      </c>
      <c r="I3073" s="1">
        <f t="shared" si="143"/>
        <v>31</v>
      </c>
    </row>
    <row r="3074" spans="1:9" hidden="1" x14ac:dyDescent="0.2">
      <c r="A3074" s="6">
        <v>43953.708333333336</v>
      </c>
      <c r="B3074" s="1" t="s">
        <v>18</v>
      </c>
      <c r="C3074">
        <v>2550</v>
      </c>
      <c r="D3074">
        <v>178</v>
      </c>
      <c r="E3074">
        <v>3126</v>
      </c>
      <c r="F3074">
        <v>27179</v>
      </c>
      <c r="G3074" s="3">
        <f t="shared" si="141"/>
        <v>495</v>
      </c>
      <c r="H3074" s="4">
        <f t="shared" si="142"/>
        <v>1.8212590603039147E-2</v>
      </c>
      <c r="I3074" s="1">
        <f t="shared" si="143"/>
        <v>29</v>
      </c>
    </row>
    <row r="3075" spans="1:9" hidden="1" x14ac:dyDescent="0.2">
      <c r="A3075" s="6">
        <v>43954.708333333336</v>
      </c>
      <c r="B3075" s="1" t="s">
        <v>18</v>
      </c>
      <c r="C3075">
        <v>2496</v>
      </c>
      <c r="D3075">
        <v>169</v>
      </c>
      <c r="E3075">
        <v>3152</v>
      </c>
      <c r="F3075">
        <v>27430</v>
      </c>
      <c r="G3075" s="3">
        <f t="shared" ref="G3075:G3138" si="144">IF(AND(F3075&gt;0,AND(B3075=B3074,F3075&gt;0)),F3075-F3074,0)</f>
        <v>251</v>
      </c>
      <c r="H3075" s="4">
        <f t="shared" ref="H3075:H3138" si="145">IF(AND(F3074&gt;0,AND(B3075=B3074,F3074&gt;0)),1-(F3074/F3075),0)</f>
        <v>9.1505650747356615E-3</v>
      </c>
      <c r="I3075" s="1">
        <f t="shared" ref="I3075:I3138" si="146">IF(AND(E3075&gt;0,AND(B3075=B3074,E3075&gt;0)),E3075-E3074,0)</f>
        <v>26</v>
      </c>
    </row>
    <row r="3076" spans="1:9" hidden="1" x14ac:dyDescent="0.2">
      <c r="A3076" s="6">
        <v>43955.708333333336</v>
      </c>
      <c r="B3076" s="1" t="s">
        <v>18</v>
      </c>
      <c r="C3076">
        <v>2391</v>
      </c>
      <c r="D3076">
        <v>161</v>
      </c>
      <c r="E3076">
        <v>3186</v>
      </c>
      <c r="F3076">
        <v>27622</v>
      </c>
      <c r="G3076" s="3">
        <f t="shared" si="144"/>
        <v>192</v>
      </c>
      <c r="H3076" s="4">
        <f t="shared" si="145"/>
        <v>6.9509811020200818E-3</v>
      </c>
      <c r="I3076" s="1">
        <f t="shared" si="146"/>
        <v>34</v>
      </c>
    </row>
    <row r="3077" spans="1:9" hidden="1" x14ac:dyDescent="0.2">
      <c r="A3077" s="6">
        <v>43956.708333333336</v>
      </c>
      <c r="B3077" s="1" t="s">
        <v>18</v>
      </c>
      <c r="C3077">
        <v>2307</v>
      </c>
      <c r="D3077">
        <v>155</v>
      </c>
      <c r="E3077">
        <v>3216</v>
      </c>
      <c r="F3077">
        <v>27774</v>
      </c>
      <c r="G3077" s="3">
        <f t="shared" si="144"/>
        <v>152</v>
      </c>
      <c r="H3077" s="4">
        <f t="shared" si="145"/>
        <v>5.4727442932238635E-3</v>
      </c>
      <c r="I3077" s="1">
        <f t="shared" si="146"/>
        <v>30</v>
      </c>
    </row>
    <row r="3078" spans="1:9" hidden="1" x14ac:dyDescent="0.2">
      <c r="A3078" s="6">
        <v>43957.708333333336</v>
      </c>
      <c r="B3078" s="1" t="s">
        <v>18</v>
      </c>
      <c r="C3078">
        <v>2147</v>
      </c>
      <c r="D3078">
        <v>150</v>
      </c>
      <c r="E3078">
        <v>3247</v>
      </c>
      <c r="F3078">
        <v>27939</v>
      </c>
      <c r="G3078" s="3">
        <f t="shared" si="144"/>
        <v>165</v>
      </c>
      <c r="H3078" s="4">
        <f t="shared" si="145"/>
        <v>5.9057231826479262E-3</v>
      </c>
      <c r="I3078" s="1">
        <f t="shared" si="146"/>
        <v>31</v>
      </c>
    </row>
    <row r="3079" spans="1:9" hidden="1" x14ac:dyDescent="0.2">
      <c r="A3079" s="6">
        <v>43958.708333333336</v>
      </c>
      <c r="B3079" s="1" t="s">
        <v>18</v>
      </c>
      <c r="C3079">
        <v>2147</v>
      </c>
      <c r="D3079">
        <v>150</v>
      </c>
      <c r="E3079">
        <v>3282</v>
      </c>
      <c r="F3079">
        <v>28135</v>
      </c>
      <c r="G3079" s="3">
        <f t="shared" si="144"/>
        <v>196</v>
      </c>
      <c r="H3079" s="4">
        <f t="shared" si="145"/>
        <v>6.9664119424204252E-3</v>
      </c>
      <c r="I3079" s="1">
        <f t="shared" si="146"/>
        <v>35</v>
      </c>
    </row>
    <row r="3080" spans="1:9" hidden="1" x14ac:dyDescent="0.2">
      <c r="A3080" s="6">
        <v>43959.708333333336</v>
      </c>
      <c r="B3080" s="1" t="s">
        <v>18</v>
      </c>
      <c r="C3080">
        <v>2013</v>
      </c>
      <c r="D3080">
        <v>140</v>
      </c>
      <c r="E3080">
        <v>3305</v>
      </c>
      <c r="F3080">
        <v>28368</v>
      </c>
      <c r="G3080" s="3">
        <f t="shared" si="144"/>
        <v>233</v>
      </c>
      <c r="H3080" s="4">
        <f t="shared" si="145"/>
        <v>8.2134799774393752E-3</v>
      </c>
      <c r="I3080" s="1">
        <f t="shared" si="146"/>
        <v>23</v>
      </c>
    </row>
    <row r="3081" spans="1:9" hidden="1" x14ac:dyDescent="0.2">
      <c r="A3081" s="6">
        <v>43960.708333333336</v>
      </c>
      <c r="B3081" s="1" t="s">
        <v>18</v>
      </c>
      <c r="C3081">
        <v>2010</v>
      </c>
      <c r="D3081">
        <v>143</v>
      </c>
      <c r="E3081">
        <v>3331</v>
      </c>
      <c r="F3081">
        <v>28549</v>
      </c>
      <c r="G3081" s="3">
        <f t="shared" si="144"/>
        <v>181</v>
      </c>
      <c r="H3081" s="4">
        <f t="shared" si="145"/>
        <v>6.3399768818522828E-3</v>
      </c>
      <c r="I3081" s="1">
        <f t="shared" si="146"/>
        <v>26</v>
      </c>
    </row>
    <row r="3082" spans="1:9" hidden="1" x14ac:dyDescent="0.2">
      <c r="A3082" s="6">
        <v>43961.708333333336</v>
      </c>
      <c r="B3082" s="1" t="s">
        <v>18</v>
      </c>
      <c r="C3082">
        <v>2024</v>
      </c>
      <c r="D3082">
        <v>137</v>
      </c>
      <c r="E3082">
        <v>3367</v>
      </c>
      <c r="F3082">
        <v>28665</v>
      </c>
      <c r="G3082" s="3">
        <f t="shared" si="144"/>
        <v>116</v>
      </c>
      <c r="H3082" s="4">
        <f t="shared" si="145"/>
        <v>4.0467469038897308E-3</v>
      </c>
      <c r="I3082" s="1">
        <f t="shared" si="146"/>
        <v>36</v>
      </c>
    </row>
    <row r="3083" spans="1:9" hidden="1" x14ac:dyDescent="0.2">
      <c r="A3083" s="6">
        <v>43962.708333333336</v>
      </c>
      <c r="B3083" s="1" t="s">
        <v>18</v>
      </c>
      <c r="C3083">
        <v>2021</v>
      </c>
      <c r="D3083">
        <v>135</v>
      </c>
      <c r="E3083">
        <v>3400</v>
      </c>
      <c r="F3083">
        <v>28776</v>
      </c>
      <c r="G3083" s="3">
        <f t="shared" si="144"/>
        <v>111</v>
      </c>
      <c r="H3083" s="4">
        <f t="shared" si="145"/>
        <v>3.8573811509591271E-3</v>
      </c>
      <c r="I3083" s="1">
        <f t="shared" si="146"/>
        <v>33</v>
      </c>
    </row>
    <row r="3084" spans="1:9" hidden="1" x14ac:dyDescent="0.2">
      <c r="A3084" s="6">
        <v>43963.708333333336</v>
      </c>
      <c r="B3084" s="1" t="s">
        <v>18</v>
      </c>
      <c r="C3084">
        <v>1900</v>
      </c>
      <c r="D3084">
        <v>136</v>
      </c>
      <c r="E3084">
        <v>3428</v>
      </c>
      <c r="F3084">
        <v>28889</v>
      </c>
      <c r="G3084" s="3">
        <f t="shared" si="144"/>
        <v>113</v>
      </c>
      <c r="H3084" s="4">
        <f t="shared" si="145"/>
        <v>3.9115234172176772E-3</v>
      </c>
      <c r="I3084" s="1">
        <f t="shared" si="146"/>
        <v>28</v>
      </c>
    </row>
    <row r="3085" spans="1:9" hidden="1" x14ac:dyDescent="0.2">
      <c r="A3085" s="6">
        <v>43964.708333333336</v>
      </c>
      <c r="B3085" s="1" t="s">
        <v>18</v>
      </c>
      <c r="C3085">
        <v>1858</v>
      </c>
      <c r="D3085">
        <v>122</v>
      </c>
      <c r="E3085">
        <v>3460</v>
      </c>
      <c r="F3085">
        <v>29058</v>
      </c>
      <c r="G3085" s="3">
        <f t="shared" si="144"/>
        <v>169</v>
      </c>
      <c r="H3085" s="4">
        <f t="shared" si="145"/>
        <v>5.8159542982999524E-3</v>
      </c>
      <c r="I3085" s="1">
        <f t="shared" si="146"/>
        <v>32</v>
      </c>
    </row>
    <row r="3086" spans="1:9" hidden="1" x14ac:dyDescent="0.2">
      <c r="A3086" s="6">
        <v>43965.708333333336</v>
      </c>
      <c r="B3086" s="1" t="s">
        <v>18</v>
      </c>
      <c r="C3086">
        <v>1775</v>
      </c>
      <c r="D3086">
        <v>116</v>
      </c>
      <c r="E3086">
        <v>3493</v>
      </c>
      <c r="F3086">
        <v>29209</v>
      </c>
      <c r="G3086" s="3">
        <f t="shared" si="144"/>
        <v>151</v>
      </c>
      <c r="H3086" s="4">
        <f t="shared" si="145"/>
        <v>5.1696394946763036E-3</v>
      </c>
      <c r="I3086" s="1">
        <f t="shared" si="146"/>
        <v>33</v>
      </c>
    </row>
    <row r="3087" spans="1:9" hidden="1" x14ac:dyDescent="0.2">
      <c r="A3087" s="6">
        <v>43966.708333333336</v>
      </c>
      <c r="B3087" s="1" t="s">
        <v>18</v>
      </c>
      <c r="C3087">
        <v>1593</v>
      </c>
      <c r="D3087">
        <v>108</v>
      </c>
      <c r="E3087">
        <v>3557</v>
      </c>
      <c r="F3087">
        <v>29346</v>
      </c>
      <c r="G3087" s="3">
        <f t="shared" si="144"/>
        <v>137</v>
      </c>
      <c r="H3087" s="4">
        <f t="shared" si="145"/>
        <v>4.6684386287739743E-3</v>
      </c>
      <c r="I3087" s="1">
        <f t="shared" si="146"/>
        <v>64</v>
      </c>
    </row>
    <row r="3088" spans="1:9" hidden="1" x14ac:dyDescent="0.2">
      <c r="A3088" s="6">
        <v>43967.708333333336</v>
      </c>
      <c r="B3088" s="1" t="s">
        <v>18</v>
      </c>
      <c r="C3088">
        <v>1562</v>
      </c>
      <c r="D3088">
        <v>100</v>
      </c>
      <c r="E3088">
        <v>3594</v>
      </c>
      <c r="F3088">
        <v>29483</v>
      </c>
      <c r="G3088" s="3">
        <f t="shared" si="144"/>
        <v>137</v>
      </c>
      <c r="H3088" s="4">
        <f t="shared" si="145"/>
        <v>4.6467455821999071E-3</v>
      </c>
      <c r="I3088" s="1">
        <f t="shared" si="146"/>
        <v>37</v>
      </c>
    </row>
    <row r="3089" spans="1:9" hidden="1" x14ac:dyDescent="0.2">
      <c r="A3089" s="6">
        <v>43968.708333333336</v>
      </c>
      <c r="B3089" s="1" t="s">
        <v>18</v>
      </c>
      <c r="C3089">
        <v>1620</v>
      </c>
      <c r="D3089">
        <v>101</v>
      </c>
      <c r="E3089">
        <v>3612</v>
      </c>
      <c r="F3089">
        <v>29547</v>
      </c>
      <c r="G3089" s="3">
        <f t="shared" si="144"/>
        <v>64</v>
      </c>
      <c r="H3089" s="4">
        <f t="shared" si="145"/>
        <v>2.1660405455714571E-3</v>
      </c>
      <c r="I3089" s="1">
        <f t="shared" si="146"/>
        <v>18</v>
      </c>
    </row>
    <row r="3090" spans="1:9" hidden="1" x14ac:dyDescent="0.2">
      <c r="A3090" s="6">
        <v>43969.708333333336</v>
      </c>
      <c r="B3090" s="1" t="s">
        <v>18</v>
      </c>
      <c r="C3090">
        <v>1589</v>
      </c>
      <c r="D3090">
        <v>99</v>
      </c>
      <c r="E3090">
        <v>3632</v>
      </c>
      <c r="F3090">
        <v>29619</v>
      </c>
      <c r="G3090" s="3">
        <f t="shared" si="144"/>
        <v>72</v>
      </c>
      <c r="H3090" s="4">
        <f t="shared" si="145"/>
        <v>2.4308720753570823E-3</v>
      </c>
      <c r="I3090" s="1">
        <f t="shared" si="146"/>
        <v>20</v>
      </c>
    </row>
    <row r="3091" spans="1:9" hidden="1" x14ac:dyDescent="0.2">
      <c r="A3091" s="6">
        <v>43970.708333333336</v>
      </c>
      <c r="B3091" s="1" t="s">
        <v>18</v>
      </c>
      <c r="C3091">
        <v>1579</v>
      </c>
      <c r="D3091">
        <v>96</v>
      </c>
      <c r="E3091">
        <v>3679</v>
      </c>
      <c r="F3091">
        <v>29727</v>
      </c>
      <c r="G3091" s="3">
        <f t="shared" si="144"/>
        <v>108</v>
      </c>
      <c r="H3091" s="4">
        <f t="shared" si="145"/>
        <v>3.6330608537693543E-3</v>
      </c>
      <c r="I3091" s="1">
        <f t="shared" si="146"/>
        <v>47</v>
      </c>
    </row>
    <row r="3092" spans="1:9" hidden="1" x14ac:dyDescent="0.2">
      <c r="A3092" s="6">
        <v>43971.708333333336</v>
      </c>
      <c r="B3092" s="1" t="s">
        <v>18</v>
      </c>
      <c r="C3092">
        <v>1513</v>
      </c>
      <c r="D3092">
        <v>96</v>
      </c>
      <c r="E3092">
        <v>3718</v>
      </c>
      <c r="F3092">
        <v>29885</v>
      </c>
      <c r="G3092" s="3">
        <f t="shared" si="144"/>
        <v>158</v>
      </c>
      <c r="H3092" s="4">
        <f t="shared" si="145"/>
        <v>5.2869332441023431E-3</v>
      </c>
      <c r="I3092" s="1">
        <f t="shared" si="146"/>
        <v>39</v>
      </c>
    </row>
    <row r="3093" spans="1:9" hidden="1" x14ac:dyDescent="0.2">
      <c r="A3093" s="6">
        <v>43972.708333333336</v>
      </c>
      <c r="B3093" s="1" t="s">
        <v>18</v>
      </c>
      <c r="C3093">
        <v>1479</v>
      </c>
      <c r="D3093">
        <v>83</v>
      </c>
      <c r="E3093">
        <v>3742</v>
      </c>
      <c r="F3093">
        <v>29990</v>
      </c>
      <c r="G3093" s="3">
        <f t="shared" si="144"/>
        <v>105</v>
      </c>
      <c r="H3093" s="4">
        <f t="shared" si="145"/>
        <v>3.5011670556852614E-3</v>
      </c>
      <c r="I3093" s="1">
        <f t="shared" si="146"/>
        <v>24</v>
      </c>
    </row>
    <row r="3094" spans="1:9" hidden="1" x14ac:dyDescent="0.2">
      <c r="A3094" s="6">
        <v>43973.708333333336</v>
      </c>
      <c r="B3094" s="1" t="s">
        <v>18</v>
      </c>
      <c r="C3094">
        <v>1414</v>
      </c>
      <c r="D3094">
        <v>79</v>
      </c>
      <c r="E3094">
        <v>3757</v>
      </c>
      <c r="F3094">
        <v>30077</v>
      </c>
      <c r="G3094" s="3">
        <f t="shared" si="144"/>
        <v>87</v>
      </c>
      <c r="H3094" s="4">
        <f t="shared" si="145"/>
        <v>2.892575722312718E-3</v>
      </c>
      <c r="I3094" s="1">
        <f t="shared" si="146"/>
        <v>15</v>
      </c>
    </row>
    <row r="3095" spans="1:9" hidden="1" x14ac:dyDescent="0.2">
      <c r="A3095" s="6">
        <v>43974.708333333336</v>
      </c>
      <c r="B3095" s="1" t="s">
        <v>18</v>
      </c>
      <c r="C3095">
        <v>1291</v>
      </c>
      <c r="D3095">
        <v>76</v>
      </c>
      <c r="E3095">
        <v>3771</v>
      </c>
      <c r="F3095">
        <v>30137</v>
      </c>
      <c r="G3095" s="3">
        <f t="shared" si="144"/>
        <v>60</v>
      </c>
      <c r="H3095" s="4">
        <f t="shared" si="145"/>
        <v>1.9909081859508237E-3</v>
      </c>
      <c r="I3095" s="1">
        <f t="shared" si="146"/>
        <v>14</v>
      </c>
    </row>
    <row r="3096" spans="1:9" hidden="1" x14ac:dyDescent="0.2">
      <c r="A3096" s="6">
        <v>43975.708333333336</v>
      </c>
      <c r="B3096" s="1" t="s">
        <v>18</v>
      </c>
      <c r="C3096">
        <v>1283</v>
      </c>
      <c r="D3096">
        <v>75</v>
      </c>
      <c r="E3096">
        <v>3783</v>
      </c>
      <c r="F3096">
        <v>30180</v>
      </c>
      <c r="G3096" s="3">
        <f t="shared" si="144"/>
        <v>43</v>
      </c>
      <c r="H3096" s="4">
        <f t="shared" si="145"/>
        <v>1.4247846255798224E-3</v>
      </c>
      <c r="I3096" s="1">
        <f t="shared" si="146"/>
        <v>12</v>
      </c>
    </row>
    <row r="3097" spans="1:9" hidden="1" x14ac:dyDescent="0.2">
      <c r="A3097" s="6">
        <v>43976.708333333336</v>
      </c>
      <c r="B3097" s="1" t="s">
        <v>18</v>
      </c>
      <c r="C3097">
        <v>1227</v>
      </c>
      <c r="D3097">
        <v>72</v>
      </c>
      <c r="E3097">
        <v>3798</v>
      </c>
      <c r="F3097">
        <v>30228</v>
      </c>
      <c r="G3097" s="3">
        <f t="shared" si="144"/>
        <v>48</v>
      </c>
      <c r="H3097" s="4">
        <f t="shared" si="145"/>
        <v>1.5879317189361197E-3</v>
      </c>
      <c r="I3097" s="1">
        <f t="shared" si="146"/>
        <v>15</v>
      </c>
    </row>
    <row r="3098" spans="1:9" hidden="1" x14ac:dyDescent="0.2">
      <c r="A3098" s="6">
        <v>43977.708333333336</v>
      </c>
      <c r="B3098" s="1" t="s">
        <v>18</v>
      </c>
      <c r="C3098">
        <v>1162</v>
      </c>
      <c r="D3098">
        <v>70</v>
      </c>
      <c r="E3098">
        <v>3812</v>
      </c>
      <c r="F3098">
        <v>30314</v>
      </c>
      <c r="G3098" s="3">
        <f t="shared" si="144"/>
        <v>86</v>
      </c>
      <c r="H3098" s="4">
        <f t="shared" si="145"/>
        <v>2.8369730157682405E-3</v>
      </c>
      <c r="I3098" s="1">
        <f t="shared" si="146"/>
        <v>14</v>
      </c>
    </row>
    <row r="3099" spans="1:9" hidden="1" x14ac:dyDescent="0.2">
      <c r="A3099" s="6">
        <v>43978.708333333336</v>
      </c>
      <c r="B3099" s="1" t="s">
        <v>18</v>
      </c>
      <c r="C3099">
        <v>1118</v>
      </c>
      <c r="D3099">
        <v>68</v>
      </c>
      <c r="E3099">
        <v>3828</v>
      </c>
      <c r="F3099">
        <v>30387</v>
      </c>
      <c r="G3099" s="3">
        <f t="shared" si="144"/>
        <v>73</v>
      </c>
      <c r="H3099" s="4">
        <f t="shared" si="145"/>
        <v>2.4023431072498491E-3</v>
      </c>
      <c r="I3099" s="1">
        <f t="shared" si="146"/>
        <v>16</v>
      </c>
    </row>
    <row r="3100" spans="1:9" hidden="1" x14ac:dyDescent="0.2">
      <c r="A3100" s="6">
        <v>43979.708333333336</v>
      </c>
      <c r="B3100" s="1" t="s">
        <v>18</v>
      </c>
      <c r="C3100">
        <v>1058</v>
      </c>
      <c r="D3100">
        <v>64</v>
      </c>
      <c r="E3100">
        <v>3838</v>
      </c>
      <c r="F3100">
        <v>30445</v>
      </c>
      <c r="G3100" s="3">
        <f t="shared" si="144"/>
        <v>58</v>
      </c>
      <c r="H3100" s="4">
        <f t="shared" si="145"/>
        <v>1.9050747249137467E-3</v>
      </c>
      <c r="I3100" s="1">
        <f t="shared" si="146"/>
        <v>10</v>
      </c>
    </row>
    <row r="3101" spans="1:9" hidden="1" x14ac:dyDescent="0.2">
      <c r="A3101" s="6">
        <v>43980.708333333336</v>
      </c>
      <c r="B3101" s="1" t="s">
        <v>18</v>
      </c>
      <c r="C3101">
        <v>1029</v>
      </c>
      <c r="D3101">
        <v>61</v>
      </c>
      <c r="E3101">
        <v>3851</v>
      </c>
      <c r="F3101">
        <v>30501</v>
      </c>
      <c r="G3101" s="3">
        <f t="shared" si="144"/>
        <v>56</v>
      </c>
      <c r="H3101" s="4">
        <f t="shared" si="145"/>
        <v>1.8360053768728957E-3</v>
      </c>
      <c r="I3101" s="1">
        <f t="shared" si="146"/>
        <v>13</v>
      </c>
    </row>
    <row r="3102" spans="1:9" hidden="1" x14ac:dyDescent="0.2">
      <c r="A3102" s="6">
        <v>43981.708333333336</v>
      </c>
      <c r="B3102" s="1" t="s">
        <v>18</v>
      </c>
      <c r="C3102">
        <v>988</v>
      </c>
      <c r="D3102">
        <v>60</v>
      </c>
      <c r="E3102">
        <v>3858</v>
      </c>
      <c r="F3102">
        <v>30583</v>
      </c>
      <c r="G3102" s="3">
        <f t="shared" si="144"/>
        <v>82</v>
      </c>
      <c r="H3102" s="4">
        <f t="shared" si="145"/>
        <v>2.6812281332766474E-3</v>
      </c>
      <c r="I3102" s="1">
        <f t="shared" si="146"/>
        <v>7</v>
      </c>
    </row>
    <row r="3103" spans="1:9" hidden="1" x14ac:dyDescent="0.2">
      <c r="A3103" s="6">
        <v>43982.708333333336</v>
      </c>
      <c r="B3103" s="1" t="s">
        <v>18</v>
      </c>
      <c r="C3103">
        <v>973</v>
      </c>
      <c r="D3103">
        <v>58</v>
      </c>
      <c r="E3103">
        <v>3867</v>
      </c>
      <c r="F3103">
        <v>30637</v>
      </c>
      <c r="G3103" s="3">
        <f t="shared" si="144"/>
        <v>54</v>
      </c>
      <c r="H3103" s="4">
        <f t="shared" si="145"/>
        <v>1.7625746646212637E-3</v>
      </c>
      <c r="I3103" s="1">
        <f t="shared" si="146"/>
        <v>9</v>
      </c>
    </row>
    <row r="3104" spans="1:9" hidden="1" x14ac:dyDescent="0.2">
      <c r="A3104" s="6">
        <v>43983.708333333336</v>
      </c>
      <c r="B3104" s="1" t="s">
        <v>18</v>
      </c>
      <c r="C3104">
        <v>904</v>
      </c>
      <c r="D3104">
        <v>54</v>
      </c>
      <c r="E3104">
        <v>3876</v>
      </c>
      <c r="F3104">
        <v>30658</v>
      </c>
      <c r="G3104" s="3">
        <f t="shared" si="144"/>
        <v>21</v>
      </c>
      <c r="H3104" s="4">
        <f t="shared" si="145"/>
        <v>6.8497618892293666E-4</v>
      </c>
      <c r="I3104" s="1">
        <f t="shared" si="146"/>
        <v>9</v>
      </c>
    </row>
    <row r="3105" spans="1:9" hidden="1" x14ac:dyDescent="0.2">
      <c r="A3105" s="6">
        <v>43984.708333333336</v>
      </c>
      <c r="B3105" s="1" t="s">
        <v>18</v>
      </c>
      <c r="C3105">
        <v>849</v>
      </c>
      <c r="D3105">
        <v>46</v>
      </c>
      <c r="E3105">
        <v>3884</v>
      </c>
      <c r="F3105">
        <v>30715</v>
      </c>
      <c r="G3105" s="3">
        <f t="shared" si="144"/>
        <v>57</v>
      </c>
      <c r="H3105" s="4">
        <f t="shared" si="145"/>
        <v>1.8557707960279446E-3</v>
      </c>
      <c r="I3105" s="1">
        <f t="shared" si="146"/>
        <v>8</v>
      </c>
    </row>
    <row r="3106" spans="1:9" hidden="1" x14ac:dyDescent="0.2">
      <c r="A3106" s="6">
        <v>43985.708333333336</v>
      </c>
      <c r="B3106" s="1" t="s">
        <v>18</v>
      </c>
      <c r="C3106">
        <v>841</v>
      </c>
      <c r="D3106">
        <v>44</v>
      </c>
      <c r="E3106">
        <v>3898</v>
      </c>
      <c r="F3106">
        <v>30734</v>
      </c>
      <c r="G3106" s="3">
        <f t="shared" si="144"/>
        <v>19</v>
      </c>
      <c r="H3106" s="4">
        <f t="shared" si="145"/>
        <v>6.1820784798594097E-4</v>
      </c>
      <c r="I3106" s="1">
        <f t="shared" si="146"/>
        <v>14</v>
      </c>
    </row>
    <row r="3107" spans="1:9" hidden="1" x14ac:dyDescent="0.2">
      <c r="A3107" s="6">
        <v>43986.708333333336</v>
      </c>
      <c r="B3107" s="1" t="s">
        <v>18</v>
      </c>
      <c r="C3107">
        <v>808</v>
      </c>
      <c r="D3107">
        <v>43</v>
      </c>
      <c r="E3107">
        <v>3910</v>
      </c>
      <c r="F3107">
        <v>30758</v>
      </c>
      <c r="G3107" s="3">
        <f t="shared" si="144"/>
        <v>24</v>
      </c>
      <c r="H3107" s="4">
        <f t="shared" si="145"/>
        <v>7.8028480395342381E-4</v>
      </c>
      <c r="I3107" s="1">
        <f t="shared" si="146"/>
        <v>12</v>
      </c>
    </row>
    <row r="3108" spans="1:9" hidden="1" x14ac:dyDescent="0.2">
      <c r="A3108" s="6">
        <v>43987.708333333336</v>
      </c>
      <c r="B3108" s="1" t="s">
        <v>18</v>
      </c>
      <c r="C3108">
        <v>743</v>
      </c>
      <c r="D3108">
        <v>40</v>
      </c>
      <c r="E3108">
        <v>3927</v>
      </c>
      <c r="F3108">
        <v>30807</v>
      </c>
      <c r="G3108" s="3">
        <f t="shared" si="144"/>
        <v>49</v>
      </c>
      <c r="H3108" s="4">
        <f t="shared" si="145"/>
        <v>1.5905476028175158E-3</v>
      </c>
      <c r="I3108" s="1">
        <f t="shared" si="146"/>
        <v>17</v>
      </c>
    </row>
    <row r="3109" spans="1:9" hidden="1" x14ac:dyDescent="0.2">
      <c r="A3109" s="6">
        <v>43988.708333333336</v>
      </c>
      <c r="B3109" s="1" t="s">
        <v>18</v>
      </c>
      <c r="C3109">
        <v>684</v>
      </c>
      <c r="D3109">
        <v>37</v>
      </c>
      <c r="E3109">
        <v>3934</v>
      </c>
      <c r="F3109">
        <v>30845</v>
      </c>
      <c r="G3109" s="3">
        <f t="shared" si="144"/>
        <v>38</v>
      </c>
      <c r="H3109" s="4">
        <f t="shared" si="145"/>
        <v>1.2319662830280187E-3</v>
      </c>
      <c r="I3109" s="1">
        <f t="shared" si="146"/>
        <v>7</v>
      </c>
    </row>
    <row r="3110" spans="1:9" hidden="1" x14ac:dyDescent="0.2">
      <c r="A3110" s="6">
        <v>43989.708333333336</v>
      </c>
      <c r="B3110" s="1" t="s">
        <v>18</v>
      </c>
      <c r="C3110">
        <v>659</v>
      </c>
      <c r="D3110">
        <v>38</v>
      </c>
      <c r="E3110">
        <v>3941</v>
      </c>
      <c r="F3110">
        <v>30855</v>
      </c>
      <c r="G3110" s="3">
        <f t="shared" si="144"/>
        <v>10</v>
      </c>
      <c r="H3110" s="4">
        <f t="shared" si="145"/>
        <v>3.2409658078103032E-4</v>
      </c>
      <c r="I3110" s="1">
        <f t="shared" si="146"/>
        <v>7</v>
      </c>
    </row>
    <row r="3111" spans="1:9" hidden="1" x14ac:dyDescent="0.2">
      <c r="A3111" s="6">
        <v>43990.708333333336</v>
      </c>
      <c r="B3111" s="1" t="s">
        <v>18</v>
      </c>
      <c r="C3111">
        <v>633</v>
      </c>
      <c r="D3111">
        <v>36</v>
      </c>
      <c r="E3111">
        <v>3954</v>
      </c>
      <c r="F3111">
        <v>30869</v>
      </c>
      <c r="G3111" s="3">
        <f t="shared" si="144"/>
        <v>14</v>
      </c>
      <c r="H3111" s="4">
        <f t="shared" si="145"/>
        <v>4.5352943082055397E-4</v>
      </c>
      <c r="I3111" s="1">
        <f t="shared" si="146"/>
        <v>13</v>
      </c>
    </row>
    <row r="3112" spans="1:9" hidden="1" x14ac:dyDescent="0.2">
      <c r="A3112" s="6">
        <v>43991.708333333336</v>
      </c>
      <c r="B3112" s="1" t="s">
        <v>18</v>
      </c>
      <c r="C3112">
        <v>599</v>
      </c>
      <c r="D3112">
        <v>39</v>
      </c>
      <c r="E3112">
        <v>3961</v>
      </c>
      <c r="F3112">
        <v>30890</v>
      </c>
      <c r="G3112" s="3">
        <f t="shared" si="144"/>
        <v>21</v>
      </c>
      <c r="H3112" s="4">
        <f t="shared" si="145"/>
        <v>6.7983166073160017E-4</v>
      </c>
      <c r="I3112" s="1">
        <f t="shared" si="146"/>
        <v>7</v>
      </c>
    </row>
    <row r="3113" spans="1:9" hidden="1" x14ac:dyDescent="0.2">
      <c r="A3113" s="6">
        <v>43992.708333333336</v>
      </c>
      <c r="B3113" s="1" t="s">
        <v>18</v>
      </c>
      <c r="C3113">
        <v>564</v>
      </c>
      <c r="D3113">
        <v>35</v>
      </c>
      <c r="E3113">
        <v>3976</v>
      </c>
      <c r="F3113">
        <v>30916</v>
      </c>
      <c r="G3113" s="3">
        <f t="shared" si="144"/>
        <v>26</v>
      </c>
      <c r="H3113" s="4">
        <f t="shared" si="145"/>
        <v>8.409884849268634E-4</v>
      </c>
      <c r="I3113" s="1">
        <f t="shared" si="146"/>
        <v>15</v>
      </c>
    </row>
    <row r="3114" spans="1:9" hidden="1" x14ac:dyDescent="0.2">
      <c r="A3114" s="6">
        <v>43993.708333333336</v>
      </c>
      <c r="B3114" s="1" t="s">
        <v>18</v>
      </c>
      <c r="C3114">
        <v>544</v>
      </c>
      <c r="D3114">
        <v>33</v>
      </c>
      <c r="E3114">
        <v>3988</v>
      </c>
      <c r="F3114">
        <v>30958</v>
      </c>
      <c r="G3114" s="3">
        <f t="shared" si="144"/>
        <v>42</v>
      </c>
      <c r="H3114" s="4">
        <f t="shared" si="145"/>
        <v>1.3566767879061858E-3</v>
      </c>
      <c r="I3114" s="1">
        <f t="shared" si="146"/>
        <v>12</v>
      </c>
    </row>
    <row r="3115" spans="1:9" hidden="1" x14ac:dyDescent="0.2">
      <c r="A3115" s="6">
        <v>43994.708333333336</v>
      </c>
      <c r="B3115" s="1" t="s">
        <v>18</v>
      </c>
      <c r="C3115">
        <v>527</v>
      </c>
      <c r="D3115">
        <v>30</v>
      </c>
      <c r="E3115">
        <v>3996</v>
      </c>
      <c r="F3115">
        <v>30989</v>
      </c>
      <c r="G3115" s="3">
        <f t="shared" si="144"/>
        <v>31</v>
      </c>
      <c r="H3115" s="4">
        <f t="shared" si="145"/>
        <v>1.0003549646648846E-3</v>
      </c>
      <c r="I3115" s="1">
        <f t="shared" si="146"/>
        <v>8</v>
      </c>
    </row>
    <row r="3116" spans="1:9" hidden="1" x14ac:dyDescent="0.2">
      <c r="A3116" s="6">
        <v>43995.708333333336</v>
      </c>
      <c r="B3116" s="1" t="s">
        <v>18</v>
      </c>
      <c r="C3116">
        <v>510</v>
      </c>
      <c r="D3116">
        <v>27</v>
      </c>
      <c r="E3116">
        <v>4006</v>
      </c>
      <c r="F3116">
        <v>31029</v>
      </c>
      <c r="G3116" s="3">
        <f t="shared" si="144"/>
        <v>40</v>
      </c>
      <c r="H3116" s="4">
        <f t="shared" si="145"/>
        <v>1.2891166328273806E-3</v>
      </c>
      <c r="I3116" s="1">
        <f t="shared" si="146"/>
        <v>10</v>
      </c>
    </row>
    <row r="3117" spans="1:9" hidden="1" x14ac:dyDescent="0.2">
      <c r="A3117" s="6">
        <v>43996.708333333336</v>
      </c>
      <c r="B3117" s="1" t="s">
        <v>18</v>
      </c>
      <c r="C3117">
        <v>517</v>
      </c>
      <c r="D3117">
        <v>26</v>
      </c>
      <c r="E3117">
        <v>4012</v>
      </c>
      <c r="F3117">
        <v>31059</v>
      </c>
      <c r="G3117" s="3">
        <f t="shared" si="144"/>
        <v>30</v>
      </c>
      <c r="H3117" s="4">
        <f t="shared" si="145"/>
        <v>9.659036028204504E-4</v>
      </c>
      <c r="I3117" s="1">
        <f t="shared" si="146"/>
        <v>6</v>
      </c>
    </row>
    <row r="3118" spans="1:9" hidden="1" x14ac:dyDescent="0.2">
      <c r="A3118" s="6">
        <v>43997.708333333336</v>
      </c>
      <c r="B3118" s="1" t="s">
        <v>18</v>
      </c>
      <c r="C3118">
        <v>517</v>
      </c>
      <c r="D3118">
        <v>28</v>
      </c>
      <c r="E3118">
        <v>4012</v>
      </c>
      <c r="F3118">
        <v>31061</v>
      </c>
      <c r="G3118" s="3">
        <f t="shared" si="144"/>
        <v>2</v>
      </c>
      <c r="H3118" s="4">
        <f t="shared" si="145"/>
        <v>6.4389427256061893E-5</v>
      </c>
      <c r="I3118" s="1">
        <f t="shared" si="146"/>
        <v>0</v>
      </c>
    </row>
    <row r="3119" spans="1:9" hidden="1" x14ac:dyDescent="0.2">
      <c r="A3119" s="6">
        <v>43998.708333333336</v>
      </c>
      <c r="B3119" s="1" t="s">
        <v>18</v>
      </c>
      <c r="C3119">
        <v>472</v>
      </c>
      <c r="D3119">
        <v>28</v>
      </c>
      <c r="E3119">
        <v>4018</v>
      </c>
      <c r="F3119">
        <v>31090</v>
      </c>
      <c r="G3119" s="3">
        <f t="shared" si="144"/>
        <v>29</v>
      </c>
      <c r="H3119" s="4">
        <f t="shared" si="145"/>
        <v>9.3277581215822636E-4</v>
      </c>
      <c r="I3119" s="1">
        <f t="shared" si="146"/>
        <v>6</v>
      </c>
    </row>
    <row r="3120" spans="1:9" hidden="1" x14ac:dyDescent="0.2">
      <c r="A3120" s="6">
        <v>43999.708333333336</v>
      </c>
      <c r="B3120" s="1" t="s">
        <v>18</v>
      </c>
      <c r="C3120">
        <v>448</v>
      </c>
      <c r="D3120">
        <v>25</v>
      </c>
      <c r="E3120">
        <v>4026</v>
      </c>
      <c r="F3120">
        <v>31131</v>
      </c>
      <c r="G3120" s="3">
        <f t="shared" si="144"/>
        <v>41</v>
      </c>
      <c r="H3120" s="4">
        <f t="shared" si="145"/>
        <v>1.3170151938581842E-3</v>
      </c>
      <c r="I3120" s="1">
        <f t="shared" si="146"/>
        <v>8</v>
      </c>
    </row>
    <row r="3121" spans="1:9" hidden="1" x14ac:dyDescent="0.2">
      <c r="A3121" s="6">
        <v>44000.708333333336</v>
      </c>
      <c r="B3121" s="1" t="s">
        <v>18</v>
      </c>
      <c r="C3121">
        <v>397</v>
      </c>
      <c r="D3121">
        <v>25</v>
      </c>
      <c r="E3121">
        <v>4032</v>
      </c>
      <c r="F3121">
        <v>31162</v>
      </c>
      <c r="G3121" s="3">
        <f t="shared" si="144"/>
        <v>31</v>
      </c>
      <c r="H3121" s="4">
        <f t="shared" si="145"/>
        <v>9.9480136063156976E-4</v>
      </c>
      <c r="I3121" s="1">
        <f t="shared" si="146"/>
        <v>6</v>
      </c>
    </row>
    <row r="3122" spans="1:9" hidden="1" x14ac:dyDescent="0.2">
      <c r="A3122" s="6">
        <v>44001.708333333336</v>
      </c>
      <c r="B3122" s="1" t="s">
        <v>18</v>
      </c>
      <c r="C3122">
        <v>363</v>
      </c>
      <c r="D3122">
        <v>22</v>
      </c>
      <c r="E3122">
        <v>4039</v>
      </c>
      <c r="F3122">
        <v>31188</v>
      </c>
      <c r="G3122" s="3">
        <f t="shared" si="144"/>
        <v>26</v>
      </c>
      <c r="H3122" s="4">
        <f t="shared" si="145"/>
        <v>8.3365396947543413E-4</v>
      </c>
      <c r="I3122" s="1">
        <f t="shared" si="146"/>
        <v>7</v>
      </c>
    </row>
    <row r="3123" spans="1:9" hidden="1" x14ac:dyDescent="0.2">
      <c r="A3123" s="6">
        <v>44002.708333333336</v>
      </c>
      <c r="B3123" s="1" t="s">
        <v>18</v>
      </c>
      <c r="C3123">
        <v>358</v>
      </c>
      <c r="D3123">
        <v>17</v>
      </c>
      <c r="E3123">
        <v>4045</v>
      </c>
      <c r="F3123">
        <v>31215</v>
      </c>
      <c r="G3123" s="3">
        <f t="shared" si="144"/>
        <v>27</v>
      </c>
      <c r="H3123" s="4">
        <f t="shared" si="145"/>
        <v>8.6496876501684916E-4</v>
      </c>
      <c r="I3123" s="1">
        <f t="shared" si="146"/>
        <v>6</v>
      </c>
    </row>
    <row r="3124" spans="1:9" hidden="1" x14ac:dyDescent="0.2">
      <c r="A3124" s="6">
        <v>44003.708333333336</v>
      </c>
      <c r="B3124" s="1" t="s">
        <v>18</v>
      </c>
      <c r="C3124">
        <v>356</v>
      </c>
      <c r="D3124">
        <v>19</v>
      </c>
      <c r="E3124">
        <v>4051</v>
      </c>
      <c r="F3124">
        <v>31241</v>
      </c>
      <c r="G3124" s="3">
        <f t="shared" si="144"/>
        <v>26</v>
      </c>
      <c r="H3124" s="4">
        <f t="shared" si="145"/>
        <v>8.3223968502932344E-4</v>
      </c>
      <c r="I3124" s="1">
        <f t="shared" si="146"/>
        <v>6</v>
      </c>
    </row>
    <row r="3125" spans="1:9" hidden="1" x14ac:dyDescent="0.2">
      <c r="A3125" s="6">
        <v>44004.708333333336</v>
      </c>
      <c r="B3125" s="1" t="s">
        <v>18</v>
      </c>
      <c r="C3125">
        <v>346</v>
      </c>
      <c r="D3125">
        <v>19</v>
      </c>
      <c r="E3125">
        <v>4055</v>
      </c>
      <c r="F3125">
        <v>31248</v>
      </c>
      <c r="G3125" s="3">
        <f t="shared" si="144"/>
        <v>7</v>
      </c>
      <c r="H3125" s="4">
        <f t="shared" si="145"/>
        <v>2.2401433691754402E-4</v>
      </c>
      <c r="I3125" s="1">
        <f t="shared" si="146"/>
        <v>4</v>
      </c>
    </row>
    <row r="3126" spans="1:9" hidden="1" x14ac:dyDescent="0.2">
      <c r="A3126" s="6">
        <v>44005.708333333336</v>
      </c>
      <c r="B3126" s="1" t="s">
        <v>18</v>
      </c>
      <c r="C3126">
        <v>330</v>
      </c>
      <c r="D3126">
        <v>18</v>
      </c>
      <c r="E3126">
        <v>4059</v>
      </c>
      <c r="F3126">
        <v>31254</v>
      </c>
      <c r="G3126" s="3">
        <f t="shared" si="144"/>
        <v>6</v>
      </c>
      <c r="H3126" s="4">
        <f t="shared" si="145"/>
        <v>1.9197542714533E-4</v>
      </c>
      <c r="I3126" s="1">
        <f t="shared" si="146"/>
        <v>4</v>
      </c>
    </row>
    <row r="3127" spans="1:9" hidden="1" x14ac:dyDescent="0.2">
      <c r="A3127" s="6">
        <v>44006.708333333336</v>
      </c>
      <c r="B3127" s="1" t="s">
        <v>18</v>
      </c>
      <c r="C3127">
        <v>334</v>
      </c>
      <c r="D3127">
        <v>18</v>
      </c>
      <c r="E3127">
        <v>4066</v>
      </c>
      <c r="F3127">
        <v>31276</v>
      </c>
      <c r="G3127" s="3">
        <f t="shared" si="144"/>
        <v>22</v>
      </c>
      <c r="H3127" s="4">
        <f t="shared" si="145"/>
        <v>7.0341475892055083E-4</v>
      </c>
      <c r="I3127" s="1">
        <f t="shared" si="146"/>
        <v>7</v>
      </c>
    </row>
    <row r="3128" spans="1:9" hidden="1" x14ac:dyDescent="0.2">
      <c r="A3128" s="6">
        <v>44007.708333333336</v>
      </c>
      <c r="B3128" s="1" t="s">
        <v>18</v>
      </c>
      <c r="C3128">
        <v>316</v>
      </c>
      <c r="D3128">
        <v>15</v>
      </c>
      <c r="E3128">
        <v>4071</v>
      </c>
      <c r="F3128">
        <v>31296</v>
      </c>
      <c r="G3128" s="3">
        <f t="shared" si="144"/>
        <v>20</v>
      </c>
      <c r="H3128" s="4">
        <f t="shared" si="145"/>
        <v>6.3905930470342653E-4</v>
      </c>
      <c r="I3128" s="1">
        <f t="shared" si="146"/>
        <v>5</v>
      </c>
    </row>
    <row r="3129" spans="1:9" hidden="1" x14ac:dyDescent="0.2">
      <c r="A3129" s="6">
        <v>44008.708333333336</v>
      </c>
      <c r="B3129" s="1" t="s">
        <v>18</v>
      </c>
      <c r="C3129">
        <v>307</v>
      </c>
      <c r="D3129">
        <v>14</v>
      </c>
      <c r="E3129">
        <v>4077</v>
      </c>
      <c r="F3129">
        <v>31311</v>
      </c>
      <c r="G3129" s="3">
        <f t="shared" si="144"/>
        <v>15</v>
      </c>
      <c r="H3129" s="4">
        <f t="shared" si="145"/>
        <v>4.7906486538273896E-4</v>
      </c>
      <c r="I3129" s="1">
        <f t="shared" si="146"/>
        <v>6</v>
      </c>
    </row>
    <row r="3130" spans="1:9" hidden="1" x14ac:dyDescent="0.2">
      <c r="A3130" s="6">
        <v>44009.708333333336</v>
      </c>
      <c r="B3130" s="1" t="s">
        <v>18</v>
      </c>
      <c r="C3130">
        <v>303</v>
      </c>
      <c r="D3130">
        <v>12</v>
      </c>
      <c r="E3130">
        <v>4080</v>
      </c>
      <c r="F3130">
        <v>31322</v>
      </c>
      <c r="G3130" s="3">
        <f t="shared" si="144"/>
        <v>11</v>
      </c>
      <c r="H3130" s="4">
        <f t="shared" si="145"/>
        <v>3.5119085626711399E-4</v>
      </c>
      <c r="I3130" s="1">
        <f t="shared" si="146"/>
        <v>3</v>
      </c>
    </row>
    <row r="3131" spans="1:9" hidden="1" x14ac:dyDescent="0.2">
      <c r="A3131" s="6">
        <v>44010.708333333336</v>
      </c>
      <c r="B3131" s="1" t="s">
        <v>18</v>
      </c>
      <c r="C3131">
        <v>305</v>
      </c>
      <c r="D3131">
        <v>12</v>
      </c>
      <c r="E3131">
        <v>4085</v>
      </c>
      <c r="F3131">
        <v>31336</v>
      </c>
      <c r="G3131" s="3">
        <f t="shared" si="144"/>
        <v>14</v>
      </c>
      <c r="H3131" s="4">
        <f t="shared" si="145"/>
        <v>4.4677048761809779E-4</v>
      </c>
      <c r="I3131" s="1">
        <f t="shared" si="146"/>
        <v>5</v>
      </c>
    </row>
    <row r="3132" spans="1:9" hidden="1" x14ac:dyDescent="0.2">
      <c r="A3132" s="6">
        <v>44011.708333333336</v>
      </c>
      <c r="B3132" s="1" t="s">
        <v>18</v>
      </c>
      <c r="C3132">
        <v>283</v>
      </c>
      <c r="D3132">
        <v>11</v>
      </c>
      <c r="E3132">
        <v>4087</v>
      </c>
      <c r="F3132">
        <v>31338</v>
      </c>
      <c r="G3132" s="3">
        <f t="shared" si="144"/>
        <v>2</v>
      </c>
      <c r="H3132" s="4">
        <f t="shared" si="145"/>
        <v>6.3820282085624847E-5</v>
      </c>
      <c r="I3132" s="1">
        <f t="shared" si="146"/>
        <v>2</v>
      </c>
    </row>
    <row r="3133" spans="1:9" hidden="1" x14ac:dyDescent="0.2">
      <c r="A3133" s="6">
        <v>44012.708333333336</v>
      </c>
      <c r="B3133" s="1" t="s">
        <v>18</v>
      </c>
      <c r="C3133">
        <v>267</v>
      </c>
      <c r="D3133">
        <v>12</v>
      </c>
      <c r="E3133">
        <v>4090</v>
      </c>
      <c r="F3133">
        <v>31349</v>
      </c>
      <c r="G3133" s="3">
        <f t="shared" si="144"/>
        <v>11</v>
      </c>
      <c r="H3133" s="4">
        <f t="shared" si="145"/>
        <v>3.508883855943834E-4</v>
      </c>
      <c r="I3133" s="1">
        <f t="shared" si="146"/>
        <v>3</v>
      </c>
    </row>
    <row r="3134" spans="1:9" hidden="1" x14ac:dyDescent="0.2">
      <c r="A3134" s="6">
        <v>44013.708333333336</v>
      </c>
      <c r="B3134" s="1" t="s">
        <v>18</v>
      </c>
      <c r="C3134">
        <v>260</v>
      </c>
      <c r="D3134">
        <v>11</v>
      </c>
      <c r="E3134">
        <v>4091</v>
      </c>
      <c r="F3134">
        <v>31365</v>
      </c>
      <c r="G3134" s="3">
        <f t="shared" si="144"/>
        <v>16</v>
      </c>
      <c r="H3134" s="4">
        <f t="shared" si="145"/>
        <v>5.1012274828632354E-4</v>
      </c>
      <c r="I3134" s="1">
        <f t="shared" si="146"/>
        <v>1</v>
      </c>
    </row>
    <row r="3135" spans="1:9" hidden="1" x14ac:dyDescent="0.2">
      <c r="A3135" s="6">
        <v>44014.708333333336</v>
      </c>
      <c r="B3135" s="1" t="s">
        <v>18</v>
      </c>
      <c r="C3135">
        <v>248</v>
      </c>
      <c r="D3135">
        <v>11</v>
      </c>
      <c r="E3135">
        <v>4096</v>
      </c>
      <c r="F3135">
        <v>31378</v>
      </c>
      <c r="G3135" s="3">
        <f t="shared" si="144"/>
        <v>13</v>
      </c>
      <c r="H3135" s="4">
        <f t="shared" si="145"/>
        <v>4.1430301485112508E-4</v>
      </c>
      <c r="I3135" s="1">
        <f t="shared" si="146"/>
        <v>5</v>
      </c>
    </row>
    <row r="3136" spans="1:9" hidden="1" x14ac:dyDescent="0.2">
      <c r="A3136" s="6">
        <v>44015.708333333336</v>
      </c>
      <c r="B3136" s="1" t="s">
        <v>18</v>
      </c>
      <c r="C3136">
        <v>235</v>
      </c>
      <c r="D3136">
        <v>10</v>
      </c>
      <c r="E3136">
        <v>4100</v>
      </c>
      <c r="F3136">
        <v>31394</v>
      </c>
      <c r="G3136" s="3">
        <f t="shared" si="144"/>
        <v>16</v>
      </c>
      <c r="H3136" s="4">
        <f t="shared" si="145"/>
        <v>5.096515257692058E-4</v>
      </c>
      <c r="I3136" s="1">
        <f t="shared" si="146"/>
        <v>4</v>
      </c>
    </row>
    <row r="3137" spans="1:9" hidden="1" x14ac:dyDescent="0.2">
      <c r="A3137" s="6">
        <v>44016.708333333336</v>
      </c>
      <c r="B3137" s="1" t="s">
        <v>18</v>
      </c>
      <c r="C3137">
        <v>225</v>
      </c>
      <c r="D3137">
        <v>9</v>
      </c>
      <c r="E3137">
        <v>4102</v>
      </c>
      <c r="F3137">
        <v>31405</v>
      </c>
      <c r="G3137" s="3">
        <f t="shared" si="144"/>
        <v>11</v>
      </c>
      <c r="H3137" s="4">
        <f t="shared" si="145"/>
        <v>3.5026269702276291E-4</v>
      </c>
      <c r="I3137" s="1">
        <f t="shared" si="146"/>
        <v>2</v>
      </c>
    </row>
    <row r="3138" spans="1:9" hidden="1" x14ac:dyDescent="0.2">
      <c r="A3138" s="6">
        <v>44017.708333333336</v>
      </c>
      <c r="B3138" s="1" t="s">
        <v>18</v>
      </c>
      <c r="C3138">
        <v>226</v>
      </c>
      <c r="D3138">
        <v>9</v>
      </c>
      <c r="E3138">
        <v>4102</v>
      </c>
      <c r="F3138">
        <v>31423</v>
      </c>
      <c r="G3138" s="3">
        <f t="shared" si="144"/>
        <v>18</v>
      </c>
      <c r="H3138" s="4">
        <f t="shared" si="145"/>
        <v>5.728288196543696E-4</v>
      </c>
      <c r="I3138" s="1">
        <f t="shared" si="146"/>
        <v>0</v>
      </c>
    </row>
    <row r="3139" spans="1:9" hidden="1" x14ac:dyDescent="0.2">
      <c r="A3139" s="6">
        <v>44018.708333333336</v>
      </c>
      <c r="B3139" s="1" t="s">
        <v>18</v>
      </c>
      <c r="C3139">
        <v>210</v>
      </c>
      <c r="D3139">
        <v>9</v>
      </c>
      <c r="E3139">
        <v>4104</v>
      </c>
      <c r="F3139">
        <v>31429</v>
      </c>
      <c r="G3139" s="3">
        <f t="shared" ref="G3139:G3202" si="147">IF(AND(F3139&gt;0,AND(B3139=B3138,F3139&gt;0)),F3139-F3138,0)</f>
        <v>6</v>
      </c>
      <c r="H3139" s="4">
        <f t="shared" ref="H3139:H3202" si="148">IF(AND(F3138&gt;0,AND(B3139=B3138,F3138&gt;0)),1-(F3138/F3139),0)</f>
        <v>1.909064876387534E-4</v>
      </c>
      <c r="I3139" s="1">
        <f t="shared" ref="I3139:I3202" si="149">IF(AND(E3139&gt;0,AND(B3139=B3138,E3139&gt;0)),E3139-E3138,0)</f>
        <v>2</v>
      </c>
    </row>
    <row r="3140" spans="1:9" hidden="1" x14ac:dyDescent="0.2">
      <c r="A3140" s="6">
        <v>44019.708333333336</v>
      </c>
      <c r="B3140" s="1" t="s">
        <v>18</v>
      </c>
      <c r="C3140">
        <v>210</v>
      </c>
      <c r="D3140">
        <v>8</v>
      </c>
      <c r="E3140">
        <v>4107</v>
      </c>
      <c r="F3140">
        <v>31434</v>
      </c>
      <c r="G3140" s="3">
        <f t="shared" si="147"/>
        <v>5</v>
      </c>
      <c r="H3140" s="4">
        <f t="shared" si="148"/>
        <v>1.590634344976749E-4</v>
      </c>
      <c r="I3140" s="1">
        <f t="shared" si="149"/>
        <v>3</v>
      </c>
    </row>
    <row r="3141" spans="1:9" hidden="1" x14ac:dyDescent="0.2">
      <c r="A3141" s="6">
        <v>44020.708333333336</v>
      </c>
      <c r="B3141" s="1" t="s">
        <v>18</v>
      </c>
      <c r="C3141">
        <v>205</v>
      </c>
      <c r="D3141">
        <v>8</v>
      </c>
      <c r="E3141">
        <v>4107</v>
      </c>
      <c r="F3141">
        <v>31459</v>
      </c>
      <c r="G3141" s="3">
        <f t="shared" si="147"/>
        <v>25</v>
      </c>
      <c r="H3141" s="4">
        <f t="shared" si="148"/>
        <v>7.9468514574521087E-4</v>
      </c>
      <c r="I3141" s="1">
        <f t="shared" si="149"/>
        <v>0</v>
      </c>
    </row>
    <row r="3142" spans="1:9" hidden="1" x14ac:dyDescent="0.2">
      <c r="A3142" s="6">
        <v>44021.708333333336</v>
      </c>
      <c r="B3142" s="1" t="s">
        <v>18</v>
      </c>
      <c r="C3142">
        <v>193</v>
      </c>
      <c r="D3142">
        <v>10</v>
      </c>
      <c r="E3142">
        <v>4108</v>
      </c>
      <c r="F3142">
        <v>31475</v>
      </c>
      <c r="G3142" s="3">
        <f t="shared" si="147"/>
        <v>16</v>
      </c>
      <c r="H3142" s="4">
        <f t="shared" si="148"/>
        <v>5.0833995234311757E-4</v>
      </c>
      <c r="I3142" s="1">
        <f t="shared" si="149"/>
        <v>1</v>
      </c>
    </row>
    <row r="3143" spans="1:9" hidden="1" x14ac:dyDescent="0.2">
      <c r="A3143" s="6">
        <v>44022.708333333336</v>
      </c>
      <c r="B3143" s="1" t="s">
        <v>18</v>
      </c>
      <c r="C3143">
        <v>193</v>
      </c>
      <c r="D3143">
        <v>9</v>
      </c>
      <c r="E3143">
        <v>4110</v>
      </c>
      <c r="F3143">
        <v>31485</v>
      </c>
      <c r="G3143" s="3">
        <f t="shared" si="147"/>
        <v>10</v>
      </c>
      <c r="H3143" s="4">
        <f t="shared" si="148"/>
        <v>3.1761156106080435E-4</v>
      </c>
      <c r="I3143" s="1">
        <f t="shared" si="149"/>
        <v>2</v>
      </c>
    </row>
    <row r="3144" spans="1:9" hidden="1" x14ac:dyDescent="0.2">
      <c r="A3144" s="6">
        <v>44023.708333333336</v>
      </c>
      <c r="B3144" s="1" t="s">
        <v>18</v>
      </c>
      <c r="C3144">
        <v>190</v>
      </c>
      <c r="D3144">
        <v>9</v>
      </c>
      <c r="E3144">
        <v>4111</v>
      </c>
      <c r="F3144">
        <v>31494</v>
      </c>
      <c r="G3144" s="3">
        <f t="shared" si="147"/>
        <v>9</v>
      </c>
      <c r="H3144" s="4">
        <f t="shared" si="148"/>
        <v>2.8576871785102043E-4</v>
      </c>
      <c r="I3144" s="1">
        <f t="shared" si="149"/>
        <v>1</v>
      </c>
    </row>
    <row r="3145" spans="1:9" hidden="1" x14ac:dyDescent="0.2">
      <c r="A3145" s="6">
        <v>44024.708333333336</v>
      </c>
      <c r="B3145" s="1" t="s">
        <v>18</v>
      </c>
      <c r="C3145">
        <v>190</v>
      </c>
      <c r="D3145">
        <v>9</v>
      </c>
      <c r="E3145">
        <v>4111</v>
      </c>
      <c r="F3145">
        <v>31498</v>
      </c>
      <c r="G3145" s="3">
        <f t="shared" si="147"/>
        <v>4</v>
      </c>
      <c r="H3145" s="4">
        <f t="shared" si="148"/>
        <v>1.2699218998035722E-4</v>
      </c>
      <c r="I3145" s="1">
        <f t="shared" si="149"/>
        <v>0</v>
      </c>
    </row>
    <row r="3146" spans="1:9" hidden="1" x14ac:dyDescent="0.2">
      <c r="A3146" s="6">
        <v>44025.708333333336</v>
      </c>
      <c r="B3146" s="1" t="s">
        <v>18</v>
      </c>
      <c r="C3146">
        <v>180</v>
      </c>
      <c r="D3146">
        <v>9</v>
      </c>
      <c r="E3146">
        <v>4112</v>
      </c>
      <c r="F3146">
        <v>31504</v>
      </c>
      <c r="G3146" s="3">
        <f t="shared" si="147"/>
        <v>6</v>
      </c>
      <c r="H3146" s="4">
        <f t="shared" si="148"/>
        <v>1.9045200609446589E-4</v>
      </c>
      <c r="I3146" s="1">
        <f t="shared" si="149"/>
        <v>1</v>
      </c>
    </row>
    <row r="3147" spans="1:9" hidden="1" x14ac:dyDescent="0.2">
      <c r="A3147" s="6">
        <v>44026.708333333336</v>
      </c>
      <c r="B3147" s="1" t="s">
        <v>18</v>
      </c>
      <c r="C3147">
        <v>175</v>
      </c>
      <c r="D3147">
        <v>9</v>
      </c>
      <c r="E3147">
        <v>4115</v>
      </c>
      <c r="F3147">
        <v>31507</v>
      </c>
      <c r="G3147" s="3">
        <f t="shared" si="147"/>
        <v>3</v>
      </c>
      <c r="H3147" s="4">
        <f t="shared" si="148"/>
        <v>9.521693591896252E-5</v>
      </c>
      <c r="I3147" s="1">
        <f t="shared" si="149"/>
        <v>3</v>
      </c>
    </row>
    <row r="3148" spans="1:9" hidden="1" x14ac:dyDescent="0.2">
      <c r="A3148" s="6">
        <v>44027.708333333336</v>
      </c>
      <c r="B3148" s="1" t="s">
        <v>18</v>
      </c>
      <c r="C3148">
        <v>163</v>
      </c>
      <c r="D3148">
        <v>8</v>
      </c>
      <c r="E3148">
        <v>4118</v>
      </c>
      <c r="F3148">
        <v>31515</v>
      </c>
      <c r="G3148" s="3">
        <f t="shared" si="147"/>
        <v>8</v>
      </c>
      <c r="H3148" s="4">
        <f t="shared" si="148"/>
        <v>2.5384737426625836E-4</v>
      </c>
      <c r="I3148" s="1">
        <f t="shared" si="149"/>
        <v>3</v>
      </c>
    </row>
    <row r="3149" spans="1:9" hidden="1" x14ac:dyDescent="0.2">
      <c r="A3149" s="6">
        <v>44028.708333333336</v>
      </c>
      <c r="B3149" s="1" t="s">
        <v>18</v>
      </c>
      <c r="C3149">
        <v>159</v>
      </c>
      <c r="D3149">
        <v>6</v>
      </c>
      <c r="E3149">
        <v>4118</v>
      </c>
      <c r="F3149">
        <v>31522</v>
      </c>
      <c r="G3149" s="3">
        <f t="shared" si="147"/>
        <v>7</v>
      </c>
      <c r="H3149" s="4">
        <f t="shared" si="148"/>
        <v>2.2206712772032677E-4</v>
      </c>
      <c r="I3149" s="1">
        <f t="shared" si="149"/>
        <v>0</v>
      </c>
    </row>
    <row r="3150" spans="1:9" hidden="1" x14ac:dyDescent="0.2">
      <c r="A3150" s="6">
        <v>44029.708333333336</v>
      </c>
      <c r="B3150" s="1" t="s">
        <v>18</v>
      </c>
      <c r="C3150">
        <v>150</v>
      </c>
      <c r="D3150">
        <v>6</v>
      </c>
      <c r="E3150">
        <v>4119</v>
      </c>
      <c r="F3150">
        <v>31530</v>
      </c>
      <c r="G3150" s="3">
        <f t="shared" si="147"/>
        <v>8</v>
      </c>
      <c r="H3150" s="4">
        <f t="shared" si="148"/>
        <v>2.537266095782309E-4</v>
      </c>
      <c r="I3150" s="1">
        <f t="shared" si="149"/>
        <v>1</v>
      </c>
    </row>
    <row r="3151" spans="1:9" hidden="1" x14ac:dyDescent="0.2">
      <c r="A3151" s="6">
        <v>44030.708333333336</v>
      </c>
      <c r="B3151" s="1" t="s">
        <v>18</v>
      </c>
      <c r="C3151">
        <v>150</v>
      </c>
      <c r="D3151">
        <v>6</v>
      </c>
      <c r="E3151">
        <v>4119</v>
      </c>
      <c r="F3151">
        <v>31533</v>
      </c>
      <c r="G3151" s="3">
        <f t="shared" si="147"/>
        <v>3</v>
      </c>
      <c r="H3151" s="4">
        <f t="shared" si="148"/>
        <v>9.51384264104016E-5</v>
      </c>
      <c r="I3151" s="1">
        <f t="shared" si="149"/>
        <v>0</v>
      </c>
    </row>
    <row r="3152" spans="1:9" hidden="1" x14ac:dyDescent="0.2">
      <c r="A3152" s="6">
        <v>44031.708333333336</v>
      </c>
      <c r="B3152" s="1" t="s">
        <v>18</v>
      </c>
      <c r="C3152">
        <v>152</v>
      </c>
      <c r="D3152">
        <v>6</v>
      </c>
      <c r="E3152">
        <v>4119</v>
      </c>
      <c r="F3152">
        <v>31536</v>
      </c>
      <c r="G3152" s="3">
        <f t="shared" si="147"/>
        <v>3</v>
      </c>
      <c r="H3152" s="4">
        <f t="shared" si="148"/>
        <v>9.5129375951241713E-5</v>
      </c>
      <c r="I3152" s="1">
        <f t="shared" si="149"/>
        <v>0</v>
      </c>
    </row>
    <row r="3153" spans="1:9" hidden="1" x14ac:dyDescent="0.2">
      <c r="A3153" s="6">
        <v>44032.708333333336</v>
      </c>
      <c r="B3153" s="1" t="s">
        <v>18</v>
      </c>
      <c r="C3153">
        <v>150</v>
      </c>
      <c r="D3153">
        <v>6</v>
      </c>
      <c r="E3153">
        <v>4120</v>
      </c>
      <c r="F3153">
        <v>31537</v>
      </c>
      <c r="G3153" s="3">
        <f t="shared" si="147"/>
        <v>1</v>
      </c>
      <c r="H3153" s="4">
        <f t="shared" si="148"/>
        <v>3.1708786504713871E-5</v>
      </c>
      <c r="I3153" s="1">
        <f t="shared" si="149"/>
        <v>1</v>
      </c>
    </row>
    <row r="3154" spans="1:9" hidden="1" x14ac:dyDescent="0.2">
      <c r="A3154" s="6">
        <v>44033.708333333336</v>
      </c>
      <c r="B3154" s="1" t="s">
        <v>18</v>
      </c>
      <c r="C3154">
        <v>144</v>
      </c>
      <c r="D3154">
        <v>6</v>
      </c>
      <c r="E3154">
        <v>4123</v>
      </c>
      <c r="F3154">
        <v>31545</v>
      </c>
      <c r="G3154" s="3">
        <f t="shared" si="147"/>
        <v>8</v>
      </c>
      <c r="H3154" s="4">
        <f t="shared" si="148"/>
        <v>2.5360595973999978E-4</v>
      </c>
      <c r="I3154" s="1">
        <f t="shared" si="149"/>
        <v>3</v>
      </c>
    </row>
    <row r="3155" spans="1:9" hidden="1" x14ac:dyDescent="0.2">
      <c r="A3155" s="6">
        <v>44034.708333333336</v>
      </c>
      <c r="B3155" s="1" t="s">
        <v>18</v>
      </c>
      <c r="C3155">
        <v>146</v>
      </c>
      <c r="D3155">
        <v>6</v>
      </c>
      <c r="E3155">
        <v>4123</v>
      </c>
      <c r="F3155">
        <v>31558</v>
      </c>
      <c r="G3155" s="3">
        <f t="shared" si="147"/>
        <v>13</v>
      </c>
      <c r="H3155" s="4">
        <f t="shared" si="148"/>
        <v>4.1193992014698644E-4</v>
      </c>
      <c r="I3155" s="1">
        <f t="shared" si="149"/>
        <v>0</v>
      </c>
    </row>
    <row r="3156" spans="1:9" hidden="1" x14ac:dyDescent="0.2">
      <c r="A3156" s="6">
        <v>44035.708333333336</v>
      </c>
      <c r="B3156" s="1" t="s">
        <v>18</v>
      </c>
      <c r="C3156">
        <v>144</v>
      </c>
      <c r="D3156">
        <v>6</v>
      </c>
      <c r="E3156">
        <v>4123</v>
      </c>
      <c r="F3156">
        <v>31567</v>
      </c>
      <c r="G3156" s="3">
        <f t="shared" si="147"/>
        <v>9</v>
      </c>
      <c r="H3156" s="4">
        <f t="shared" si="148"/>
        <v>2.8510786580926428E-4</v>
      </c>
      <c r="I3156" s="1">
        <f t="shared" si="149"/>
        <v>0</v>
      </c>
    </row>
    <row r="3157" spans="1:9" hidden="1" x14ac:dyDescent="0.2">
      <c r="A3157" s="6">
        <v>44036.708333333336</v>
      </c>
      <c r="B3157" s="1" t="s">
        <v>18</v>
      </c>
      <c r="C3157">
        <v>147</v>
      </c>
      <c r="D3157">
        <v>5</v>
      </c>
      <c r="E3157">
        <v>4123</v>
      </c>
      <c r="F3157">
        <v>31578</v>
      </c>
      <c r="G3157" s="3">
        <f t="shared" si="147"/>
        <v>11</v>
      </c>
      <c r="H3157" s="4">
        <f t="shared" si="148"/>
        <v>3.4834378364678731E-4</v>
      </c>
      <c r="I3157" s="1">
        <f t="shared" si="149"/>
        <v>0</v>
      </c>
    </row>
    <row r="3158" spans="1:9" hidden="1" x14ac:dyDescent="0.2">
      <c r="A3158" s="6">
        <v>44037.708333333336</v>
      </c>
      <c r="B3158" s="1" t="s">
        <v>18</v>
      </c>
      <c r="C3158">
        <v>141</v>
      </c>
      <c r="D3158">
        <v>5</v>
      </c>
      <c r="E3158">
        <v>4125</v>
      </c>
      <c r="F3158">
        <v>31594</v>
      </c>
      <c r="G3158" s="3">
        <f t="shared" si="147"/>
        <v>16</v>
      </c>
      <c r="H3158" s="4">
        <f t="shared" si="148"/>
        <v>5.0642527062105813E-4</v>
      </c>
      <c r="I3158" s="1">
        <f t="shared" si="149"/>
        <v>2</v>
      </c>
    </row>
    <row r="3159" spans="1:9" hidden="1" x14ac:dyDescent="0.2">
      <c r="A3159" s="6">
        <v>44038.708333333336</v>
      </c>
      <c r="B3159" s="1" t="s">
        <v>18</v>
      </c>
      <c r="C3159">
        <v>143</v>
      </c>
      <c r="D3159">
        <v>5</v>
      </c>
      <c r="E3159">
        <v>4126</v>
      </c>
      <c r="F3159">
        <v>31606</v>
      </c>
      <c r="G3159" s="3">
        <f t="shared" si="147"/>
        <v>12</v>
      </c>
      <c r="H3159" s="4">
        <f t="shared" si="148"/>
        <v>3.7967474530153922E-4</v>
      </c>
      <c r="I3159" s="1">
        <f t="shared" si="149"/>
        <v>1</v>
      </c>
    </row>
    <row r="3160" spans="1:9" hidden="1" x14ac:dyDescent="0.2">
      <c r="A3160" s="6">
        <v>44039.708333333336</v>
      </c>
      <c r="B3160" s="1" t="s">
        <v>18</v>
      </c>
      <c r="C3160">
        <v>141</v>
      </c>
      <c r="D3160">
        <v>5</v>
      </c>
      <c r="E3160">
        <v>4127</v>
      </c>
      <c r="F3160">
        <v>31610</v>
      </c>
      <c r="G3160" s="3">
        <f t="shared" si="147"/>
        <v>4</v>
      </c>
      <c r="H3160" s="4">
        <f t="shared" si="148"/>
        <v>1.2654223347041693E-4</v>
      </c>
      <c r="I3160" s="1">
        <f t="shared" si="149"/>
        <v>1</v>
      </c>
    </row>
    <row r="3161" spans="1:9" hidden="1" x14ac:dyDescent="0.2">
      <c r="A3161" s="6">
        <v>44040.708333333336</v>
      </c>
      <c r="B3161" s="1" t="s">
        <v>18</v>
      </c>
      <c r="C3161">
        <v>136</v>
      </c>
      <c r="D3161">
        <v>5</v>
      </c>
      <c r="E3161">
        <v>4127</v>
      </c>
      <c r="F3161">
        <v>31622</v>
      </c>
      <c r="G3161" s="3">
        <f t="shared" si="147"/>
        <v>12</v>
      </c>
      <c r="H3161" s="4">
        <f t="shared" si="148"/>
        <v>3.7948263866927068E-4</v>
      </c>
      <c r="I3161" s="1">
        <f t="shared" si="149"/>
        <v>0</v>
      </c>
    </row>
    <row r="3162" spans="1:9" hidden="1" x14ac:dyDescent="0.2">
      <c r="A3162" s="6">
        <v>44041.708333333336</v>
      </c>
      <c r="B3162" s="1" t="s">
        <v>18</v>
      </c>
      <c r="C3162">
        <v>124</v>
      </c>
      <c r="D3162">
        <v>5</v>
      </c>
      <c r="E3162">
        <v>4128</v>
      </c>
      <c r="F3162">
        <v>31636</v>
      </c>
      <c r="G3162" s="3">
        <f t="shared" si="147"/>
        <v>14</v>
      </c>
      <c r="H3162" s="4">
        <f t="shared" si="148"/>
        <v>4.4253382222780857E-4</v>
      </c>
      <c r="I3162" s="1">
        <f t="shared" si="149"/>
        <v>1</v>
      </c>
    </row>
    <row r="3163" spans="1:9" hidden="1" x14ac:dyDescent="0.2">
      <c r="A3163" s="6">
        <v>44042.708333333336</v>
      </c>
      <c r="B3163" s="1" t="s">
        <v>18</v>
      </c>
      <c r="C3163">
        <v>124</v>
      </c>
      <c r="D3163">
        <v>5</v>
      </c>
      <c r="E3163">
        <v>4128</v>
      </c>
      <c r="F3163">
        <v>31646</v>
      </c>
      <c r="G3163" s="3">
        <f t="shared" si="147"/>
        <v>10</v>
      </c>
      <c r="H3163" s="4">
        <f t="shared" si="148"/>
        <v>3.1599570245843811E-4</v>
      </c>
      <c r="I3163" s="1">
        <f t="shared" si="149"/>
        <v>0</v>
      </c>
    </row>
    <row r="3164" spans="1:9" hidden="1" x14ac:dyDescent="0.2">
      <c r="A3164" s="6">
        <v>44043.708333333336</v>
      </c>
      <c r="B3164" s="1" t="s">
        <v>18</v>
      </c>
      <c r="C3164">
        <v>103</v>
      </c>
      <c r="D3164">
        <v>5</v>
      </c>
      <c r="E3164">
        <v>4129</v>
      </c>
      <c r="F3164">
        <v>31667</v>
      </c>
      <c r="G3164" s="3">
        <f t="shared" si="147"/>
        <v>21</v>
      </c>
      <c r="H3164" s="4">
        <f t="shared" si="148"/>
        <v>6.631509142008829E-4</v>
      </c>
      <c r="I3164" s="1">
        <f t="shared" si="149"/>
        <v>1</v>
      </c>
    </row>
    <row r="3165" spans="1:9" hidden="1" x14ac:dyDescent="0.2">
      <c r="A3165" s="6">
        <v>44044.708333333336</v>
      </c>
      <c r="B3165" s="1" t="s">
        <v>18</v>
      </c>
      <c r="C3165">
        <v>96</v>
      </c>
      <c r="D3165">
        <v>5</v>
      </c>
      <c r="E3165">
        <v>4129</v>
      </c>
      <c r="F3165">
        <v>31683</v>
      </c>
      <c r="G3165" s="3">
        <f t="shared" si="147"/>
        <v>16</v>
      </c>
      <c r="H3165" s="4">
        <f t="shared" si="148"/>
        <v>5.0500268282671623E-4</v>
      </c>
      <c r="I3165" s="1">
        <f t="shared" si="149"/>
        <v>0</v>
      </c>
    </row>
    <row r="3166" spans="1:9" hidden="1" x14ac:dyDescent="0.2">
      <c r="A3166" s="6">
        <v>44045.708333333336</v>
      </c>
      <c r="B3166" s="1" t="s">
        <v>18</v>
      </c>
      <c r="C3166">
        <v>95</v>
      </c>
      <c r="D3166">
        <v>5</v>
      </c>
      <c r="E3166">
        <v>4129</v>
      </c>
      <c r="F3166">
        <v>31698</v>
      </c>
      <c r="G3166" s="3">
        <f t="shared" si="147"/>
        <v>15</v>
      </c>
      <c r="H3166" s="4">
        <f t="shared" si="148"/>
        <v>4.732159757713239E-4</v>
      </c>
      <c r="I3166" s="1">
        <f t="shared" si="149"/>
        <v>0</v>
      </c>
    </row>
    <row r="3167" spans="1:9" hidden="1" x14ac:dyDescent="0.2">
      <c r="A3167" s="6">
        <v>44046.708333333336</v>
      </c>
      <c r="B3167" s="1" t="s">
        <v>18</v>
      </c>
      <c r="C3167">
        <v>95</v>
      </c>
      <c r="D3167">
        <v>5</v>
      </c>
      <c r="E3167">
        <v>4131</v>
      </c>
      <c r="F3167">
        <v>31711</v>
      </c>
      <c r="G3167" s="3">
        <f t="shared" si="147"/>
        <v>13</v>
      </c>
      <c r="H3167" s="4">
        <f t="shared" si="148"/>
        <v>4.0995238245400412E-4</v>
      </c>
      <c r="I3167" s="1">
        <f t="shared" si="149"/>
        <v>2</v>
      </c>
    </row>
    <row r="3168" spans="1:9" hidden="1" x14ac:dyDescent="0.2">
      <c r="A3168" s="6">
        <v>44047.708333333336</v>
      </c>
      <c r="B3168" s="1" t="s">
        <v>18</v>
      </c>
      <c r="C3168">
        <v>101</v>
      </c>
      <c r="D3168">
        <v>6</v>
      </c>
      <c r="E3168">
        <v>4132</v>
      </c>
      <c r="F3168">
        <v>31719</v>
      </c>
      <c r="G3168" s="3">
        <f t="shared" si="147"/>
        <v>8</v>
      </c>
      <c r="H3168" s="4">
        <f t="shared" si="148"/>
        <v>2.5221476086889627E-4</v>
      </c>
      <c r="I3168" s="1">
        <f t="shared" si="149"/>
        <v>1</v>
      </c>
    </row>
    <row r="3169" spans="1:9" hidden="1" x14ac:dyDescent="0.2">
      <c r="A3169" s="6">
        <v>44048.708333333336</v>
      </c>
      <c r="B3169" s="1" t="s">
        <v>18</v>
      </c>
      <c r="C3169">
        <v>94</v>
      </c>
      <c r="D3169">
        <v>4</v>
      </c>
      <c r="E3169">
        <v>4134</v>
      </c>
      <c r="F3169">
        <v>31740</v>
      </c>
      <c r="G3169" s="3">
        <f t="shared" si="147"/>
        <v>21</v>
      </c>
      <c r="H3169" s="4">
        <f t="shared" si="148"/>
        <v>6.6162570888472771E-4</v>
      </c>
      <c r="I3169" s="1">
        <f t="shared" si="149"/>
        <v>2</v>
      </c>
    </row>
    <row r="3170" spans="1:9" hidden="1" x14ac:dyDescent="0.2">
      <c r="A3170" s="6">
        <v>44049.708333333336</v>
      </c>
      <c r="B3170" s="1" t="s">
        <v>18</v>
      </c>
      <c r="C3170">
        <v>90</v>
      </c>
      <c r="D3170">
        <v>4</v>
      </c>
      <c r="E3170">
        <v>4135</v>
      </c>
      <c r="F3170">
        <v>31762</v>
      </c>
      <c r="G3170" s="3">
        <f t="shared" si="147"/>
        <v>22</v>
      </c>
      <c r="H3170" s="4">
        <f t="shared" si="148"/>
        <v>6.9265159624709582E-4</v>
      </c>
      <c r="I3170" s="1">
        <f t="shared" si="149"/>
        <v>1</v>
      </c>
    </row>
    <row r="3171" spans="1:9" hidden="1" x14ac:dyDescent="0.2">
      <c r="A3171" s="6">
        <v>44050.708333333336</v>
      </c>
      <c r="B3171" s="1" t="s">
        <v>18</v>
      </c>
      <c r="C3171">
        <v>88</v>
      </c>
      <c r="D3171">
        <v>3</v>
      </c>
      <c r="E3171">
        <v>4136</v>
      </c>
      <c r="F3171">
        <v>31799</v>
      </c>
      <c r="G3171" s="3">
        <f t="shared" si="147"/>
        <v>37</v>
      </c>
      <c r="H3171" s="4">
        <f t="shared" si="148"/>
        <v>1.1635586024717481E-3</v>
      </c>
      <c r="I3171" s="1">
        <f t="shared" si="149"/>
        <v>1</v>
      </c>
    </row>
    <row r="3172" spans="1:9" hidden="1" x14ac:dyDescent="0.2">
      <c r="A3172" s="6">
        <v>44051.708333333336</v>
      </c>
      <c r="B3172" s="1" t="s">
        <v>18</v>
      </c>
      <c r="C3172">
        <v>87</v>
      </c>
      <c r="D3172">
        <v>3</v>
      </c>
      <c r="E3172">
        <v>4136</v>
      </c>
      <c r="F3172">
        <v>31830</v>
      </c>
      <c r="G3172" s="3">
        <f t="shared" si="147"/>
        <v>31</v>
      </c>
      <c r="H3172" s="4">
        <f t="shared" si="148"/>
        <v>9.7392397109641315E-4</v>
      </c>
      <c r="I3172" s="1">
        <f t="shared" si="149"/>
        <v>0</v>
      </c>
    </row>
    <row r="3173" spans="1:9" hidden="1" x14ac:dyDescent="0.2">
      <c r="A3173" s="6">
        <v>44052.708333333336</v>
      </c>
      <c r="B3173" s="1" t="s">
        <v>18</v>
      </c>
      <c r="C3173">
        <v>85</v>
      </c>
      <c r="D3173">
        <v>3</v>
      </c>
      <c r="E3173">
        <v>4136</v>
      </c>
      <c r="F3173">
        <v>31868</v>
      </c>
      <c r="G3173" s="3">
        <f t="shared" si="147"/>
        <v>38</v>
      </c>
      <c r="H3173" s="4">
        <f t="shared" si="148"/>
        <v>1.1924187272499553E-3</v>
      </c>
      <c r="I3173" s="1">
        <f t="shared" si="149"/>
        <v>0</v>
      </c>
    </row>
    <row r="3174" spans="1:9" hidden="1" x14ac:dyDescent="0.2">
      <c r="A3174" s="6">
        <v>44053.708333333336</v>
      </c>
      <c r="B3174" s="1" t="s">
        <v>18</v>
      </c>
      <c r="C3174">
        <v>87</v>
      </c>
      <c r="D3174">
        <v>3</v>
      </c>
      <c r="E3174">
        <v>4136</v>
      </c>
      <c r="F3174">
        <v>31888</v>
      </c>
      <c r="G3174" s="3">
        <f t="shared" si="147"/>
        <v>20</v>
      </c>
      <c r="H3174" s="4">
        <f t="shared" si="148"/>
        <v>6.2719518314102718E-4</v>
      </c>
      <c r="I3174" s="1">
        <f t="shared" si="149"/>
        <v>0</v>
      </c>
    </row>
    <row r="3175" spans="1:9" hidden="1" x14ac:dyDescent="0.2">
      <c r="A3175" s="6">
        <v>44054.708333333336</v>
      </c>
      <c r="B3175" s="1" t="s">
        <v>18</v>
      </c>
      <c r="C3175">
        <v>85</v>
      </c>
      <c r="D3175">
        <v>3</v>
      </c>
      <c r="E3175">
        <v>4136</v>
      </c>
      <c r="F3175">
        <v>31914</v>
      </c>
      <c r="G3175" s="3">
        <f t="shared" si="147"/>
        <v>26</v>
      </c>
      <c r="H3175" s="4">
        <f t="shared" si="148"/>
        <v>8.146894779720304E-4</v>
      </c>
      <c r="I3175" s="1">
        <f t="shared" si="149"/>
        <v>0</v>
      </c>
    </row>
    <row r="3176" spans="1:9" hidden="1" x14ac:dyDescent="0.2">
      <c r="A3176" s="6">
        <v>44055.708333333336</v>
      </c>
      <c r="B3176" s="1" t="s">
        <v>18</v>
      </c>
      <c r="C3176">
        <v>76</v>
      </c>
      <c r="D3176">
        <v>3</v>
      </c>
      <c r="E3176">
        <v>4138</v>
      </c>
      <c r="F3176">
        <v>31956</v>
      </c>
      <c r="G3176" s="3">
        <f t="shared" si="147"/>
        <v>42</v>
      </c>
      <c r="H3176" s="4">
        <f t="shared" si="148"/>
        <v>1.3143071723620281E-3</v>
      </c>
      <c r="I3176" s="1">
        <f t="shared" si="149"/>
        <v>2</v>
      </c>
    </row>
    <row r="3177" spans="1:9" hidden="1" x14ac:dyDescent="0.2">
      <c r="A3177" s="6">
        <v>44056.708333333336</v>
      </c>
      <c r="B3177" s="1" t="s">
        <v>18</v>
      </c>
      <c r="C3177">
        <v>77</v>
      </c>
      <c r="D3177">
        <v>3</v>
      </c>
      <c r="E3177">
        <v>4139</v>
      </c>
      <c r="F3177">
        <v>31982</v>
      </c>
      <c r="G3177" s="3">
        <f t="shared" si="147"/>
        <v>26</v>
      </c>
      <c r="H3177" s="4">
        <f t="shared" si="148"/>
        <v>8.1295728847474713E-4</v>
      </c>
      <c r="I3177" s="1">
        <f t="shared" si="149"/>
        <v>1</v>
      </c>
    </row>
    <row r="3178" spans="1:9" hidden="1" x14ac:dyDescent="0.2">
      <c r="A3178" s="6">
        <v>44057.708333333336</v>
      </c>
      <c r="B3178" s="1" t="s">
        <v>18</v>
      </c>
      <c r="C3178">
        <v>77</v>
      </c>
      <c r="D3178">
        <v>3</v>
      </c>
      <c r="E3178">
        <v>4139</v>
      </c>
      <c r="F3178">
        <v>31997</v>
      </c>
      <c r="G3178" s="3">
        <f t="shared" si="147"/>
        <v>15</v>
      </c>
      <c r="H3178" s="4">
        <f t="shared" si="148"/>
        <v>4.6879394943277752E-4</v>
      </c>
      <c r="I3178" s="1">
        <f t="shared" si="149"/>
        <v>0</v>
      </c>
    </row>
    <row r="3179" spans="1:9" hidden="1" x14ac:dyDescent="0.2">
      <c r="A3179" s="6">
        <v>44058.708333333336</v>
      </c>
      <c r="B3179" s="1" t="s">
        <v>18</v>
      </c>
      <c r="C3179">
        <v>81</v>
      </c>
      <c r="D3179">
        <v>3</v>
      </c>
      <c r="E3179">
        <v>4139</v>
      </c>
      <c r="F3179">
        <v>32044</v>
      </c>
      <c r="G3179" s="3">
        <f t="shared" si="147"/>
        <v>47</v>
      </c>
      <c r="H3179" s="4">
        <f t="shared" si="148"/>
        <v>1.4667332417925838E-3</v>
      </c>
      <c r="I3179" s="1">
        <f t="shared" si="149"/>
        <v>0</v>
      </c>
    </row>
    <row r="3180" spans="1:9" hidden="1" x14ac:dyDescent="0.2">
      <c r="A3180" s="6">
        <v>44059.708333333336</v>
      </c>
      <c r="B3180" s="1" t="s">
        <v>18</v>
      </c>
      <c r="C3180">
        <v>80</v>
      </c>
      <c r="D3180">
        <v>3</v>
      </c>
      <c r="E3180">
        <v>4139</v>
      </c>
      <c r="F3180">
        <v>32084</v>
      </c>
      <c r="G3180" s="3">
        <f t="shared" si="147"/>
        <v>40</v>
      </c>
      <c r="H3180" s="4">
        <f t="shared" si="148"/>
        <v>1.2467273407306134E-3</v>
      </c>
      <c r="I3180" s="1">
        <f t="shared" si="149"/>
        <v>0</v>
      </c>
    </row>
    <row r="3181" spans="1:9" hidden="1" x14ac:dyDescent="0.2">
      <c r="A3181" s="6">
        <v>44060.708333333336</v>
      </c>
      <c r="B3181" s="1" t="s">
        <v>18</v>
      </c>
      <c r="C3181">
        <v>75</v>
      </c>
      <c r="D3181">
        <v>2</v>
      </c>
      <c r="E3181">
        <v>4140</v>
      </c>
      <c r="F3181">
        <v>32100</v>
      </c>
      <c r="G3181" s="3">
        <f t="shared" si="147"/>
        <v>16</v>
      </c>
      <c r="H3181" s="4">
        <f t="shared" si="148"/>
        <v>4.9844236760121508E-4</v>
      </c>
      <c r="I3181" s="1">
        <f t="shared" si="149"/>
        <v>1</v>
      </c>
    </row>
    <row r="3182" spans="1:9" hidden="1" x14ac:dyDescent="0.2">
      <c r="A3182" s="6">
        <v>44061.708333333336</v>
      </c>
      <c r="B3182" s="1" t="s">
        <v>18</v>
      </c>
      <c r="C3182">
        <v>80</v>
      </c>
      <c r="D3182">
        <v>3</v>
      </c>
      <c r="E3182">
        <v>4141</v>
      </c>
      <c r="F3182">
        <v>32127</v>
      </c>
      <c r="G3182" s="3">
        <f t="shared" si="147"/>
        <v>27</v>
      </c>
      <c r="H3182" s="4">
        <f t="shared" si="148"/>
        <v>8.4041460453820882E-4</v>
      </c>
      <c r="I3182" s="1">
        <f t="shared" si="149"/>
        <v>1</v>
      </c>
    </row>
    <row r="3183" spans="1:9" hidden="1" x14ac:dyDescent="0.2">
      <c r="A3183" s="6">
        <v>44062.708333333336</v>
      </c>
      <c r="B3183" s="1" t="s">
        <v>18</v>
      </c>
      <c r="C3183">
        <v>81</v>
      </c>
      <c r="D3183">
        <v>3</v>
      </c>
      <c r="E3183">
        <v>4142</v>
      </c>
      <c r="F3183">
        <v>32169</v>
      </c>
      <c r="G3183" s="3">
        <f t="shared" si="147"/>
        <v>42</v>
      </c>
      <c r="H3183" s="4">
        <f t="shared" si="148"/>
        <v>1.3056047747831423E-3</v>
      </c>
      <c r="I3183" s="1">
        <f t="shared" si="149"/>
        <v>1</v>
      </c>
    </row>
    <row r="3184" spans="1:9" hidden="1" x14ac:dyDescent="0.2">
      <c r="A3184" s="6">
        <v>44063.708333333336</v>
      </c>
      <c r="B3184" s="1" t="s">
        <v>18</v>
      </c>
      <c r="C3184">
        <v>83</v>
      </c>
      <c r="D3184">
        <v>3</v>
      </c>
      <c r="E3184">
        <v>4142</v>
      </c>
      <c r="F3184">
        <v>32221</v>
      </c>
      <c r="G3184" s="3">
        <f t="shared" si="147"/>
        <v>52</v>
      </c>
      <c r="H3184" s="4">
        <f t="shared" si="148"/>
        <v>1.6138543186120513E-3</v>
      </c>
      <c r="I3184" s="1">
        <f t="shared" si="149"/>
        <v>0</v>
      </c>
    </row>
    <row r="3185" spans="1:9" hidden="1" x14ac:dyDescent="0.2">
      <c r="A3185" s="6">
        <v>44064.708333333336</v>
      </c>
      <c r="B3185" s="1" t="s">
        <v>18</v>
      </c>
      <c r="C3185">
        <v>85</v>
      </c>
      <c r="D3185">
        <v>4</v>
      </c>
      <c r="E3185">
        <v>4142</v>
      </c>
      <c r="F3185">
        <v>32260</v>
      </c>
      <c r="G3185" s="3">
        <f t="shared" si="147"/>
        <v>39</v>
      </c>
      <c r="H3185" s="4">
        <f t="shared" si="148"/>
        <v>1.2089274643521941E-3</v>
      </c>
      <c r="I3185" s="1">
        <f t="shared" si="149"/>
        <v>0</v>
      </c>
    </row>
    <row r="3186" spans="1:9" hidden="1" x14ac:dyDescent="0.2">
      <c r="A3186" s="6">
        <v>44065.708333333336</v>
      </c>
      <c r="B3186" s="1" t="s">
        <v>18</v>
      </c>
      <c r="C3186">
        <v>80</v>
      </c>
      <c r="D3186">
        <v>4</v>
      </c>
      <c r="E3186">
        <v>4143</v>
      </c>
      <c r="F3186">
        <v>32301</v>
      </c>
      <c r="G3186" s="3">
        <f t="shared" si="147"/>
        <v>41</v>
      </c>
      <c r="H3186" s="4">
        <f t="shared" si="148"/>
        <v>1.2693105476611066E-3</v>
      </c>
      <c r="I3186" s="1">
        <f t="shared" si="149"/>
        <v>1</v>
      </c>
    </row>
    <row r="3187" spans="1:9" hidden="1" x14ac:dyDescent="0.2">
      <c r="A3187" s="6">
        <v>44066.708333333336</v>
      </c>
      <c r="B3187" s="1" t="s">
        <v>18</v>
      </c>
      <c r="C3187">
        <v>78</v>
      </c>
      <c r="D3187">
        <v>5</v>
      </c>
      <c r="E3187">
        <v>4143</v>
      </c>
      <c r="F3187">
        <v>32343</v>
      </c>
      <c r="G3187" s="3">
        <f t="shared" si="147"/>
        <v>42</v>
      </c>
      <c r="H3187" s="4">
        <f t="shared" si="148"/>
        <v>1.2985808366571261E-3</v>
      </c>
      <c r="I3187" s="1">
        <f t="shared" si="149"/>
        <v>0</v>
      </c>
    </row>
    <row r="3188" spans="1:9" hidden="1" x14ac:dyDescent="0.2">
      <c r="A3188" s="6">
        <v>44067.708333333336</v>
      </c>
      <c r="B3188" s="1" t="s">
        <v>18</v>
      </c>
      <c r="C3188">
        <v>83</v>
      </c>
      <c r="D3188">
        <v>5</v>
      </c>
      <c r="E3188">
        <v>4143</v>
      </c>
      <c r="F3188">
        <v>32383</v>
      </c>
      <c r="G3188" s="3">
        <f t="shared" si="147"/>
        <v>40</v>
      </c>
      <c r="H3188" s="4">
        <f t="shared" si="148"/>
        <v>1.2352160083994868E-3</v>
      </c>
      <c r="I3188" s="1">
        <f t="shared" si="149"/>
        <v>0</v>
      </c>
    </row>
    <row r="3189" spans="1:9" hidden="1" x14ac:dyDescent="0.2">
      <c r="A3189" s="6">
        <v>44068.708333333336</v>
      </c>
      <c r="B3189" s="1" t="s">
        <v>18</v>
      </c>
      <c r="C3189">
        <v>79</v>
      </c>
      <c r="D3189">
        <v>6</v>
      </c>
      <c r="E3189">
        <v>4143</v>
      </c>
      <c r="F3189">
        <v>32440</v>
      </c>
      <c r="G3189" s="3">
        <f t="shared" si="147"/>
        <v>57</v>
      </c>
      <c r="H3189" s="4">
        <f t="shared" si="148"/>
        <v>1.7570900123304867E-3</v>
      </c>
      <c r="I3189" s="1">
        <f t="shared" si="149"/>
        <v>0</v>
      </c>
    </row>
    <row r="3190" spans="1:9" hidden="1" x14ac:dyDescent="0.2">
      <c r="A3190" s="6">
        <v>44069.708333333336</v>
      </c>
      <c r="B3190" s="1" t="s">
        <v>18</v>
      </c>
      <c r="C3190">
        <v>83</v>
      </c>
      <c r="D3190">
        <v>6</v>
      </c>
      <c r="E3190">
        <v>4144</v>
      </c>
      <c r="F3190">
        <v>32515</v>
      </c>
      <c r="G3190" s="3">
        <f t="shared" si="147"/>
        <v>75</v>
      </c>
      <c r="H3190" s="4">
        <f t="shared" si="148"/>
        <v>2.3066277102875565E-3</v>
      </c>
      <c r="I3190" s="1">
        <f t="shared" si="149"/>
        <v>1</v>
      </c>
    </row>
    <row r="3191" spans="1:9" hidden="1" x14ac:dyDescent="0.2">
      <c r="A3191" s="6">
        <v>44070.708333333336</v>
      </c>
      <c r="B3191" s="1" t="s">
        <v>18</v>
      </c>
      <c r="C3191">
        <v>78</v>
      </c>
      <c r="D3191">
        <v>6</v>
      </c>
      <c r="E3191">
        <v>4144</v>
      </c>
      <c r="F3191">
        <v>32603</v>
      </c>
      <c r="G3191" s="3">
        <f t="shared" si="147"/>
        <v>88</v>
      </c>
      <c r="H3191" s="4">
        <f t="shared" si="148"/>
        <v>2.6991381161243222E-3</v>
      </c>
      <c r="I3191" s="1">
        <f t="shared" si="149"/>
        <v>0</v>
      </c>
    </row>
    <row r="3192" spans="1:9" hidden="1" x14ac:dyDescent="0.2">
      <c r="A3192" s="6">
        <v>44071.708333333336</v>
      </c>
      <c r="B3192" s="1" t="s">
        <v>18</v>
      </c>
      <c r="C3192">
        <v>82</v>
      </c>
      <c r="D3192">
        <v>6</v>
      </c>
      <c r="E3192">
        <v>4145</v>
      </c>
      <c r="F3192">
        <v>32694</v>
      </c>
      <c r="G3192" s="3">
        <f t="shared" si="147"/>
        <v>91</v>
      </c>
      <c r="H3192" s="4">
        <f t="shared" si="148"/>
        <v>2.7833853306417078E-3</v>
      </c>
      <c r="I3192" s="1">
        <f t="shared" si="149"/>
        <v>1</v>
      </c>
    </row>
    <row r="3193" spans="1:9" hidden="1" x14ac:dyDescent="0.2">
      <c r="A3193" s="6">
        <v>44072.708333333336</v>
      </c>
      <c r="B3193" s="1" t="s">
        <v>18</v>
      </c>
      <c r="C3193">
        <v>81</v>
      </c>
      <c r="D3193">
        <v>5</v>
      </c>
      <c r="E3193">
        <v>4145</v>
      </c>
      <c r="F3193">
        <v>32784</v>
      </c>
      <c r="G3193" s="3">
        <f t="shared" si="147"/>
        <v>90</v>
      </c>
      <c r="H3193" s="4">
        <f t="shared" si="148"/>
        <v>2.7452415812591058E-3</v>
      </c>
      <c r="I3193" s="1">
        <f t="shared" si="149"/>
        <v>0</v>
      </c>
    </row>
    <row r="3194" spans="1:9" hidden="1" x14ac:dyDescent="0.2">
      <c r="A3194" s="6">
        <v>44073.708333333336</v>
      </c>
      <c r="B3194" s="1" t="s">
        <v>18</v>
      </c>
      <c r="C3194">
        <v>85</v>
      </c>
      <c r="D3194">
        <v>5</v>
      </c>
      <c r="E3194">
        <v>4146</v>
      </c>
      <c r="F3194">
        <v>32844</v>
      </c>
      <c r="G3194" s="3">
        <f t="shared" si="147"/>
        <v>60</v>
      </c>
      <c r="H3194" s="4">
        <f t="shared" si="148"/>
        <v>1.8268176835951611E-3</v>
      </c>
      <c r="I3194" s="1">
        <f t="shared" si="149"/>
        <v>1</v>
      </c>
    </row>
    <row r="3195" spans="1:9" hidden="1" x14ac:dyDescent="0.2">
      <c r="A3195" s="6">
        <v>44074.708333333336</v>
      </c>
      <c r="B3195" s="1" t="s">
        <v>18</v>
      </c>
      <c r="C3195">
        <v>98</v>
      </c>
      <c r="D3195">
        <v>7</v>
      </c>
      <c r="E3195">
        <v>4146</v>
      </c>
      <c r="F3195">
        <v>32881</v>
      </c>
      <c r="G3195" s="3">
        <f t="shared" si="147"/>
        <v>37</v>
      </c>
      <c r="H3195" s="4">
        <f t="shared" si="148"/>
        <v>1.1252699127155541E-3</v>
      </c>
      <c r="I3195" s="1">
        <f t="shared" si="149"/>
        <v>0</v>
      </c>
    </row>
    <row r="3196" spans="1:9" hidden="1" x14ac:dyDescent="0.2">
      <c r="A3196" s="6">
        <v>44075.708333333336</v>
      </c>
      <c r="B3196" s="1" t="s">
        <v>18</v>
      </c>
      <c r="C3196">
        <v>92</v>
      </c>
      <c r="D3196">
        <v>7</v>
      </c>
      <c r="E3196">
        <v>4146</v>
      </c>
      <c r="F3196">
        <v>32923</v>
      </c>
      <c r="G3196" s="3">
        <f t="shared" si="147"/>
        <v>42</v>
      </c>
      <c r="H3196" s="4">
        <f t="shared" si="148"/>
        <v>1.275703915196047E-3</v>
      </c>
      <c r="I3196" s="1">
        <f t="shared" si="149"/>
        <v>0</v>
      </c>
    </row>
    <row r="3197" spans="1:9" hidden="1" x14ac:dyDescent="0.2">
      <c r="A3197" s="6">
        <v>44076.708333333336</v>
      </c>
      <c r="B3197" s="1" t="s">
        <v>18</v>
      </c>
      <c r="C3197">
        <v>90</v>
      </c>
      <c r="D3197">
        <v>7</v>
      </c>
      <c r="E3197">
        <v>4147</v>
      </c>
      <c r="F3197">
        <v>32989</v>
      </c>
      <c r="G3197" s="3">
        <f t="shared" si="147"/>
        <v>66</v>
      </c>
      <c r="H3197" s="4">
        <f t="shared" si="148"/>
        <v>2.0006668889629431E-3</v>
      </c>
      <c r="I3197" s="1">
        <f t="shared" si="149"/>
        <v>1</v>
      </c>
    </row>
    <row r="3198" spans="1:9" hidden="1" x14ac:dyDescent="0.2">
      <c r="A3198" s="6">
        <v>44077.708333333336</v>
      </c>
      <c r="B3198" s="1" t="s">
        <v>18</v>
      </c>
      <c r="C3198">
        <v>92</v>
      </c>
      <c r="D3198">
        <v>7</v>
      </c>
      <c r="E3198">
        <v>4148</v>
      </c>
      <c r="F3198">
        <v>33064</v>
      </c>
      <c r="G3198" s="3">
        <f t="shared" si="147"/>
        <v>75</v>
      </c>
      <c r="H3198" s="4">
        <f t="shared" si="148"/>
        <v>2.2683280909751025E-3</v>
      </c>
      <c r="I3198" s="1">
        <f t="shared" si="149"/>
        <v>1</v>
      </c>
    </row>
    <row r="3199" spans="1:9" hidden="1" x14ac:dyDescent="0.2">
      <c r="A3199" s="6">
        <v>44078.708333333336</v>
      </c>
      <c r="B3199" s="1" t="s">
        <v>18</v>
      </c>
      <c r="C3199">
        <v>110</v>
      </c>
      <c r="D3199">
        <v>7</v>
      </c>
      <c r="E3199">
        <v>4149</v>
      </c>
      <c r="F3199">
        <v>33146</v>
      </c>
      <c r="G3199" s="3">
        <f t="shared" si="147"/>
        <v>82</v>
      </c>
      <c r="H3199" s="4">
        <f t="shared" si="148"/>
        <v>2.4739033367525698E-3</v>
      </c>
      <c r="I3199" s="1">
        <f t="shared" si="149"/>
        <v>1</v>
      </c>
    </row>
    <row r="3200" spans="1:9" hidden="1" x14ac:dyDescent="0.2">
      <c r="A3200" s="6">
        <v>44079.708333333336</v>
      </c>
      <c r="B3200" s="1" t="s">
        <v>18</v>
      </c>
      <c r="C3200">
        <v>106</v>
      </c>
      <c r="D3200">
        <v>7</v>
      </c>
      <c r="E3200">
        <v>4150</v>
      </c>
      <c r="F3200">
        <v>33200</v>
      </c>
      <c r="G3200" s="3">
        <f t="shared" si="147"/>
        <v>54</v>
      </c>
      <c r="H3200" s="4">
        <f t="shared" si="148"/>
        <v>1.6265060240964191E-3</v>
      </c>
      <c r="I3200" s="1">
        <f t="shared" si="149"/>
        <v>1</v>
      </c>
    </row>
    <row r="3201" spans="1:9" hidden="1" x14ac:dyDescent="0.2">
      <c r="A3201" s="6">
        <v>44080.708333333336</v>
      </c>
      <c r="B3201" s="1" t="s">
        <v>18</v>
      </c>
      <c r="C3201">
        <v>111</v>
      </c>
      <c r="D3201">
        <v>8</v>
      </c>
      <c r="E3201">
        <v>4150</v>
      </c>
      <c r="F3201">
        <v>33256</v>
      </c>
      <c r="G3201" s="3">
        <f t="shared" si="147"/>
        <v>56</v>
      </c>
      <c r="H3201" s="4">
        <f t="shared" si="148"/>
        <v>1.6839066634591893E-3</v>
      </c>
      <c r="I3201" s="1">
        <f t="shared" si="149"/>
        <v>0</v>
      </c>
    </row>
    <row r="3202" spans="1:9" hidden="1" x14ac:dyDescent="0.2">
      <c r="A3202" s="6">
        <v>44081.708333333336</v>
      </c>
      <c r="B3202" s="1" t="s">
        <v>18</v>
      </c>
      <c r="C3202">
        <v>105</v>
      </c>
      <c r="D3202">
        <v>8</v>
      </c>
      <c r="E3202">
        <v>4151</v>
      </c>
      <c r="F3202">
        <v>33293</v>
      </c>
      <c r="G3202" s="3">
        <f t="shared" si="147"/>
        <v>37</v>
      </c>
      <c r="H3202" s="4">
        <f t="shared" si="148"/>
        <v>1.1113447271198229E-3</v>
      </c>
      <c r="I3202" s="1">
        <f t="shared" si="149"/>
        <v>1</v>
      </c>
    </row>
    <row r="3203" spans="1:9" hidden="1" x14ac:dyDescent="0.2">
      <c r="A3203" s="6">
        <v>44082.708333333336</v>
      </c>
      <c r="B3203" s="1" t="s">
        <v>18</v>
      </c>
      <c r="C3203">
        <v>104</v>
      </c>
      <c r="D3203">
        <v>9</v>
      </c>
      <c r="E3203">
        <v>4152</v>
      </c>
      <c r="F3203">
        <v>33335</v>
      </c>
      <c r="G3203" s="3">
        <f t="shared" ref="G3203:G3266" si="150">IF(AND(F3203&gt;0,AND(B3203=B3202,F3203&gt;0)),F3203-F3202,0)</f>
        <v>42</v>
      </c>
      <c r="H3203" s="4">
        <f t="shared" ref="H3203:H3266" si="151">IF(AND(F3202&gt;0,AND(B3203=B3202,F3202&gt;0)),1-(F3202/F3203),0)</f>
        <v>1.259937003149858E-3</v>
      </c>
      <c r="I3203" s="1">
        <f t="shared" ref="I3203:I3266" si="152">IF(AND(E3203&gt;0,AND(B3203=B3202,E3203&gt;0)),E3203-E3202,0)</f>
        <v>1</v>
      </c>
    </row>
    <row r="3204" spans="1:9" hidden="1" x14ac:dyDescent="0.2">
      <c r="A3204" s="6">
        <v>44083.708333333336</v>
      </c>
      <c r="B3204" s="1" t="s">
        <v>18</v>
      </c>
      <c r="C3204">
        <v>100</v>
      </c>
      <c r="D3204">
        <v>9</v>
      </c>
      <c r="E3204">
        <v>4152</v>
      </c>
      <c r="F3204">
        <v>33447</v>
      </c>
      <c r="G3204" s="3">
        <f t="shared" si="150"/>
        <v>112</v>
      </c>
      <c r="H3204" s="4">
        <f t="shared" si="151"/>
        <v>3.3485813376386009E-3</v>
      </c>
      <c r="I3204" s="1">
        <f t="shared" si="152"/>
        <v>0</v>
      </c>
    </row>
    <row r="3205" spans="1:9" hidden="1" x14ac:dyDescent="0.2">
      <c r="A3205" s="6">
        <v>44084.708333333336</v>
      </c>
      <c r="B3205" s="1" t="s">
        <v>18</v>
      </c>
      <c r="C3205">
        <v>110</v>
      </c>
      <c r="D3205">
        <v>9</v>
      </c>
      <c r="E3205">
        <v>4153</v>
      </c>
      <c r="F3205">
        <v>33521</v>
      </c>
      <c r="G3205" s="3">
        <f t="shared" si="150"/>
        <v>74</v>
      </c>
      <c r="H3205" s="4">
        <f t="shared" si="151"/>
        <v>2.2075713731690705E-3</v>
      </c>
      <c r="I3205" s="1">
        <f t="shared" si="152"/>
        <v>1</v>
      </c>
    </row>
    <row r="3206" spans="1:9" hidden="1" x14ac:dyDescent="0.2">
      <c r="A3206" s="6">
        <v>44085.708333333336</v>
      </c>
      <c r="B3206" s="1" t="s">
        <v>18</v>
      </c>
      <c r="C3206">
        <v>102</v>
      </c>
      <c r="D3206">
        <v>9</v>
      </c>
      <c r="E3206">
        <v>4153</v>
      </c>
      <c r="F3206">
        <v>33578</v>
      </c>
      <c r="G3206" s="3">
        <f t="shared" si="150"/>
        <v>57</v>
      </c>
      <c r="H3206" s="4">
        <f t="shared" si="151"/>
        <v>1.6975400559889886E-3</v>
      </c>
      <c r="I3206" s="1">
        <f t="shared" si="152"/>
        <v>0</v>
      </c>
    </row>
    <row r="3207" spans="1:9" hidden="1" x14ac:dyDescent="0.2">
      <c r="A3207" s="6">
        <v>44086.708333333336</v>
      </c>
      <c r="B3207" s="1" t="s">
        <v>18</v>
      </c>
      <c r="C3207">
        <v>104</v>
      </c>
      <c r="D3207">
        <v>9</v>
      </c>
      <c r="E3207">
        <v>4153</v>
      </c>
      <c r="F3207">
        <v>33671</v>
      </c>
      <c r="G3207" s="3">
        <f t="shared" si="150"/>
        <v>93</v>
      </c>
      <c r="H3207" s="4">
        <f t="shared" si="151"/>
        <v>2.7620207300050881E-3</v>
      </c>
      <c r="I3207" s="1">
        <f t="shared" si="152"/>
        <v>0</v>
      </c>
    </row>
    <row r="3208" spans="1:9" hidden="1" x14ac:dyDescent="0.2">
      <c r="A3208" s="6">
        <v>44087.708333333336</v>
      </c>
      <c r="B3208" s="1" t="s">
        <v>18</v>
      </c>
      <c r="C3208">
        <v>100</v>
      </c>
      <c r="D3208">
        <v>8</v>
      </c>
      <c r="E3208">
        <v>4153</v>
      </c>
      <c r="F3208">
        <v>33753</v>
      </c>
      <c r="G3208" s="3">
        <f t="shared" si="150"/>
        <v>82</v>
      </c>
      <c r="H3208" s="4">
        <f t="shared" si="151"/>
        <v>2.4294136817467615E-3</v>
      </c>
      <c r="I3208" s="1">
        <f t="shared" si="152"/>
        <v>0</v>
      </c>
    </row>
    <row r="3209" spans="1:9" hidden="1" x14ac:dyDescent="0.2">
      <c r="A3209" s="6">
        <v>44088.708333333336</v>
      </c>
      <c r="B3209" s="1" t="s">
        <v>18</v>
      </c>
      <c r="C3209">
        <v>114</v>
      </c>
      <c r="D3209">
        <v>9</v>
      </c>
      <c r="E3209">
        <v>4153</v>
      </c>
      <c r="F3209">
        <v>33814</v>
      </c>
      <c r="G3209" s="3">
        <f t="shared" si="150"/>
        <v>61</v>
      </c>
      <c r="H3209" s="4">
        <f t="shared" si="151"/>
        <v>1.8039865144614531E-3</v>
      </c>
      <c r="I3209" s="1">
        <f t="shared" si="152"/>
        <v>0</v>
      </c>
    </row>
    <row r="3210" spans="1:9" hidden="1" x14ac:dyDescent="0.2">
      <c r="A3210" s="6">
        <v>44089.708333333336</v>
      </c>
      <c r="B3210" s="1" t="s">
        <v>18</v>
      </c>
      <c r="C3210">
        <v>112</v>
      </c>
      <c r="D3210">
        <v>8</v>
      </c>
      <c r="E3210">
        <v>4153</v>
      </c>
      <c r="F3210">
        <v>33853</v>
      </c>
      <c r="G3210" s="3">
        <f t="shared" si="150"/>
        <v>39</v>
      </c>
      <c r="H3210" s="4">
        <f t="shared" si="151"/>
        <v>1.152039701060481E-3</v>
      </c>
      <c r="I3210" s="1">
        <f t="shared" si="152"/>
        <v>0</v>
      </c>
    </row>
    <row r="3211" spans="1:9" hidden="1" x14ac:dyDescent="0.2">
      <c r="A3211" s="6">
        <v>44090.708333333336</v>
      </c>
      <c r="B3211" s="1" t="s">
        <v>18</v>
      </c>
      <c r="C3211">
        <v>123</v>
      </c>
      <c r="D3211">
        <v>6</v>
      </c>
      <c r="E3211">
        <v>4153</v>
      </c>
      <c r="F3211">
        <v>33970</v>
      </c>
      <c r="G3211" s="3">
        <f t="shared" si="150"/>
        <v>117</v>
      </c>
      <c r="H3211" s="4">
        <f t="shared" si="151"/>
        <v>3.4442154842507788E-3</v>
      </c>
      <c r="I3211" s="1">
        <f t="shared" si="152"/>
        <v>0</v>
      </c>
    </row>
    <row r="3212" spans="1:9" hidden="1" x14ac:dyDescent="0.2">
      <c r="A3212" s="6">
        <v>44091.708333333336</v>
      </c>
      <c r="B3212" s="1" t="s">
        <v>18</v>
      </c>
      <c r="C3212">
        <v>136</v>
      </c>
      <c r="D3212">
        <v>6</v>
      </c>
      <c r="E3212">
        <v>4153</v>
      </c>
      <c r="F3212">
        <v>34040</v>
      </c>
      <c r="G3212" s="3">
        <f t="shared" si="150"/>
        <v>70</v>
      </c>
      <c r="H3212" s="4">
        <f t="shared" si="151"/>
        <v>2.0564042303172769E-3</v>
      </c>
      <c r="I3212" s="1">
        <f t="shared" si="152"/>
        <v>0</v>
      </c>
    </row>
    <row r="3213" spans="1:9" hidden="1" x14ac:dyDescent="0.2">
      <c r="A3213" s="6">
        <v>44092.708333333336</v>
      </c>
      <c r="B3213" s="1" t="s">
        <v>18</v>
      </c>
      <c r="C3213">
        <v>140</v>
      </c>
      <c r="D3213">
        <v>6</v>
      </c>
      <c r="E3213">
        <v>4153</v>
      </c>
      <c r="F3213">
        <v>34167</v>
      </c>
      <c r="G3213" s="3">
        <f t="shared" si="150"/>
        <v>127</v>
      </c>
      <c r="H3213" s="4">
        <f t="shared" si="151"/>
        <v>3.7170369069570164E-3</v>
      </c>
      <c r="I3213" s="1">
        <f t="shared" si="152"/>
        <v>0</v>
      </c>
    </row>
    <row r="3214" spans="1:9" hidden="1" x14ac:dyDescent="0.2">
      <c r="A3214" s="6">
        <v>44093.708333333336</v>
      </c>
      <c r="B3214" s="1" t="s">
        <v>18</v>
      </c>
      <c r="C3214">
        <v>140</v>
      </c>
      <c r="D3214">
        <v>6</v>
      </c>
      <c r="E3214">
        <v>4154</v>
      </c>
      <c r="F3214">
        <v>34241</v>
      </c>
      <c r="G3214" s="3">
        <f t="shared" si="150"/>
        <v>74</v>
      </c>
      <c r="H3214" s="4">
        <f t="shared" si="151"/>
        <v>2.1611518355187931E-3</v>
      </c>
      <c r="I3214" s="1">
        <f t="shared" si="152"/>
        <v>1</v>
      </c>
    </row>
    <row r="3215" spans="1:9" hidden="1" x14ac:dyDescent="0.2">
      <c r="A3215" s="6">
        <v>44094.708333333336</v>
      </c>
      <c r="B3215" s="1" t="s">
        <v>18</v>
      </c>
      <c r="C3215">
        <v>142</v>
      </c>
      <c r="D3215">
        <v>7</v>
      </c>
      <c r="E3215">
        <v>4154</v>
      </c>
      <c r="F3215">
        <v>34339</v>
      </c>
      <c r="G3215" s="3">
        <f t="shared" si="150"/>
        <v>98</v>
      </c>
      <c r="H3215" s="4">
        <f t="shared" si="151"/>
        <v>2.8538979003465137E-3</v>
      </c>
      <c r="I3215" s="1">
        <f t="shared" si="152"/>
        <v>0</v>
      </c>
    </row>
    <row r="3216" spans="1:9" hidden="1" x14ac:dyDescent="0.2">
      <c r="A3216" s="6">
        <v>44095.708333333336</v>
      </c>
      <c r="B3216" s="1" t="s">
        <v>18</v>
      </c>
      <c r="C3216">
        <v>143</v>
      </c>
      <c r="D3216">
        <v>7</v>
      </c>
      <c r="E3216">
        <v>4155</v>
      </c>
      <c r="F3216">
        <v>34396</v>
      </c>
      <c r="G3216" s="3">
        <f t="shared" si="150"/>
        <v>57</v>
      </c>
      <c r="H3216" s="4">
        <f t="shared" si="151"/>
        <v>1.6571694383067381E-3</v>
      </c>
      <c r="I3216" s="1">
        <f t="shared" si="152"/>
        <v>1</v>
      </c>
    </row>
    <row r="3217" spans="1:9" hidden="1" x14ac:dyDescent="0.2">
      <c r="A3217" s="6">
        <v>44096.708333333336</v>
      </c>
      <c r="B3217" s="1" t="s">
        <v>18</v>
      </c>
      <c r="C3217">
        <v>164</v>
      </c>
      <c r="D3217">
        <v>7</v>
      </c>
      <c r="E3217">
        <v>4156</v>
      </c>
      <c r="F3217">
        <v>34480</v>
      </c>
      <c r="G3217" s="3">
        <f t="shared" si="150"/>
        <v>84</v>
      </c>
      <c r="H3217" s="4">
        <f t="shared" si="151"/>
        <v>2.436194895591659E-3</v>
      </c>
      <c r="I3217" s="1">
        <f t="shared" si="152"/>
        <v>1</v>
      </c>
    </row>
    <row r="3218" spans="1:9" hidden="1" x14ac:dyDescent="0.2">
      <c r="A3218" s="6">
        <v>44097.708333333336</v>
      </c>
      <c r="B3218" s="1" t="s">
        <v>18</v>
      </c>
      <c r="C3218">
        <v>163</v>
      </c>
      <c r="D3218">
        <v>8</v>
      </c>
      <c r="E3218">
        <v>4157</v>
      </c>
      <c r="F3218">
        <v>34575</v>
      </c>
      <c r="G3218" s="3">
        <f t="shared" si="150"/>
        <v>95</v>
      </c>
      <c r="H3218" s="4">
        <f t="shared" si="151"/>
        <v>2.747650036153293E-3</v>
      </c>
      <c r="I3218" s="1">
        <f t="shared" si="152"/>
        <v>1</v>
      </c>
    </row>
    <row r="3219" spans="1:9" hidden="1" x14ac:dyDescent="0.2">
      <c r="A3219" s="6">
        <v>44098.708333333336</v>
      </c>
      <c r="B3219" s="1" t="s">
        <v>18</v>
      </c>
      <c r="C3219">
        <v>165</v>
      </c>
      <c r="D3219">
        <v>9</v>
      </c>
      <c r="E3219">
        <v>4158</v>
      </c>
      <c r="F3219">
        <v>34679</v>
      </c>
      <c r="G3219" s="3">
        <f t="shared" si="150"/>
        <v>104</v>
      </c>
      <c r="H3219" s="4">
        <f t="shared" si="151"/>
        <v>2.9989330718879215E-3</v>
      </c>
      <c r="I3219" s="1">
        <f t="shared" si="152"/>
        <v>1</v>
      </c>
    </row>
    <row r="3220" spans="1:9" hidden="1" x14ac:dyDescent="0.2">
      <c r="A3220" s="6">
        <v>44099.708333333336</v>
      </c>
      <c r="B3220" s="1" t="s">
        <v>18</v>
      </c>
      <c r="C3220">
        <v>163</v>
      </c>
      <c r="D3220">
        <v>9</v>
      </c>
      <c r="E3220">
        <v>4159</v>
      </c>
      <c r="F3220">
        <v>34799</v>
      </c>
      <c r="G3220" s="3">
        <f t="shared" si="150"/>
        <v>120</v>
      </c>
      <c r="H3220" s="4">
        <f t="shared" si="151"/>
        <v>3.4483749533033015E-3</v>
      </c>
      <c r="I3220" s="1">
        <f t="shared" si="152"/>
        <v>1</v>
      </c>
    </row>
    <row r="3221" spans="1:9" hidden="1" x14ac:dyDescent="0.2">
      <c r="A3221" s="6">
        <v>44100.708333333336</v>
      </c>
      <c r="B3221" s="1" t="s">
        <v>18</v>
      </c>
      <c r="C3221">
        <v>164</v>
      </c>
      <c r="D3221">
        <v>10</v>
      </c>
      <c r="E3221">
        <v>4160</v>
      </c>
      <c r="F3221">
        <v>34906</v>
      </c>
      <c r="G3221" s="3">
        <f t="shared" si="150"/>
        <v>107</v>
      </c>
      <c r="H3221" s="4">
        <f t="shared" si="151"/>
        <v>3.0653755801295368E-3</v>
      </c>
      <c r="I3221" s="1">
        <f t="shared" si="152"/>
        <v>1</v>
      </c>
    </row>
    <row r="3222" spans="1:9" hidden="1" x14ac:dyDescent="0.2">
      <c r="A3222" s="6">
        <v>44101.708333333336</v>
      </c>
      <c r="B3222" s="1" t="s">
        <v>18</v>
      </c>
      <c r="C3222">
        <v>166</v>
      </c>
      <c r="D3222">
        <v>10</v>
      </c>
      <c r="E3222">
        <v>4161</v>
      </c>
      <c r="F3222">
        <v>35038</v>
      </c>
      <c r="G3222" s="3">
        <f t="shared" si="150"/>
        <v>132</v>
      </c>
      <c r="H3222" s="4">
        <f t="shared" si="151"/>
        <v>3.7673383183971509E-3</v>
      </c>
      <c r="I3222" s="1">
        <f t="shared" si="152"/>
        <v>1</v>
      </c>
    </row>
    <row r="3223" spans="1:9" hidden="1" x14ac:dyDescent="0.2">
      <c r="A3223" s="6">
        <v>44102.708333333336</v>
      </c>
      <c r="B3223" s="1" t="s">
        <v>18</v>
      </c>
      <c r="C3223">
        <v>180</v>
      </c>
      <c r="D3223">
        <v>12</v>
      </c>
      <c r="E3223">
        <v>4161</v>
      </c>
      <c r="F3223">
        <v>35132</v>
      </c>
      <c r="G3223" s="3">
        <f t="shared" si="150"/>
        <v>94</v>
      </c>
      <c r="H3223" s="4">
        <f t="shared" si="151"/>
        <v>2.6756233633155047E-3</v>
      </c>
      <c r="I3223" s="1">
        <f t="shared" si="152"/>
        <v>0</v>
      </c>
    </row>
    <row r="3224" spans="1:9" hidden="1" x14ac:dyDescent="0.2">
      <c r="A3224" s="6">
        <v>44103.708333333336</v>
      </c>
      <c r="B3224" s="1" t="s">
        <v>18</v>
      </c>
      <c r="C3224">
        <v>193</v>
      </c>
      <c r="D3224">
        <v>12</v>
      </c>
      <c r="E3224">
        <v>4163</v>
      </c>
      <c r="F3224">
        <v>35232</v>
      </c>
      <c r="G3224" s="3">
        <f t="shared" si="150"/>
        <v>100</v>
      </c>
      <c r="H3224" s="4">
        <f t="shared" si="151"/>
        <v>2.8383287920072942E-3</v>
      </c>
      <c r="I3224" s="1">
        <f t="shared" si="152"/>
        <v>2</v>
      </c>
    </row>
    <row r="3225" spans="1:9" hidden="1" x14ac:dyDescent="0.2">
      <c r="A3225" s="6">
        <v>44104.708333333336</v>
      </c>
      <c r="B3225" s="1" t="s">
        <v>18</v>
      </c>
      <c r="C3225">
        <v>196</v>
      </c>
      <c r="D3225">
        <v>12</v>
      </c>
      <c r="E3225">
        <v>4164</v>
      </c>
      <c r="F3225">
        <v>35402</v>
      </c>
      <c r="G3225" s="3">
        <f t="shared" si="150"/>
        <v>170</v>
      </c>
      <c r="H3225" s="4">
        <f t="shared" si="151"/>
        <v>4.8019885882153446E-3</v>
      </c>
      <c r="I3225" s="1">
        <f t="shared" si="152"/>
        <v>1</v>
      </c>
    </row>
    <row r="3226" spans="1:9" hidden="1" x14ac:dyDescent="0.2">
      <c r="A3226" s="6">
        <v>44105.708333333336</v>
      </c>
      <c r="B3226" s="1" t="s">
        <v>18</v>
      </c>
      <c r="C3226">
        <v>203</v>
      </c>
      <c r="D3226">
        <v>12</v>
      </c>
      <c r="E3226">
        <v>4165</v>
      </c>
      <c r="F3226">
        <v>35512</v>
      </c>
      <c r="G3226" s="3">
        <f t="shared" si="150"/>
        <v>110</v>
      </c>
      <c r="H3226" s="4">
        <f t="shared" si="151"/>
        <v>3.097544492002724E-3</v>
      </c>
      <c r="I3226" s="1">
        <f t="shared" si="152"/>
        <v>1</v>
      </c>
    </row>
    <row r="3227" spans="1:9" hidden="1" x14ac:dyDescent="0.2">
      <c r="A3227" s="6">
        <v>44106.708333333336</v>
      </c>
      <c r="B3227" s="1" t="s">
        <v>18</v>
      </c>
      <c r="C3227">
        <v>217</v>
      </c>
      <c r="D3227">
        <v>13</v>
      </c>
      <c r="E3227">
        <v>4166</v>
      </c>
      <c r="F3227">
        <v>35731</v>
      </c>
      <c r="G3227" s="3">
        <f t="shared" si="150"/>
        <v>219</v>
      </c>
      <c r="H3227" s="4">
        <f t="shared" si="151"/>
        <v>6.1291315664269153E-3</v>
      </c>
      <c r="I3227" s="1">
        <f t="shared" si="152"/>
        <v>1</v>
      </c>
    </row>
    <row r="3228" spans="1:9" hidden="1" x14ac:dyDescent="0.2">
      <c r="A3228" s="6">
        <v>44107.708333333336</v>
      </c>
      <c r="B3228" s="1" t="s">
        <v>18</v>
      </c>
      <c r="C3228">
        <v>214</v>
      </c>
      <c r="D3228">
        <v>12</v>
      </c>
      <c r="E3228">
        <v>4166</v>
      </c>
      <c r="F3228">
        <v>36010</v>
      </c>
      <c r="G3228" s="3">
        <f t="shared" si="150"/>
        <v>279</v>
      </c>
      <c r="H3228" s="4">
        <f t="shared" si="151"/>
        <v>7.7478478200500023E-3</v>
      </c>
      <c r="I3228" s="1">
        <f t="shared" si="152"/>
        <v>0</v>
      </c>
    </row>
    <row r="3229" spans="1:9" hidden="1" x14ac:dyDescent="0.2">
      <c r="A3229" s="6">
        <v>44108.708333333336</v>
      </c>
      <c r="B3229" s="1" t="s">
        <v>18</v>
      </c>
      <c r="C3229">
        <v>216</v>
      </c>
      <c r="D3229">
        <v>13</v>
      </c>
      <c r="E3229">
        <v>4167</v>
      </c>
      <c r="F3229">
        <v>36183</v>
      </c>
      <c r="G3229" s="3">
        <f t="shared" si="150"/>
        <v>173</v>
      </c>
      <c r="H3229" s="4">
        <f t="shared" si="151"/>
        <v>4.7812508636652096E-3</v>
      </c>
      <c r="I3229" s="1">
        <f t="shared" si="152"/>
        <v>1</v>
      </c>
    </row>
    <row r="3230" spans="1:9" hidden="1" x14ac:dyDescent="0.2">
      <c r="A3230" s="6">
        <v>44109.708333333336</v>
      </c>
      <c r="B3230" s="1" t="s">
        <v>18</v>
      </c>
      <c r="C3230">
        <v>273</v>
      </c>
      <c r="D3230">
        <v>15</v>
      </c>
      <c r="E3230">
        <v>4168</v>
      </c>
      <c r="F3230">
        <v>36312</v>
      </c>
      <c r="G3230" s="3">
        <f t="shared" si="150"/>
        <v>129</v>
      </c>
      <c r="H3230" s="4">
        <f t="shared" si="151"/>
        <v>3.5525446133509719E-3</v>
      </c>
      <c r="I3230" s="1">
        <f t="shared" si="152"/>
        <v>1</v>
      </c>
    </row>
    <row r="3231" spans="1:9" hidden="1" x14ac:dyDescent="0.2">
      <c r="A3231" s="6">
        <v>44110.708333333336</v>
      </c>
      <c r="B3231" s="1" t="s">
        <v>18</v>
      </c>
      <c r="C3231">
        <v>293</v>
      </c>
      <c r="D3231">
        <v>15</v>
      </c>
      <c r="E3231">
        <v>4170</v>
      </c>
      <c r="F3231">
        <v>36571</v>
      </c>
      <c r="G3231" s="3">
        <f t="shared" si="150"/>
        <v>259</v>
      </c>
      <c r="H3231" s="4">
        <f t="shared" si="151"/>
        <v>7.0821142435263384E-3</v>
      </c>
      <c r="I3231" s="1">
        <f t="shared" si="152"/>
        <v>2</v>
      </c>
    </row>
    <row r="3232" spans="1:9" hidden="1" x14ac:dyDescent="0.2">
      <c r="A3232" s="6">
        <v>44111.708333333336</v>
      </c>
      <c r="B3232" s="1" t="s">
        <v>18</v>
      </c>
      <c r="C3232">
        <v>297</v>
      </c>
      <c r="D3232">
        <v>15</v>
      </c>
      <c r="E3232">
        <v>4172</v>
      </c>
      <c r="F3232">
        <v>36858</v>
      </c>
      <c r="G3232" s="3">
        <f t="shared" si="150"/>
        <v>287</v>
      </c>
      <c r="H3232" s="4">
        <f t="shared" si="151"/>
        <v>7.7866406207607319E-3</v>
      </c>
      <c r="I3232" s="1">
        <f t="shared" si="152"/>
        <v>2</v>
      </c>
    </row>
    <row r="3233" spans="1:9" hidden="1" x14ac:dyDescent="0.2">
      <c r="A3233" s="6">
        <v>44112.708333333336</v>
      </c>
      <c r="B3233" s="1" t="s">
        <v>18</v>
      </c>
      <c r="C3233">
        <v>311</v>
      </c>
      <c r="D3233">
        <v>16</v>
      </c>
      <c r="E3233">
        <v>4172</v>
      </c>
      <c r="F3233">
        <v>37194</v>
      </c>
      <c r="G3233" s="3">
        <f t="shared" si="150"/>
        <v>336</v>
      </c>
      <c r="H3233" s="4">
        <f t="shared" si="151"/>
        <v>9.0337151153412343E-3</v>
      </c>
      <c r="I3233" s="1">
        <f t="shared" si="152"/>
        <v>0</v>
      </c>
    </row>
    <row r="3234" spans="1:9" hidden="1" x14ac:dyDescent="0.2">
      <c r="A3234" s="6">
        <v>44113.708333333336</v>
      </c>
      <c r="B3234" s="1" t="s">
        <v>18</v>
      </c>
      <c r="C3234">
        <v>345</v>
      </c>
      <c r="D3234">
        <v>22</v>
      </c>
      <c r="E3234">
        <v>4172</v>
      </c>
      <c r="F3234">
        <v>37595</v>
      </c>
      <c r="G3234" s="3">
        <f t="shared" si="150"/>
        <v>401</v>
      </c>
      <c r="H3234" s="4">
        <f t="shared" si="151"/>
        <v>1.0666312009575796E-2</v>
      </c>
      <c r="I3234" s="1">
        <f t="shared" si="152"/>
        <v>0</v>
      </c>
    </row>
    <row r="3235" spans="1:9" hidden="1" x14ac:dyDescent="0.2">
      <c r="A3235" s="6">
        <v>44114.708333333336</v>
      </c>
      <c r="B3235" s="1" t="s">
        <v>18</v>
      </c>
      <c r="C3235">
        <v>354</v>
      </c>
      <c r="D3235">
        <v>22</v>
      </c>
      <c r="E3235">
        <v>4174</v>
      </c>
      <c r="F3235">
        <v>38094</v>
      </c>
      <c r="G3235" s="3">
        <f t="shared" si="150"/>
        <v>499</v>
      </c>
      <c r="H3235" s="4">
        <f t="shared" si="151"/>
        <v>1.3099175723210954E-2</v>
      </c>
      <c r="I3235" s="1">
        <f t="shared" si="152"/>
        <v>2</v>
      </c>
    </row>
    <row r="3236" spans="1:9" hidden="1" x14ac:dyDescent="0.2">
      <c r="A3236" s="6">
        <v>44115.708333333336</v>
      </c>
      <c r="B3236" s="1" t="s">
        <v>18</v>
      </c>
      <c r="C3236">
        <v>378</v>
      </c>
      <c r="D3236">
        <v>24</v>
      </c>
      <c r="E3236">
        <v>4177</v>
      </c>
      <c r="F3236">
        <v>38503</v>
      </c>
      <c r="G3236" s="3">
        <f t="shared" si="150"/>
        <v>409</v>
      </c>
      <c r="H3236" s="4">
        <f t="shared" si="151"/>
        <v>1.0622548892294081E-2</v>
      </c>
      <c r="I3236" s="1">
        <f t="shared" si="152"/>
        <v>3</v>
      </c>
    </row>
    <row r="3237" spans="1:9" hidden="1" x14ac:dyDescent="0.2">
      <c r="A3237" s="6">
        <v>43885.75</v>
      </c>
      <c r="B3237" s="1" t="s">
        <v>19</v>
      </c>
      <c r="C3237">
        <v>0</v>
      </c>
      <c r="D3237">
        <v>0</v>
      </c>
      <c r="E3237">
        <v>0</v>
      </c>
      <c r="F3237">
        <v>0</v>
      </c>
      <c r="G3237" s="3">
        <f t="shared" si="150"/>
        <v>0</v>
      </c>
      <c r="H3237" s="4">
        <f t="shared" si="151"/>
        <v>0</v>
      </c>
      <c r="I3237" s="1">
        <f t="shared" si="152"/>
        <v>0</v>
      </c>
    </row>
    <row r="3238" spans="1:9" hidden="1" x14ac:dyDescent="0.2">
      <c r="A3238" s="6">
        <v>43886.75</v>
      </c>
      <c r="B3238" s="1" t="s">
        <v>19</v>
      </c>
      <c r="C3238">
        <v>0</v>
      </c>
      <c r="D3238">
        <v>0</v>
      </c>
      <c r="E3238">
        <v>0</v>
      </c>
      <c r="F3238">
        <v>0</v>
      </c>
      <c r="G3238" s="3">
        <f t="shared" si="150"/>
        <v>0</v>
      </c>
      <c r="H3238" s="4">
        <f t="shared" si="151"/>
        <v>0</v>
      </c>
      <c r="I3238" s="1">
        <f t="shared" si="152"/>
        <v>0</v>
      </c>
    </row>
    <row r="3239" spans="1:9" hidden="1" x14ac:dyDescent="0.2">
      <c r="A3239" s="6">
        <v>43887.75</v>
      </c>
      <c r="B3239" s="1" t="s">
        <v>19</v>
      </c>
      <c r="C3239">
        <v>0</v>
      </c>
      <c r="D3239">
        <v>0</v>
      </c>
      <c r="E3239">
        <v>0</v>
      </c>
      <c r="F3239">
        <v>0</v>
      </c>
      <c r="G3239" s="3">
        <f t="shared" si="150"/>
        <v>0</v>
      </c>
      <c r="H3239" s="4">
        <f t="shared" si="151"/>
        <v>0</v>
      </c>
      <c r="I3239" s="1">
        <f t="shared" si="152"/>
        <v>0</v>
      </c>
    </row>
    <row r="3240" spans="1:9" hidden="1" x14ac:dyDescent="0.2">
      <c r="A3240" s="6">
        <v>43888.75</v>
      </c>
      <c r="B3240" s="1" t="s">
        <v>19</v>
      </c>
      <c r="C3240">
        <v>1</v>
      </c>
      <c r="D3240">
        <v>0</v>
      </c>
      <c r="E3240">
        <v>0</v>
      </c>
      <c r="F3240">
        <v>1</v>
      </c>
      <c r="G3240" s="3">
        <f t="shared" si="150"/>
        <v>1</v>
      </c>
      <c r="H3240" s="4">
        <f t="shared" si="151"/>
        <v>0</v>
      </c>
      <c r="I3240" s="1">
        <f t="shared" si="152"/>
        <v>0</v>
      </c>
    </row>
    <row r="3241" spans="1:9" hidden="1" x14ac:dyDescent="0.2">
      <c r="A3241" s="6">
        <v>43889.75</v>
      </c>
      <c r="B3241" s="1" t="s">
        <v>19</v>
      </c>
      <c r="C3241">
        <v>1</v>
      </c>
      <c r="D3241">
        <v>0</v>
      </c>
      <c r="E3241">
        <v>0</v>
      </c>
      <c r="F3241">
        <v>3</v>
      </c>
      <c r="G3241" s="3">
        <f t="shared" si="150"/>
        <v>2</v>
      </c>
      <c r="H3241" s="4">
        <f t="shared" si="151"/>
        <v>0.66666666666666674</v>
      </c>
      <c r="I3241" s="1">
        <f t="shared" si="152"/>
        <v>0</v>
      </c>
    </row>
    <row r="3242" spans="1:9" hidden="1" x14ac:dyDescent="0.2">
      <c r="A3242" s="6">
        <v>43890.708333333336</v>
      </c>
      <c r="B3242" s="1" t="s">
        <v>19</v>
      </c>
      <c r="C3242">
        <v>1</v>
      </c>
      <c r="D3242">
        <v>0</v>
      </c>
      <c r="E3242">
        <v>0</v>
      </c>
      <c r="F3242">
        <v>3</v>
      </c>
      <c r="G3242" s="3">
        <f t="shared" si="150"/>
        <v>0</v>
      </c>
      <c r="H3242" s="4">
        <f t="shared" si="151"/>
        <v>0</v>
      </c>
      <c r="I3242" s="1">
        <f t="shared" si="152"/>
        <v>0</v>
      </c>
    </row>
    <row r="3243" spans="1:9" hidden="1" x14ac:dyDescent="0.2">
      <c r="A3243" s="6">
        <v>43891.708333333336</v>
      </c>
      <c r="B3243" s="1" t="s">
        <v>19</v>
      </c>
      <c r="C3243">
        <v>1</v>
      </c>
      <c r="D3243">
        <v>0</v>
      </c>
      <c r="E3243">
        <v>0</v>
      </c>
      <c r="F3243">
        <v>3</v>
      </c>
      <c r="G3243" s="3">
        <f t="shared" si="150"/>
        <v>0</v>
      </c>
      <c r="H3243" s="4">
        <f t="shared" si="151"/>
        <v>0</v>
      </c>
      <c r="I3243" s="1">
        <f t="shared" si="152"/>
        <v>0</v>
      </c>
    </row>
    <row r="3244" spans="1:9" hidden="1" x14ac:dyDescent="0.2">
      <c r="A3244" s="6">
        <v>43892.75</v>
      </c>
      <c r="B3244" s="1" t="s">
        <v>19</v>
      </c>
      <c r="C3244">
        <v>2</v>
      </c>
      <c r="D3244">
        <v>0</v>
      </c>
      <c r="E3244">
        <v>0</v>
      </c>
      <c r="F3244">
        <v>4</v>
      </c>
      <c r="G3244" s="3">
        <f t="shared" si="150"/>
        <v>1</v>
      </c>
      <c r="H3244" s="4">
        <f t="shared" si="151"/>
        <v>0.25</v>
      </c>
      <c r="I3244" s="1">
        <f t="shared" si="152"/>
        <v>0</v>
      </c>
    </row>
    <row r="3245" spans="1:9" hidden="1" x14ac:dyDescent="0.2">
      <c r="A3245" s="6">
        <v>43893.75</v>
      </c>
      <c r="B3245" s="1" t="s">
        <v>19</v>
      </c>
      <c r="C3245">
        <v>2</v>
      </c>
      <c r="D3245">
        <v>0</v>
      </c>
      <c r="E3245">
        <v>0</v>
      </c>
      <c r="F3245">
        <v>6</v>
      </c>
      <c r="G3245" s="3">
        <f t="shared" si="150"/>
        <v>2</v>
      </c>
      <c r="H3245" s="4">
        <f t="shared" si="151"/>
        <v>0.33333333333333337</v>
      </c>
      <c r="I3245" s="1">
        <f t="shared" si="152"/>
        <v>0</v>
      </c>
    </row>
    <row r="3246" spans="1:9" hidden="1" x14ac:dyDescent="0.2">
      <c r="A3246" s="6">
        <v>43894.708333333336</v>
      </c>
      <c r="B3246" s="1" t="s">
        <v>19</v>
      </c>
      <c r="C3246">
        <v>4</v>
      </c>
      <c r="D3246">
        <v>0</v>
      </c>
      <c r="E3246">
        <v>1</v>
      </c>
      <c r="F3246">
        <v>9</v>
      </c>
      <c r="G3246" s="3">
        <f t="shared" si="150"/>
        <v>3</v>
      </c>
      <c r="H3246" s="4">
        <f t="shared" si="151"/>
        <v>0.33333333333333337</v>
      </c>
      <c r="I3246" s="1">
        <f t="shared" si="152"/>
        <v>1</v>
      </c>
    </row>
    <row r="3247" spans="1:9" hidden="1" x14ac:dyDescent="0.2">
      <c r="A3247" s="6">
        <v>43895.708333333336</v>
      </c>
      <c r="B3247" s="1" t="s">
        <v>19</v>
      </c>
      <c r="C3247">
        <v>5</v>
      </c>
      <c r="D3247">
        <v>1</v>
      </c>
      <c r="E3247">
        <v>1</v>
      </c>
      <c r="F3247">
        <v>14</v>
      </c>
      <c r="G3247" s="3">
        <f t="shared" si="150"/>
        <v>5</v>
      </c>
      <c r="H3247" s="4">
        <f t="shared" si="151"/>
        <v>0.3571428571428571</v>
      </c>
      <c r="I3247" s="1">
        <f t="shared" si="152"/>
        <v>0</v>
      </c>
    </row>
    <row r="3248" spans="1:9" hidden="1" x14ac:dyDescent="0.2">
      <c r="A3248" s="6">
        <v>43896.708333333336</v>
      </c>
      <c r="B3248" s="1" t="s">
        <v>19</v>
      </c>
      <c r="C3248">
        <v>5</v>
      </c>
      <c r="D3248">
        <v>1</v>
      </c>
      <c r="E3248">
        <v>1</v>
      </c>
      <c r="F3248">
        <v>17</v>
      </c>
      <c r="G3248" s="3">
        <f t="shared" si="150"/>
        <v>3</v>
      </c>
      <c r="H3248" s="4">
        <f t="shared" si="151"/>
        <v>0.17647058823529416</v>
      </c>
      <c r="I3248" s="1">
        <f t="shared" si="152"/>
        <v>0</v>
      </c>
    </row>
    <row r="3249" spans="1:9" hidden="1" x14ac:dyDescent="0.2">
      <c r="A3249" s="6">
        <v>43897.75</v>
      </c>
      <c r="B3249" s="1" t="s">
        <v>19</v>
      </c>
      <c r="C3249">
        <v>9</v>
      </c>
      <c r="D3249">
        <v>2</v>
      </c>
      <c r="E3249">
        <v>2</v>
      </c>
      <c r="F3249">
        <v>26</v>
      </c>
      <c r="G3249" s="3">
        <f t="shared" si="150"/>
        <v>9</v>
      </c>
      <c r="H3249" s="4">
        <f t="shared" si="151"/>
        <v>0.34615384615384615</v>
      </c>
      <c r="I3249" s="1">
        <f t="shared" si="152"/>
        <v>1</v>
      </c>
    </row>
    <row r="3250" spans="1:9" hidden="1" x14ac:dyDescent="0.2">
      <c r="A3250" s="6">
        <v>43898.75</v>
      </c>
      <c r="B3250" s="1" t="s">
        <v>19</v>
      </c>
      <c r="C3250">
        <v>17</v>
      </c>
      <c r="D3250">
        <v>3</v>
      </c>
      <c r="E3250">
        <v>3</v>
      </c>
      <c r="F3250">
        <v>40</v>
      </c>
      <c r="G3250" s="3">
        <f t="shared" si="150"/>
        <v>14</v>
      </c>
      <c r="H3250" s="4">
        <f t="shared" si="151"/>
        <v>0.35</v>
      </c>
      <c r="I3250" s="1">
        <f t="shared" si="152"/>
        <v>1</v>
      </c>
    </row>
    <row r="3251" spans="1:9" hidden="1" x14ac:dyDescent="0.2">
      <c r="A3251" s="6">
        <v>43899.75</v>
      </c>
      <c r="B3251" s="1" t="s">
        <v>19</v>
      </c>
      <c r="C3251">
        <v>20</v>
      </c>
      <c r="D3251">
        <v>6</v>
      </c>
      <c r="E3251">
        <v>3</v>
      </c>
      <c r="F3251">
        <v>50</v>
      </c>
      <c r="G3251" s="3">
        <f t="shared" si="150"/>
        <v>10</v>
      </c>
      <c r="H3251" s="4">
        <f t="shared" si="151"/>
        <v>0.19999999999999996</v>
      </c>
      <c r="I3251" s="1">
        <f t="shared" si="152"/>
        <v>0</v>
      </c>
    </row>
    <row r="3252" spans="1:9" hidden="1" x14ac:dyDescent="0.2">
      <c r="A3252" s="6">
        <v>43900.75</v>
      </c>
      <c r="B3252" s="1" t="s">
        <v>19</v>
      </c>
      <c r="C3252">
        <v>28</v>
      </c>
      <c r="D3252">
        <v>6</v>
      </c>
      <c r="E3252">
        <v>3</v>
      </c>
      <c r="F3252">
        <v>59</v>
      </c>
      <c r="G3252" s="3">
        <f t="shared" si="150"/>
        <v>9</v>
      </c>
      <c r="H3252" s="4">
        <f t="shared" si="151"/>
        <v>0.15254237288135597</v>
      </c>
      <c r="I3252" s="1">
        <f t="shared" si="152"/>
        <v>0</v>
      </c>
    </row>
    <row r="3253" spans="1:9" hidden="1" x14ac:dyDescent="0.2">
      <c r="A3253" s="6">
        <v>43901.708333333336</v>
      </c>
      <c r="B3253" s="1" t="s">
        <v>19</v>
      </c>
      <c r="C3253">
        <v>38</v>
      </c>
      <c r="D3253">
        <v>4</v>
      </c>
      <c r="E3253">
        <v>5</v>
      </c>
      <c r="F3253">
        <v>77</v>
      </c>
      <c r="G3253" s="3">
        <f t="shared" si="150"/>
        <v>18</v>
      </c>
      <c r="H3253" s="4">
        <f t="shared" si="151"/>
        <v>0.23376623376623373</v>
      </c>
      <c r="I3253" s="1">
        <f t="shared" si="152"/>
        <v>2</v>
      </c>
    </row>
    <row r="3254" spans="1:9" hidden="1" x14ac:dyDescent="0.2">
      <c r="A3254" s="6">
        <v>43902.708333333336</v>
      </c>
      <c r="B3254" s="1" t="s">
        <v>19</v>
      </c>
      <c r="C3254">
        <v>58</v>
      </c>
      <c r="D3254">
        <v>2</v>
      </c>
      <c r="E3254">
        <v>5</v>
      </c>
      <c r="F3254">
        <v>104</v>
      </c>
      <c r="G3254" s="3">
        <f t="shared" si="150"/>
        <v>27</v>
      </c>
      <c r="H3254" s="4">
        <f t="shared" si="151"/>
        <v>0.25961538461538458</v>
      </c>
      <c r="I3254" s="1">
        <f t="shared" si="152"/>
        <v>0</v>
      </c>
    </row>
    <row r="3255" spans="1:9" hidden="1" x14ac:dyDescent="0.2">
      <c r="A3255" s="6">
        <v>43903.708333333336</v>
      </c>
      <c r="B3255" s="1" t="s">
        <v>19</v>
      </c>
      <c r="C3255">
        <v>77</v>
      </c>
      <c r="D3255">
        <v>2</v>
      </c>
      <c r="E3255">
        <v>5</v>
      </c>
      <c r="F3255">
        <v>129</v>
      </c>
      <c r="G3255" s="3">
        <f t="shared" si="150"/>
        <v>25</v>
      </c>
      <c r="H3255" s="4">
        <f t="shared" si="151"/>
        <v>0.19379844961240311</v>
      </c>
      <c r="I3255" s="1">
        <f t="shared" si="152"/>
        <v>0</v>
      </c>
    </row>
    <row r="3256" spans="1:9" hidden="1" x14ac:dyDescent="0.2">
      <c r="A3256" s="6">
        <v>43904.708333333336</v>
      </c>
      <c r="B3256" s="1" t="s">
        <v>19</v>
      </c>
      <c r="C3256">
        <v>91</v>
      </c>
      <c r="D3256">
        <v>6</v>
      </c>
      <c r="E3256">
        <v>8</v>
      </c>
      <c r="F3256">
        <v>166</v>
      </c>
      <c r="G3256" s="3">
        <f t="shared" si="150"/>
        <v>37</v>
      </c>
      <c r="H3256" s="4">
        <f t="shared" si="151"/>
        <v>0.22289156626506024</v>
      </c>
      <c r="I3256" s="1">
        <f t="shared" si="152"/>
        <v>3</v>
      </c>
    </row>
    <row r="3257" spans="1:9" hidden="1" x14ac:dyDescent="0.2">
      <c r="A3257" s="6">
        <v>43905.708333333336</v>
      </c>
      <c r="B3257" s="1" t="s">
        <v>19</v>
      </c>
      <c r="C3257">
        <v>116</v>
      </c>
      <c r="D3257">
        <v>6</v>
      </c>
      <c r="E3257">
        <v>16</v>
      </c>
      <c r="F3257">
        <v>230</v>
      </c>
      <c r="G3257" s="3">
        <f t="shared" si="150"/>
        <v>64</v>
      </c>
      <c r="H3257" s="4">
        <f t="shared" si="151"/>
        <v>0.27826086956521734</v>
      </c>
      <c r="I3257" s="1">
        <f t="shared" si="152"/>
        <v>8</v>
      </c>
    </row>
    <row r="3258" spans="1:9" hidden="1" x14ac:dyDescent="0.2">
      <c r="A3258" s="6">
        <v>43906.708333333336</v>
      </c>
      <c r="B3258" s="1" t="s">
        <v>19</v>
      </c>
      <c r="C3258">
        <v>116</v>
      </c>
      <c r="D3258">
        <v>6</v>
      </c>
      <c r="E3258">
        <v>16</v>
      </c>
      <c r="F3258">
        <v>230</v>
      </c>
      <c r="G3258" s="3">
        <f t="shared" si="150"/>
        <v>0</v>
      </c>
      <c r="H3258" s="4">
        <f t="shared" si="151"/>
        <v>0</v>
      </c>
      <c r="I3258" s="1">
        <f t="shared" si="152"/>
        <v>0</v>
      </c>
    </row>
    <row r="3259" spans="1:9" hidden="1" x14ac:dyDescent="0.2">
      <c r="A3259" s="6">
        <v>43907.708333333336</v>
      </c>
      <c r="B3259" s="1" t="s">
        <v>19</v>
      </c>
      <c r="C3259">
        <v>155</v>
      </c>
      <c r="D3259">
        <v>14</v>
      </c>
      <c r="E3259">
        <v>18</v>
      </c>
      <c r="F3259">
        <v>340</v>
      </c>
      <c r="G3259" s="3">
        <f t="shared" si="150"/>
        <v>110</v>
      </c>
      <c r="H3259" s="4">
        <f t="shared" si="151"/>
        <v>0.32352941176470584</v>
      </c>
      <c r="I3259" s="1">
        <f t="shared" si="152"/>
        <v>2</v>
      </c>
    </row>
    <row r="3260" spans="1:9" hidden="1" x14ac:dyDescent="0.2">
      <c r="A3260" s="6">
        <v>43908.708333333336</v>
      </c>
      <c r="B3260" s="1" t="s">
        <v>19</v>
      </c>
      <c r="C3260">
        <v>156</v>
      </c>
      <c r="D3260">
        <v>30</v>
      </c>
      <c r="E3260">
        <v>19</v>
      </c>
      <c r="F3260">
        <v>383</v>
      </c>
      <c r="G3260" s="3">
        <f t="shared" si="150"/>
        <v>43</v>
      </c>
      <c r="H3260" s="4">
        <f t="shared" si="151"/>
        <v>0.1122715404699739</v>
      </c>
      <c r="I3260" s="1">
        <f t="shared" si="152"/>
        <v>1</v>
      </c>
    </row>
    <row r="3261" spans="1:9" hidden="1" x14ac:dyDescent="0.2">
      <c r="A3261" s="6">
        <v>43909.708333333336</v>
      </c>
      <c r="B3261" s="1" t="s">
        <v>19</v>
      </c>
      <c r="C3261">
        <v>173</v>
      </c>
      <c r="D3261">
        <v>31</v>
      </c>
      <c r="E3261">
        <v>25</v>
      </c>
      <c r="F3261">
        <v>478</v>
      </c>
      <c r="G3261" s="3">
        <f t="shared" si="150"/>
        <v>95</v>
      </c>
      <c r="H3261" s="4">
        <f t="shared" si="151"/>
        <v>0.19874476987447698</v>
      </c>
      <c r="I3261" s="1">
        <f t="shared" si="152"/>
        <v>6</v>
      </c>
    </row>
    <row r="3262" spans="1:9" hidden="1" x14ac:dyDescent="0.2">
      <c r="A3262" s="6">
        <v>43910.708333333336</v>
      </c>
      <c r="B3262" s="1" t="s">
        <v>19</v>
      </c>
      <c r="C3262">
        <v>191</v>
      </c>
      <c r="D3262">
        <v>31</v>
      </c>
      <c r="E3262">
        <v>26</v>
      </c>
      <c r="F3262">
        <v>581</v>
      </c>
      <c r="G3262" s="3">
        <f t="shared" si="150"/>
        <v>103</v>
      </c>
      <c r="H3262" s="4">
        <f t="shared" si="151"/>
        <v>0.17728055077452665</v>
      </c>
      <c r="I3262" s="1">
        <f t="shared" si="152"/>
        <v>1</v>
      </c>
    </row>
    <row r="3263" spans="1:9" hidden="1" x14ac:dyDescent="0.2">
      <c r="A3263" s="6">
        <v>43911.708333333336</v>
      </c>
      <c r="B3263" s="1" t="s">
        <v>19</v>
      </c>
      <c r="C3263">
        <v>209</v>
      </c>
      <c r="D3263">
        <v>33</v>
      </c>
      <c r="E3263">
        <v>29</v>
      </c>
      <c r="F3263">
        <v>675</v>
      </c>
      <c r="G3263" s="3">
        <f t="shared" si="150"/>
        <v>94</v>
      </c>
      <c r="H3263" s="4">
        <f t="shared" si="151"/>
        <v>0.1392592592592593</v>
      </c>
      <c r="I3263" s="1">
        <f t="shared" si="152"/>
        <v>3</v>
      </c>
    </row>
    <row r="3264" spans="1:9" hidden="1" x14ac:dyDescent="0.2">
      <c r="A3264" s="6">
        <v>43912.708333333336</v>
      </c>
      <c r="B3264" s="1" t="s">
        <v>19</v>
      </c>
      <c r="C3264">
        <v>252</v>
      </c>
      <c r="D3264">
        <v>37</v>
      </c>
      <c r="E3264">
        <v>31</v>
      </c>
      <c r="F3264">
        <v>786</v>
      </c>
      <c r="G3264" s="3">
        <f t="shared" si="150"/>
        <v>111</v>
      </c>
      <c r="H3264" s="4">
        <f t="shared" si="151"/>
        <v>0.14122137404580148</v>
      </c>
      <c r="I3264" s="1">
        <f t="shared" si="152"/>
        <v>2</v>
      </c>
    </row>
    <row r="3265" spans="1:9" hidden="1" x14ac:dyDescent="0.2">
      <c r="A3265" s="6">
        <v>43913.708333333336</v>
      </c>
      <c r="B3265" s="1" t="s">
        <v>19</v>
      </c>
      <c r="C3265">
        <v>285</v>
      </c>
      <c r="D3265">
        <v>45</v>
      </c>
      <c r="E3265">
        <v>37</v>
      </c>
      <c r="F3265">
        <v>906</v>
      </c>
      <c r="G3265" s="3">
        <f t="shared" si="150"/>
        <v>120</v>
      </c>
      <c r="H3265" s="4">
        <f t="shared" si="151"/>
        <v>0.13245033112582782</v>
      </c>
      <c r="I3265" s="1">
        <f t="shared" si="152"/>
        <v>6</v>
      </c>
    </row>
    <row r="3266" spans="1:9" hidden="1" x14ac:dyDescent="0.2">
      <c r="A3266" s="6">
        <v>43914.708333333336</v>
      </c>
      <c r="B3266" s="1" t="s">
        <v>19</v>
      </c>
      <c r="C3266">
        <v>317</v>
      </c>
      <c r="D3266">
        <v>57</v>
      </c>
      <c r="E3266">
        <v>44</v>
      </c>
      <c r="F3266">
        <v>1005</v>
      </c>
      <c r="G3266" s="3">
        <f t="shared" si="150"/>
        <v>99</v>
      </c>
      <c r="H3266" s="4">
        <f t="shared" si="151"/>
        <v>9.8507462686567182E-2</v>
      </c>
      <c r="I3266" s="1">
        <f t="shared" si="152"/>
        <v>7</v>
      </c>
    </row>
    <row r="3267" spans="1:9" hidden="1" x14ac:dyDescent="0.2">
      <c r="A3267" s="6">
        <v>43915.708333333336</v>
      </c>
      <c r="B3267" s="1" t="s">
        <v>19</v>
      </c>
      <c r="C3267">
        <v>349</v>
      </c>
      <c r="D3267">
        <v>64</v>
      </c>
      <c r="E3267">
        <v>48</v>
      </c>
      <c r="F3267">
        <v>1093</v>
      </c>
      <c r="G3267" s="3">
        <f t="shared" ref="G3267:G3330" si="153">IF(AND(F3267&gt;0,AND(B3267=B3266,F3267&gt;0)),F3267-F3266,0)</f>
        <v>88</v>
      </c>
      <c r="H3267" s="4">
        <f t="shared" ref="H3267:H3330" si="154">IF(AND(F3266&gt;0,AND(B3267=B3266,F3266&gt;0)),1-(F3266/F3267),0)</f>
        <v>8.0512351326623932E-2</v>
      </c>
      <c r="I3267" s="1">
        <f t="shared" ref="I3267:I3330" si="155">IF(AND(E3267&gt;0,AND(B3267=B3266,E3267&gt;0)),E3267-E3266,0)</f>
        <v>4</v>
      </c>
    </row>
    <row r="3268" spans="1:9" hidden="1" x14ac:dyDescent="0.2">
      <c r="A3268" s="6">
        <v>43916.708333333336</v>
      </c>
      <c r="B3268" s="1" t="s">
        <v>19</v>
      </c>
      <c r="C3268">
        <v>480</v>
      </c>
      <c r="D3268">
        <v>76</v>
      </c>
      <c r="E3268">
        <v>65</v>
      </c>
      <c r="F3268">
        <v>1182</v>
      </c>
      <c r="G3268" s="3">
        <f t="shared" si="153"/>
        <v>89</v>
      </c>
      <c r="H3268" s="4">
        <f t="shared" si="154"/>
        <v>7.5296108291032171E-2</v>
      </c>
      <c r="I3268" s="1">
        <f t="shared" si="155"/>
        <v>17</v>
      </c>
    </row>
    <row r="3269" spans="1:9" hidden="1" x14ac:dyDescent="0.2">
      <c r="A3269" s="6">
        <v>43917.708333333336</v>
      </c>
      <c r="B3269" s="1" t="s">
        <v>19</v>
      </c>
      <c r="C3269">
        <v>530</v>
      </c>
      <c r="D3269">
        <v>82</v>
      </c>
      <c r="E3269">
        <v>69</v>
      </c>
      <c r="F3269">
        <v>1334</v>
      </c>
      <c r="G3269" s="3">
        <f t="shared" si="153"/>
        <v>152</v>
      </c>
      <c r="H3269" s="4">
        <f t="shared" si="154"/>
        <v>0.1139430284857571</v>
      </c>
      <c r="I3269" s="1">
        <f t="shared" si="155"/>
        <v>4</v>
      </c>
    </row>
    <row r="3270" spans="1:9" hidden="1" x14ac:dyDescent="0.2">
      <c r="A3270" s="6">
        <v>43918.708333333336</v>
      </c>
      <c r="B3270" s="1" t="s">
        <v>19</v>
      </c>
      <c r="C3270">
        <v>563</v>
      </c>
      <c r="D3270">
        <v>98</v>
      </c>
      <c r="E3270">
        <v>71</v>
      </c>
      <c r="F3270">
        <v>1458</v>
      </c>
      <c r="G3270" s="3">
        <f t="shared" si="153"/>
        <v>124</v>
      </c>
      <c r="H3270" s="4">
        <f t="shared" si="154"/>
        <v>8.5048010973936883E-2</v>
      </c>
      <c r="I3270" s="1">
        <f t="shared" si="155"/>
        <v>2</v>
      </c>
    </row>
    <row r="3271" spans="1:9" hidden="1" x14ac:dyDescent="0.2">
      <c r="A3271" s="6">
        <v>43919.708333333336</v>
      </c>
      <c r="B3271" s="1" t="s">
        <v>19</v>
      </c>
      <c r="C3271">
        <v>559</v>
      </c>
      <c r="D3271">
        <v>99</v>
      </c>
      <c r="E3271">
        <v>86</v>
      </c>
      <c r="F3271">
        <v>1549</v>
      </c>
      <c r="G3271" s="3">
        <f t="shared" si="153"/>
        <v>91</v>
      </c>
      <c r="H3271" s="4">
        <f t="shared" si="154"/>
        <v>5.8747579083279544E-2</v>
      </c>
      <c r="I3271" s="1">
        <f t="shared" si="155"/>
        <v>15</v>
      </c>
    </row>
    <row r="3272" spans="1:9" hidden="1" x14ac:dyDescent="0.2">
      <c r="A3272" s="6">
        <v>43920.708333333336</v>
      </c>
      <c r="B3272" s="1" t="s">
        <v>19</v>
      </c>
      <c r="C3272">
        <v>590</v>
      </c>
      <c r="D3272">
        <v>106</v>
      </c>
      <c r="E3272">
        <v>91</v>
      </c>
      <c r="F3272">
        <v>1712</v>
      </c>
      <c r="G3272" s="3">
        <f t="shared" si="153"/>
        <v>163</v>
      </c>
      <c r="H3272" s="4">
        <f t="shared" si="154"/>
        <v>9.5210280373831724E-2</v>
      </c>
      <c r="I3272" s="1">
        <f t="shared" si="155"/>
        <v>5</v>
      </c>
    </row>
    <row r="3273" spans="1:9" hidden="1" x14ac:dyDescent="0.2">
      <c r="A3273" s="6">
        <v>43921.708333333336</v>
      </c>
      <c r="B3273" s="1" t="s">
        <v>19</v>
      </c>
      <c r="C3273">
        <v>609</v>
      </c>
      <c r="D3273">
        <v>105</v>
      </c>
      <c r="E3273">
        <v>110</v>
      </c>
      <c r="F3273">
        <v>1803</v>
      </c>
      <c r="G3273" s="3">
        <f t="shared" si="153"/>
        <v>91</v>
      </c>
      <c r="H3273" s="4">
        <f t="shared" si="154"/>
        <v>5.0471436494730959E-2</v>
      </c>
      <c r="I3273" s="1">
        <f t="shared" si="155"/>
        <v>19</v>
      </c>
    </row>
    <row r="3274" spans="1:9" hidden="1" x14ac:dyDescent="0.2">
      <c r="A3274" s="6">
        <v>43922.708333333336</v>
      </c>
      <c r="B3274" s="1" t="s">
        <v>19</v>
      </c>
      <c r="C3274">
        <v>637</v>
      </c>
      <c r="D3274">
        <v>107</v>
      </c>
      <c r="E3274">
        <v>129</v>
      </c>
      <c r="F3274">
        <v>1946</v>
      </c>
      <c r="G3274" s="3">
        <f t="shared" si="153"/>
        <v>143</v>
      </c>
      <c r="H3274" s="4">
        <f t="shared" si="154"/>
        <v>7.3484069886947556E-2</v>
      </c>
      <c r="I3274" s="1">
        <f t="shared" si="155"/>
        <v>19</v>
      </c>
    </row>
    <row r="3275" spans="1:9" hidden="1" x14ac:dyDescent="0.2">
      <c r="A3275" s="6">
        <v>43923.708333333336</v>
      </c>
      <c r="B3275" s="1" t="s">
        <v>19</v>
      </c>
      <c r="C3275">
        <v>645</v>
      </c>
      <c r="D3275">
        <v>118</v>
      </c>
      <c r="E3275">
        <v>144</v>
      </c>
      <c r="F3275">
        <v>2077</v>
      </c>
      <c r="G3275" s="3">
        <f t="shared" si="153"/>
        <v>131</v>
      </c>
      <c r="H3275" s="4">
        <f t="shared" si="154"/>
        <v>6.3071738083774642E-2</v>
      </c>
      <c r="I3275" s="1">
        <f t="shared" si="155"/>
        <v>15</v>
      </c>
    </row>
    <row r="3276" spans="1:9" hidden="1" x14ac:dyDescent="0.2">
      <c r="A3276" s="6">
        <v>43924.708333333336</v>
      </c>
      <c r="B3276" s="1" t="s">
        <v>19</v>
      </c>
      <c r="C3276">
        <v>648</v>
      </c>
      <c r="D3276">
        <v>123</v>
      </c>
      <c r="E3276">
        <v>164</v>
      </c>
      <c r="F3276">
        <v>2182</v>
      </c>
      <c r="G3276" s="3">
        <f t="shared" si="153"/>
        <v>105</v>
      </c>
      <c r="H3276" s="4">
        <f t="shared" si="154"/>
        <v>4.8120989917506907E-2</v>
      </c>
      <c r="I3276" s="1">
        <f t="shared" si="155"/>
        <v>20</v>
      </c>
    </row>
    <row r="3277" spans="1:9" hidden="1" x14ac:dyDescent="0.2">
      <c r="A3277" s="6">
        <v>43925.708333333336</v>
      </c>
      <c r="B3277" s="1" t="s">
        <v>19</v>
      </c>
      <c r="C3277">
        <v>627</v>
      </c>
      <c r="D3277">
        <v>153</v>
      </c>
      <c r="E3277">
        <v>173</v>
      </c>
      <c r="F3277">
        <v>2240</v>
      </c>
      <c r="G3277" s="3">
        <f t="shared" si="153"/>
        <v>58</v>
      </c>
      <c r="H3277" s="4">
        <f t="shared" si="154"/>
        <v>2.5892857142857162E-2</v>
      </c>
      <c r="I3277" s="1">
        <f t="shared" si="155"/>
        <v>9</v>
      </c>
    </row>
    <row r="3278" spans="1:9" hidden="1" x14ac:dyDescent="0.2">
      <c r="A3278" s="6">
        <v>43926.708333333336</v>
      </c>
      <c r="B3278" s="1" t="s">
        <v>19</v>
      </c>
      <c r="C3278">
        <v>574</v>
      </c>
      <c r="D3278">
        <v>159</v>
      </c>
      <c r="E3278">
        <v>182</v>
      </c>
      <c r="F3278">
        <v>2317</v>
      </c>
      <c r="G3278" s="3">
        <f t="shared" si="153"/>
        <v>77</v>
      </c>
      <c r="H3278" s="4">
        <f t="shared" si="154"/>
        <v>3.3232628398791486E-2</v>
      </c>
      <c r="I3278" s="1">
        <f t="shared" si="155"/>
        <v>9</v>
      </c>
    </row>
    <row r="3279" spans="1:9" hidden="1" x14ac:dyDescent="0.2">
      <c r="A3279" s="6">
        <v>43927.708333333336</v>
      </c>
      <c r="B3279" s="1" t="s">
        <v>19</v>
      </c>
      <c r="C3279">
        <v>625</v>
      </c>
      <c r="D3279">
        <v>97</v>
      </c>
      <c r="E3279">
        <v>195</v>
      </c>
      <c r="F3279">
        <v>2444</v>
      </c>
      <c r="G3279" s="3">
        <f t="shared" si="153"/>
        <v>127</v>
      </c>
      <c r="H3279" s="4">
        <f t="shared" si="154"/>
        <v>5.1963993453355117E-2</v>
      </c>
      <c r="I3279" s="1">
        <f t="shared" si="155"/>
        <v>13</v>
      </c>
    </row>
    <row r="3280" spans="1:9" hidden="1" x14ac:dyDescent="0.2">
      <c r="A3280" s="6">
        <v>43928.708333333336</v>
      </c>
      <c r="B3280" s="1" t="s">
        <v>19</v>
      </c>
      <c r="C3280">
        <v>615</v>
      </c>
      <c r="D3280">
        <v>93</v>
      </c>
      <c r="E3280">
        <v>209</v>
      </c>
      <c r="F3280">
        <v>2514</v>
      </c>
      <c r="G3280" s="3">
        <f t="shared" si="153"/>
        <v>70</v>
      </c>
      <c r="H3280" s="4">
        <f t="shared" si="154"/>
        <v>2.7844073190135266E-2</v>
      </c>
      <c r="I3280" s="1">
        <f t="shared" si="155"/>
        <v>14</v>
      </c>
    </row>
    <row r="3281" spans="1:9" hidden="1" x14ac:dyDescent="0.2">
      <c r="A3281" s="6">
        <v>43929.708333333336</v>
      </c>
      <c r="B3281" s="1" t="s">
        <v>19</v>
      </c>
      <c r="C3281">
        <v>639</v>
      </c>
      <c r="D3281">
        <v>90</v>
      </c>
      <c r="E3281">
        <v>219</v>
      </c>
      <c r="F3281">
        <v>2634</v>
      </c>
      <c r="G3281" s="3">
        <f t="shared" si="153"/>
        <v>120</v>
      </c>
      <c r="H3281" s="4">
        <f t="shared" si="154"/>
        <v>4.5558086560364419E-2</v>
      </c>
      <c r="I3281" s="1">
        <f t="shared" si="155"/>
        <v>10</v>
      </c>
    </row>
    <row r="3282" spans="1:9" hidden="1" x14ac:dyDescent="0.2">
      <c r="A3282" s="6">
        <v>43930.708333333336</v>
      </c>
      <c r="B3282" s="1" t="s">
        <v>19</v>
      </c>
      <c r="C3282">
        <v>630</v>
      </c>
      <c r="D3282">
        <v>86</v>
      </c>
      <c r="E3282">
        <v>225</v>
      </c>
      <c r="F3282">
        <v>2716</v>
      </c>
      <c r="G3282" s="3">
        <f t="shared" si="153"/>
        <v>82</v>
      </c>
      <c r="H3282" s="4">
        <f t="shared" si="154"/>
        <v>3.0191458026509577E-2</v>
      </c>
      <c r="I3282" s="1">
        <f t="shared" si="155"/>
        <v>6</v>
      </c>
    </row>
    <row r="3283" spans="1:9" hidden="1" x14ac:dyDescent="0.2">
      <c r="A3283" s="6">
        <v>43931.708333333336</v>
      </c>
      <c r="B3283" s="1" t="s">
        <v>19</v>
      </c>
      <c r="C3283">
        <v>631</v>
      </c>
      <c r="D3283">
        <v>80</v>
      </c>
      <c r="E3283">
        <v>238</v>
      </c>
      <c r="F3283">
        <v>2809</v>
      </c>
      <c r="G3283" s="3">
        <f t="shared" si="153"/>
        <v>93</v>
      </c>
      <c r="H3283" s="4">
        <f t="shared" si="154"/>
        <v>3.3107867568529681E-2</v>
      </c>
      <c r="I3283" s="1">
        <f t="shared" si="155"/>
        <v>13</v>
      </c>
    </row>
    <row r="3284" spans="1:9" hidden="1" x14ac:dyDescent="0.2">
      <c r="A3284" s="6">
        <v>43932.708333333336</v>
      </c>
      <c r="B3284" s="1" t="s">
        <v>19</v>
      </c>
      <c r="C3284">
        <v>627</v>
      </c>
      <c r="D3284">
        <v>73</v>
      </c>
      <c r="E3284">
        <v>253</v>
      </c>
      <c r="F3284">
        <v>2904</v>
      </c>
      <c r="G3284" s="3">
        <f t="shared" si="153"/>
        <v>95</v>
      </c>
      <c r="H3284" s="4">
        <f t="shared" si="154"/>
        <v>3.2713498622589543E-2</v>
      </c>
      <c r="I3284" s="1">
        <f t="shared" si="155"/>
        <v>15</v>
      </c>
    </row>
    <row r="3285" spans="1:9" hidden="1" x14ac:dyDescent="0.2">
      <c r="A3285" s="6">
        <v>43933.708333333336</v>
      </c>
      <c r="B3285" s="1" t="s">
        <v>19</v>
      </c>
      <c r="C3285">
        <v>609</v>
      </c>
      <c r="D3285">
        <v>71</v>
      </c>
      <c r="E3285">
        <v>260</v>
      </c>
      <c r="F3285">
        <v>2989</v>
      </c>
      <c r="G3285" s="3">
        <f t="shared" si="153"/>
        <v>85</v>
      </c>
      <c r="H3285" s="4">
        <f t="shared" si="154"/>
        <v>2.843760455001676E-2</v>
      </c>
      <c r="I3285" s="1">
        <f t="shared" si="155"/>
        <v>7</v>
      </c>
    </row>
    <row r="3286" spans="1:9" hidden="1" x14ac:dyDescent="0.2">
      <c r="A3286" s="6">
        <v>43934.708333333336</v>
      </c>
      <c r="B3286" s="1" t="s">
        <v>19</v>
      </c>
      <c r="C3286">
        <v>600</v>
      </c>
      <c r="D3286">
        <v>71</v>
      </c>
      <c r="E3286">
        <v>267</v>
      </c>
      <c r="F3286">
        <v>3065</v>
      </c>
      <c r="G3286" s="3">
        <f t="shared" si="153"/>
        <v>76</v>
      </c>
      <c r="H3286" s="4">
        <f t="shared" si="154"/>
        <v>2.4796084828711207E-2</v>
      </c>
      <c r="I3286" s="1">
        <f t="shared" si="155"/>
        <v>7</v>
      </c>
    </row>
    <row r="3287" spans="1:9" hidden="1" x14ac:dyDescent="0.2">
      <c r="A3287" s="6">
        <v>43935.708333333336</v>
      </c>
      <c r="B3287" s="1" t="s">
        <v>19</v>
      </c>
      <c r="C3287">
        <v>611</v>
      </c>
      <c r="D3287">
        <v>62</v>
      </c>
      <c r="E3287">
        <v>278</v>
      </c>
      <c r="F3287">
        <v>3118</v>
      </c>
      <c r="G3287" s="3">
        <f t="shared" si="153"/>
        <v>53</v>
      </c>
      <c r="H3287" s="4">
        <f t="shared" si="154"/>
        <v>1.6998075689544589E-2</v>
      </c>
      <c r="I3287" s="1">
        <f t="shared" si="155"/>
        <v>11</v>
      </c>
    </row>
    <row r="3288" spans="1:9" hidden="1" x14ac:dyDescent="0.2">
      <c r="A3288" s="6">
        <v>43936.708333333336</v>
      </c>
      <c r="B3288" s="1" t="s">
        <v>19</v>
      </c>
      <c r="C3288">
        <v>592</v>
      </c>
      <c r="D3288">
        <v>73</v>
      </c>
      <c r="E3288">
        <v>288</v>
      </c>
      <c r="F3288">
        <v>3184</v>
      </c>
      <c r="G3288" s="3">
        <f t="shared" si="153"/>
        <v>66</v>
      </c>
      <c r="H3288" s="4">
        <f t="shared" si="154"/>
        <v>2.0728643216080367E-2</v>
      </c>
      <c r="I3288" s="1">
        <f t="shared" si="155"/>
        <v>10</v>
      </c>
    </row>
    <row r="3289" spans="1:9" hidden="1" x14ac:dyDescent="0.2">
      <c r="A3289" s="6">
        <v>43937.708333333336</v>
      </c>
      <c r="B3289" s="1" t="s">
        <v>19</v>
      </c>
      <c r="C3289">
        <v>603</v>
      </c>
      <c r="D3289">
        <v>58</v>
      </c>
      <c r="E3289">
        <v>299</v>
      </c>
      <c r="F3289">
        <v>3258</v>
      </c>
      <c r="G3289" s="3">
        <f t="shared" si="153"/>
        <v>74</v>
      </c>
      <c r="H3289" s="4">
        <f t="shared" si="154"/>
        <v>2.2713321055862545E-2</v>
      </c>
      <c r="I3289" s="1">
        <f t="shared" si="155"/>
        <v>11</v>
      </c>
    </row>
    <row r="3290" spans="1:9" hidden="1" x14ac:dyDescent="0.2">
      <c r="A3290" s="6">
        <v>43938.708333333336</v>
      </c>
      <c r="B3290" s="1" t="s">
        <v>19</v>
      </c>
      <c r="C3290">
        <v>590</v>
      </c>
      <c r="D3290">
        <v>62</v>
      </c>
      <c r="E3290">
        <v>307</v>
      </c>
      <c r="F3290">
        <v>3327</v>
      </c>
      <c r="G3290" s="3">
        <f t="shared" si="153"/>
        <v>69</v>
      </c>
      <c r="H3290" s="4">
        <f t="shared" si="154"/>
        <v>2.0739404869251632E-2</v>
      </c>
      <c r="I3290" s="1">
        <f t="shared" si="155"/>
        <v>8</v>
      </c>
    </row>
    <row r="3291" spans="1:9" hidden="1" x14ac:dyDescent="0.2">
      <c r="A3291" s="6">
        <v>43939.708333333336</v>
      </c>
      <c r="B3291" s="1" t="s">
        <v>19</v>
      </c>
      <c r="C3291">
        <v>594</v>
      </c>
      <c r="D3291">
        <v>60</v>
      </c>
      <c r="E3291">
        <v>314</v>
      </c>
      <c r="F3291">
        <v>3409</v>
      </c>
      <c r="G3291" s="3">
        <f t="shared" si="153"/>
        <v>82</v>
      </c>
      <c r="H3291" s="4">
        <f t="shared" si="154"/>
        <v>2.405397477266058E-2</v>
      </c>
      <c r="I3291" s="1">
        <f t="shared" si="155"/>
        <v>7</v>
      </c>
    </row>
    <row r="3292" spans="1:9" hidden="1" x14ac:dyDescent="0.2">
      <c r="A3292" s="6">
        <v>43940.708333333336</v>
      </c>
      <c r="B3292" s="1" t="s">
        <v>19</v>
      </c>
      <c r="C3292">
        <v>590</v>
      </c>
      <c r="D3292">
        <v>60</v>
      </c>
      <c r="E3292">
        <v>316</v>
      </c>
      <c r="F3292">
        <v>3529</v>
      </c>
      <c r="G3292" s="3">
        <f t="shared" si="153"/>
        <v>120</v>
      </c>
      <c r="H3292" s="4">
        <f t="shared" si="154"/>
        <v>3.4003967129498491E-2</v>
      </c>
      <c r="I3292" s="1">
        <f t="shared" si="155"/>
        <v>2</v>
      </c>
    </row>
    <row r="3293" spans="1:9" hidden="1" x14ac:dyDescent="0.2">
      <c r="A3293" s="6">
        <v>43941.708333333336</v>
      </c>
      <c r="B3293" s="1" t="s">
        <v>19</v>
      </c>
      <c r="C3293">
        <v>584</v>
      </c>
      <c r="D3293">
        <v>66</v>
      </c>
      <c r="E3293">
        <v>326</v>
      </c>
      <c r="F3293">
        <v>3567</v>
      </c>
      <c r="G3293" s="3">
        <f t="shared" si="153"/>
        <v>38</v>
      </c>
      <c r="H3293" s="4">
        <f t="shared" si="154"/>
        <v>1.0653209980375666E-2</v>
      </c>
      <c r="I3293" s="1">
        <f t="shared" si="155"/>
        <v>10</v>
      </c>
    </row>
    <row r="3294" spans="1:9" hidden="1" x14ac:dyDescent="0.2">
      <c r="A3294" s="6">
        <v>43942.708333333336</v>
      </c>
      <c r="B3294" s="1" t="s">
        <v>19</v>
      </c>
      <c r="C3294">
        <v>569</v>
      </c>
      <c r="D3294">
        <v>65</v>
      </c>
      <c r="E3294">
        <v>351</v>
      </c>
      <c r="F3294">
        <v>3622</v>
      </c>
      <c r="G3294" s="3">
        <f t="shared" si="153"/>
        <v>55</v>
      </c>
      <c r="H3294" s="4">
        <f t="shared" si="154"/>
        <v>1.5184980673660919E-2</v>
      </c>
      <c r="I3294" s="1">
        <f t="shared" si="155"/>
        <v>25</v>
      </c>
    </row>
    <row r="3295" spans="1:9" hidden="1" x14ac:dyDescent="0.2">
      <c r="A3295" s="6">
        <v>43943.708333333336</v>
      </c>
      <c r="B3295" s="1" t="s">
        <v>19</v>
      </c>
      <c r="C3295">
        <v>564</v>
      </c>
      <c r="D3295">
        <v>60</v>
      </c>
      <c r="E3295">
        <v>362</v>
      </c>
      <c r="F3295">
        <v>3730</v>
      </c>
      <c r="G3295" s="3">
        <f t="shared" si="153"/>
        <v>108</v>
      </c>
      <c r="H3295" s="4">
        <f t="shared" si="154"/>
        <v>2.8954423592493339E-2</v>
      </c>
      <c r="I3295" s="1">
        <f t="shared" si="155"/>
        <v>11</v>
      </c>
    </row>
    <row r="3296" spans="1:9" hidden="1" x14ac:dyDescent="0.2">
      <c r="A3296" s="6">
        <v>43944.708333333336</v>
      </c>
      <c r="B3296" s="1" t="s">
        <v>19</v>
      </c>
      <c r="C3296">
        <v>536</v>
      </c>
      <c r="D3296">
        <v>55</v>
      </c>
      <c r="E3296">
        <v>372</v>
      </c>
      <c r="F3296">
        <v>3839</v>
      </c>
      <c r="G3296" s="3">
        <f t="shared" si="153"/>
        <v>109</v>
      </c>
      <c r="H3296" s="4">
        <f t="shared" si="154"/>
        <v>2.8392810627767662E-2</v>
      </c>
      <c r="I3296" s="1">
        <f t="shared" si="155"/>
        <v>10</v>
      </c>
    </row>
    <row r="3297" spans="1:9" hidden="1" x14ac:dyDescent="0.2">
      <c r="A3297" s="6">
        <v>43945.708333333336</v>
      </c>
      <c r="B3297" s="1" t="s">
        <v>19</v>
      </c>
      <c r="C3297">
        <v>496</v>
      </c>
      <c r="D3297">
        <v>51</v>
      </c>
      <c r="E3297">
        <v>383</v>
      </c>
      <c r="F3297">
        <v>3881</v>
      </c>
      <c r="G3297" s="3">
        <f t="shared" si="153"/>
        <v>42</v>
      </c>
      <c r="H3297" s="4">
        <f t="shared" si="154"/>
        <v>1.0821953104869886E-2</v>
      </c>
      <c r="I3297" s="1">
        <f t="shared" si="155"/>
        <v>11</v>
      </c>
    </row>
    <row r="3298" spans="1:9" hidden="1" x14ac:dyDescent="0.2">
      <c r="A3298" s="6">
        <v>43946.708333333336</v>
      </c>
      <c r="B3298" s="1" t="s">
        <v>19</v>
      </c>
      <c r="C3298">
        <v>469</v>
      </c>
      <c r="D3298">
        <v>48</v>
      </c>
      <c r="E3298">
        <v>391</v>
      </c>
      <c r="F3298">
        <v>3912</v>
      </c>
      <c r="G3298" s="3">
        <f t="shared" si="153"/>
        <v>31</v>
      </c>
      <c r="H3298" s="4">
        <f t="shared" si="154"/>
        <v>7.9243353783231552E-3</v>
      </c>
      <c r="I3298" s="1">
        <f t="shared" si="155"/>
        <v>8</v>
      </c>
    </row>
    <row r="3299" spans="1:9" hidden="1" x14ac:dyDescent="0.2">
      <c r="A3299" s="6">
        <v>43947.708333333336</v>
      </c>
      <c r="B3299" s="1" t="s">
        <v>19</v>
      </c>
      <c r="C3299">
        <v>464</v>
      </c>
      <c r="D3299">
        <v>48</v>
      </c>
      <c r="E3299">
        <v>399</v>
      </c>
      <c r="F3299">
        <v>3948</v>
      </c>
      <c r="G3299" s="3">
        <f t="shared" si="153"/>
        <v>36</v>
      </c>
      <c r="H3299" s="4">
        <f t="shared" si="154"/>
        <v>9.1185410334346795E-3</v>
      </c>
      <c r="I3299" s="1">
        <f t="shared" si="155"/>
        <v>8</v>
      </c>
    </row>
    <row r="3300" spans="1:9" hidden="1" x14ac:dyDescent="0.2">
      <c r="A3300" s="6">
        <v>43948.708333333336</v>
      </c>
      <c r="B3300" s="1" t="s">
        <v>19</v>
      </c>
      <c r="C3300">
        <v>449</v>
      </c>
      <c r="D3300">
        <v>51</v>
      </c>
      <c r="E3300">
        <v>405</v>
      </c>
      <c r="F3300">
        <v>3958</v>
      </c>
      <c r="G3300" s="3">
        <f t="shared" si="153"/>
        <v>10</v>
      </c>
      <c r="H3300" s="4">
        <f t="shared" si="154"/>
        <v>2.5265285497726442E-3</v>
      </c>
      <c r="I3300" s="1">
        <f t="shared" si="155"/>
        <v>6</v>
      </c>
    </row>
    <row r="3301" spans="1:9" hidden="1" x14ac:dyDescent="0.2">
      <c r="A3301" s="6">
        <v>43949.708333333336</v>
      </c>
      <c r="B3301" s="1" t="s">
        <v>19</v>
      </c>
      <c r="C3301">
        <v>448</v>
      </c>
      <c r="D3301">
        <v>51</v>
      </c>
      <c r="E3301">
        <v>407</v>
      </c>
      <c r="F3301">
        <v>3980</v>
      </c>
      <c r="G3301" s="3">
        <f t="shared" si="153"/>
        <v>22</v>
      </c>
      <c r="H3301" s="4">
        <f t="shared" si="154"/>
        <v>5.5276381909548089E-3</v>
      </c>
      <c r="I3301" s="1">
        <f t="shared" si="155"/>
        <v>2</v>
      </c>
    </row>
    <row r="3302" spans="1:9" hidden="1" x14ac:dyDescent="0.2">
      <c r="A3302" s="6">
        <v>43950.708333333336</v>
      </c>
      <c r="B3302" s="1" t="s">
        <v>19</v>
      </c>
      <c r="C3302">
        <v>449</v>
      </c>
      <c r="D3302">
        <v>47</v>
      </c>
      <c r="E3302">
        <v>410</v>
      </c>
      <c r="F3302">
        <v>4029</v>
      </c>
      <c r="G3302" s="3">
        <f t="shared" si="153"/>
        <v>49</v>
      </c>
      <c r="H3302" s="4">
        <f t="shared" si="154"/>
        <v>1.2161826756018845E-2</v>
      </c>
      <c r="I3302" s="1">
        <f t="shared" si="155"/>
        <v>3</v>
      </c>
    </row>
    <row r="3303" spans="1:9" hidden="1" x14ac:dyDescent="0.2">
      <c r="A3303" s="6">
        <v>43951.708333333336</v>
      </c>
      <c r="B3303" s="1" t="s">
        <v>19</v>
      </c>
      <c r="C3303">
        <v>439</v>
      </c>
      <c r="D3303">
        <v>42</v>
      </c>
      <c r="E3303">
        <v>415</v>
      </c>
      <c r="F3303">
        <v>4072</v>
      </c>
      <c r="G3303" s="3">
        <f t="shared" si="153"/>
        <v>43</v>
      </c>
      <c r="H3303" s="4">
        <f t="shared" si="154"/>
        <v>1.055992141453832E-2</v>
      </c>
      <c r="I3303" s="1">
        <f t="shared" si="155"/>
        <v>5</v>
      </c>
    </row>
    <row r="3304" spans="1:9" hidden="1" x14ac:dyDescent="0.2">
      <c r="A3304" s="6">
        <v>43952.708333333336</v>
      </c>
      <c r="B3304" s="1" t="s">
        <v>19</v>
      </c>
      <c r="C3304">
        <v>428</v>
      </c>
      <c r="D3304">
        <v>39</v>
      </c>
      <c r="E3304">
        <v>421</v>
      </c>
      <c r="F3304">
        <v>4099</v>
      </c>
      <c r="G3304" s="3">
        <f t="shared" si="153"/>
        <v>27</v>
      </c>
      <c r="H3304" s="4">
        <f t="shared" si="154"/>
        <v>6.586972432300553E-3</v>
      </c>
      <c r="I3304" s="1">
        <f t="shared" si="155"/>
        <v>6</v>
      </c>
    </row>
    <row r="3305" spans="1:9" hidden="1" x14ac:dyDescent="0.2">
      <c r="A3305" s="6">
        <v>43953.708333333336</v>
      </c>
      <c r="B3305" s="1" t="s">
        <v>19</v>
      </c>
      <c r="C3305">
        <v>416</v>
      </c>
      <c r="D3305">
        <v>39</v>
      </c>
      <c r="E3305">
        <v>422</v>
      </c>
      <c r="F3305">
        <v>4133</v>
      </c>
      <c r="G3305" s="3">
        <f t="shared" si="153"/>
        <v>34</v>
      </c>
      <c r="H3305" s="4">
        <f t="shared" si="154"/>
        <v>8.2264698766029154E-3</v>
      </c>
      <c r="I3305" s="1">
        <f t="shared" si="155"/>
        <v>1</v>
      </c>
    </row>
    <row r="3306" spans="1:9" hidden="1" x14ac:dyDescent="0.2">
      <c r="A3306" s="6">
        <v>43954.708333333336</v>
      </c>
      <c r="B3306" s="1" t="s">
        <v>19</v>
      </c>
      <c r="C3306">
        <v>410</v>
      </c>
      <c r="D3306">
        <v>40</v>
      </c>
      <c r="E3306">
        <v>424</v>
      </c>
      <c r="F3306">
        <v>4144</v>
      </c>
      <c r="G3306" s="3">
        <f t="shared" si="153"/>
        <v>11</v>
      </c>
      <c r="H3306" s="4">
        <f t="shared" si="154"/>
        <v>2.654440154440163E-3</v>
      </c>
      <c r="I3306" s="1">
        <f t="shared" si="155"/>
        <v>2</v>
      </c>
    </row>
    <row r="3307" spans="1:9" hidden="1" x14ac:dyDescent="0.2">
      <c r="A3307" s="6">
        <v>43955.708333333336</v>
      </c>
      <c r="B3307" s="1" t="s">
        <v>19</v>
      </c>
      <c r="C3307">
        <v>397</v>
      </c>
      <c r="D3307">
        <v>39</v>
      </c>
      <c r="E3307">
        <v>429</v>
      </c>
      <c r="F3307">
        <v>4153</v>
      </c>
      <c r="G3307" s="3">
        <f t="shared" si="153"/>
        <v>9</v>
      </c>
      <c r="H3307" s="4">
        <f t="shared" si="154"/>
        <v>2.1671081146159565E-3</v>
      </c>
      <c r="I3307" s="1">
        <f t="shared" si="155"/>
        <v>5</v>
      </c>
    </row>
    <row r="3308" spans="1:9" hidden="1" x14ac:dyDescent="0.2">
      <c r="A3308" s="6">
        <v>43956.708333333336</v>
      </c>
      <c r="B3308" s="1" t="s">
        <v>19</v>
      </c>
      <c r="C3308">
        <v>384</v>
      </c>
      <c r="D3308">
        <v>39</v>
      </c>
      <c r="E3308">
        <v>433</v>
      </c>
      <c r="F3308">
        <v>4170</v>
      </c>
      <c r="G3308" s="3">
        <f t="shared" si="153"/>
        <v>17</v>
      </c>
      <c r="H3308" s="4">
        <f t="shared" si="154"/>
        <v>4.0767386091127289E-3</v>
      </c>
      <c r="I3308" s="1">
        <f t="shared" si="155"/>
        <v>4</v>
      </c>
    </row>
    <row r="3309" spans="1:9" hidden="1" x14ac:dyDescent="0.2">
      <c r="A3309" s="6">
        <v>43957.708333333336</v>
      </c>
      <c r="B3309" s="1" t="s">
        <v>19</v>
      </c>
      <c r="C3309">
        <v>365</v>
      </c>
      <c r="D3309">
        <v>36</v>
      </c>
      <c r="E3309">
        <v>438</v>
      </c>
      <c r="F3309">
        <v>4196</v>
      </c>
      <c r="G3309" s="3">
        <f t="shared" si="153"/>
        <v>26</v>
      </c>
      <c r="H3309" s="4">
        <f t="shared" si="154"/>
        <v>6.1963775023832213E-3</v>
      </c>
      <c r="I3309" s="1">
        <f t="shared" si="155"/>
        <v>5</v>
      </c>
    </row>
    <row r="3310" spans="1:9" hidden="1" x14ac:dyDescent="0.2">
      <c r="A3310" s="6">
        <v>43958.708333333336</v>
      </c>
      <c r="B3310" s="1" t="s">
        <v>19</v>
      </c>
      <c r="C3310">
        <v>355</v>
      </c>
      <c r="D3310">
        <v>35</v>
      </c>
      <c r="E3310">
        <v>441</v>
      </c>
      <c r="F3310">
        <v>4245</v>
      </c>
      <c r="G3310" s="3">
        <f t="shared" si="153"/>
        <v>49</v>
      </c>
      <c r="H3310" s="4">
        <f t="shared" si="154"/>
        <v>1.1542991755005838E-2</v>
      </c>
      <c r="I3310" s="1">
        <f t="shared" si="155"/>
        <v>3</v>
      </c>
    </row>
    <row r="3311" spans="1:9" hidden="1" x14ac:dyDescent="0.2">
      <c r="A3311" s="6">
        <v>43959.708333333336</v>
      </c>
      <c r="B3311" s="1" t="s">
        <v>19</v>
      </c>
      <c r="C3311">
        <v>349</v>
      </c>
      <c r="D3311">
        <v>33</v>
      </c>
      <c r="E3311">
        <v>443</v>
      </c>
      <c r="F3311">
        <v>4256</v>
      </c>
      <c r="G3311" s="3">
        <f t="shared" si="153"/>
        <v>11</v>
      </c>
      <c r="H3311" s="4">
        <f t="shared" si="154"/>
        <v>2.5845864661654394E-3</v>
      </c>
      <c r="I3311" s="1">
        <f t="shared" si="155"/>
        <v>2</v>
      </c>
    </row>
    <row r="3312" spans="1:9" hidden="1" x14ac:dyDescent="0.2">
      <c r="A3312" s="6">
        <v>43960.708333333336</v>
      </c>
      <c r="B3312" s="1" t="s">
        <v>19</v>
      </c>
      <c r="C3312">
        <v>344</v>
      </c>
      <c r="D3312">
        <v>33</v>
      </c>
      <c r="E3312">
        <v>443</v>
      </c>
      <c r="F3312">
        <v>4286</v>
      </c>
      <c r="G3312" s="3">
        <f t="shared" si="153"/>
        <v>30</v>
      </c>
      <c r="H3312" s="4">
        <f t="shared" si="154"/>
        <v>6.9995333644423674E-3</v>
      </c>
      <c r="I3312" s="1">
        <f t="shared" si="155"/>
        <v>0</v>
      </c>
    </row>
    <row r="3313" spans="1:9" hidden="1" x14ac:dyDescent="0.2">
      <c r="A3313" s="6">
        <v>43961.708333333336</v>
      </c>
      <c r="B3313" s="1" t="s">
        <v>19</v>
      </c>
      <c r="C3313">
        <v>343</v>
      </c>
      <c r="D3313">
        <v>34</v>
      </c>
      <c r="E3313">
        <v>448</v>
      </c>
      <c r="F3313">
        <v>4313</v>
      </c>
      <c r="G3313" s="3">
        <f t="shared" si="153"/>
        <v>27</v>
      </c>
      <c r="H3313" s="4">
        <f t="shared" si="154"/>
        <v>6.2601437514491209E-3</v>
      </c>
      <c r="I3313" s="1">
        <f t="shared" si="155"/>
        <v>5</v>
      </c>
    </row>
    <row r="3314" spans="1:9" hidden="1" x14ac:dyDescent="0.2">
      <c r="A3314" s="6">
        <v>43962.708333333336</v>
      </c>
      <c r="B3314" s="1" t="s">
        <v>19</v>
      </c>
      <c r="C3314">
        <v>340</v>
      </c>
      <c r="D3314">
        <v>32</v>
      </c>
      <c r="E3314">
        <v>451</v>
      </c>
      <c r="F3314">
        <v>4327</v>
      </c>
      <c r="G3314" s="3">
        <f t="shared" si="153"/>
        <v>14</v>
      </c>
      <c r="H3314" s="4">
        <f t="shared" si="154"/>
        <v>3.2354980355905338E-3</v>
      </c>
      <c r="I3314" s="1">
        <f t="shared" si="155"/>
        <v>3</v>
      </c>
    </row>
    <row r="3315" spans="1:9" hidden="1" x14ac:dyDescent="0.2">
      <c r="A3315" s="6">
        <v>43963.708333333336</v>
      </c>
      <c r="B3315" s="1" t="s">
        <v>19</v>
      </c>
      <c r="C3315">
        <v>334</v>
      </c>
      <c r="D3315">
        <v>31</v>
      </c>
      <c r="E3315">
        <v>456</v>
      </c>
      <c r="F3315">
        <v>4337</v>
      </c>
      <c r="G3315" s="3">
        <f t="shared" si="153"/>
        <v>10</v>
      </c>
      <c r="H3315" s="4">
        <f t="shared" si="154"/>
        <v>2.3057412958266132E-3</v>
      </c>
      <c r="I3315" s="1">
        <f t="shared" si="155"/>
        <v>5</v>
      </c>
    </row>
    <row r="3316" spans="1:9" hidden="1" x14ac:dyDescent="0.2">
      <c r="A3316" s="6">
        <v>43964.708333333336</v>
      </c>
      <c r="B3316" s="1" t="s">
        <v>19</v>
      </c>
      <c r="C3316">
        <v>310</v>
      </c>
      <c r="D3316">
        <v>27</v>
      </c>
      <c r="E3316">
        <v>460</v>
      </c>
      <c r="F3316">
        <v>4348</v>
      </c>
      <c r="G3316" s="3">
        <f t="shared" si="153"/>
        <v>11</v>
      </c>
      <c r="H3316" s="4">
        <f t="shared" si="154"/>
        <v>2.5298988040478587E-3</v>
      </c>
      <c r="I3316" s="1">
        <f t="shared" si="155"/>
        <v>4</v>
      </c>
    </row>
    <row r="3317" spans="1:9" hidden="1" x14ac:dyDescent="0.2">
      <c r="A3317" s="6">
        <v>43965.708333333336</v>
      </c>
      <c r="B3317" s="1" t="s">
        <v>19</v>
      </c>
      <c r="C3317">
        <v>296</v>
      </c>
      <c r="D3317">
        <v>24</v>
      </c>
      <c r="E3317">
        <v>461</v>
      </c>
      <c r="F3317">
        <v>4357</v>
      </c>
      <c r="G3317" s="3">
        <f t="shared" si="153"/>
        <v>9</v>
      </c>
      <c r="H3317" s="4">
        <f t="shared" si="154"/>
        <v>2.0656414964425052E-3</v>
      </c>
      <c r="I3317" s="1">
        <f t="shared" si="155"/>
        <v>1</v>
      </c>
    </row>
    <row r="3318" spans="1:9" hidden="1" x14ac:dyDescent="0.2">
      <c r="A3318" s="6">
        <v>43966.708333333336</v>
      </c>
      <c r="B3318" s="1" t="s">
        <v>19</v>
      </c>
      <c r="C3318">
        <v>285</v>
      </c>
      <c r="D3318">
        <v>23</v>
      </c>
      <c r="E3318">
        <v>461</v>
      </c>
      <c r="F3318">
        <v>4366</v>
      </c>
      <c r="G3318" s="3">
        <f t="shared" si="153"/>
        <v>9</v>
      </c>
      <c r="H3318" s="4">
        <f t="shared" si="154"/>
        <v>2.0613834173156542E-3</v>
      </c>
      <c r="I3318" s="1">
        <f t="shared" si="155"/>
        <v>0</v>
      </c>
    </row>
    <row r="3319" spans="1:9" hidden="1" x14ac:dyDescent="0.2">
      <c r="A3319" s="6">
        <v>43967.708333333336</v>
      </c>
      <c r="B3319" s="1" t="s">
        <v>19</v>
      </c>
      <c r="C3319">
        <v>272</v>
      </c>
      <c r="D3319">
        <v>22</v>
      </c>
      <c r="E3319">
        <v>463</v>
      </c>
      <c r="F3319">
        <v>4374</v>
      </c>
      <c r="G3319" s="3">
        <f t="shared" si="153"/>
        <v>8</v>
      </c>
      <c r="H3319" s="4">
        <f t="shared" si="154"/>
        <v>1.8289894833104503E-3</v>
      </c>
      <c r="I3319" s="1">
        <f t="shared" si="155"/>
        <v>2</v>
      </c>
    </row>
    <row r="3320" spans="1:9" hidden="1" x14ac:dyDescent="0.2">
      <c r="A3320" s="6">
        <v>43968.708333333336</v>
      </c>
      <c r="B3320" s="1" t="s">
        <v>19</v>
      </c>
      <c r="C3320">
        <v>263</v>
      </c>
      <c r="D3320">
        <v>21</v>
      </c>
      <c r="E3320">
        <v>470</v>
      </c>
      <c r="F3320">
        <v>4379</v>
      </c>
      <c r="G3320" s="3">
        <f t="shared" si="153"/>
        <v>5</v>
      </c>
      <c r="H3320" s="4">
        <f t="shared" si="154"/>
        <v>1.1418131993605751E-3</v>
      </c>
      <c r="I3320" s="1">
        <f t="shared" si="155"/>
        <v>7</v>
      </c>
    </row>
    <row r="3321" spans="1:9" hidden="1" x14ac:dyDescent="0.2">
      <c r="A3321" s="6">
        <v>43969.708333333336</v>
      </c>
      <c r="B3321" s="1" t="s">
        <v>19</v>
      </c>
      <c r="C3321">
        <v>254</v>
      </c>
      <c r="D3321">
        <v>22</v>
      </c>
      <c r="E3321">
        <v>471</v>
      </c>
      <c r="F3321">
        <v>4386</v>
      </c>
      <c r="G3321" s="3">
        <f t="shared" si="153"/>
        <v>7</v>
      </c>
      <c r="H3321" s="4">
        <f t="shared" si="154"/>
        <v>1.5959872321021917E-3</v>
      </c>
      <c r="I3321" s="1">
        <f t="shared" si="155"/>
        <v>1</v>
      </c>
    </row>
    <row r="3322" spans="1:9" hidden="1" x14ac:dyDescent="0.2">
      <c r="A3322" s="6">
        <v>43970.708333333336</v>
      </c>
      <c r="B3322" s="1" t="s">
        <v>19</v>
      </c>
      <c r="C3322">
        <v>247</v>
      </c>
      <c r="D3322">
        <v>22</v>
      </c>
      <c r="E3322">
        <v>473</v>
      </c>
      <c r="F3322">
        <v>4396</v>
      </c>
      <c r="G3322" s="3">
        <f t="shared" si="153"/>
        <v>10</v>
      </c>
      <c r="H3322" s="4">
        <f t="shared" si="154"/>
        <v>2.2747952684258888E-3</v>
      </c>
      <c r="I3322" s="1">
        <f t="shared" si="155"/>
        <v>2</v>
      </c>
    </row>
    <row r="3323" spans="1:9" hidden="1" x14ac:dyDescent="0.2">
      <c r="A3323" s="6">
        <v>43971.708333333336</v>
      </c>
      <c r="B3323" s="1" t="s">
        <v>19</v>
      </c>
      <c r="C3323">
        <v>242</v>
      </c>
      <c r="D3323">
        <v>21</v>
      </c>
      <c r="E3323">
        <v>478</v>
      </c>
      <c r="F3323">
        <v>4407</v>
      </c>
      <c r="G3323" s="3">
        <f t="shared" si="153"/>
        <v>11</v>
      </c>
      <c r="H3323" s="4">
        <f t="shared" si="154"/>
        <v>2.4960290447015865E-3</v>
      </c>
      <c r="I3323" s="1">
        <f t="shared" si="155"/>
        <v>5</v>
      </c>
    </row>
    <row r="3324" spans="1:9" hidden="1" x14ac:dyDescent="0.2">
      <c r="A3324" s="6">
        <v>43972.708333333336</v>
      </c>
      <c r="B3324" s="1" t="s">
        <v>19</v>
      </c>
      <c r="C3324">
        <v>236</v>
      </c>
      <c r="D3324">
        <v>20</v>
      </c>
      <c r="E3324">
        <v>478</v>
      </c>
      <c r="F3324">
        <v>4413</v>
      </c>
      <c r="G3324" s="3">
        <f t="shared" si="153"/>
        <v>6</v>
      </c>
      <c r="H3324" s="4">
        <f t="shared" si="154"/>
        <v>1.3596193065941176E-3</v>
      </c>
      <c r="I3324" s="1">
        <f t="shared" si="155"/>
        <v>0</v>
      </c>
    </row>
    <row r="3325" spans="1:9" hidden="1" x14ac:dyDescent="0.2">
      <c r="A3325" s="6">
        <v>43973.708333333336</v>
      </c>
      <c r="B3325" s="1" t="s">
        <v>19</v>
      </c>
      <c r="C3325">
        <v>233</v>
      </c>
      <c r="D3325">
        <v>17</v>
      </c>
      <c r="E3325">
        <v>482</v>
      </c>
      <c r="F3325">
        <v>4440</v>
      </c>
      <c r="G3325" s="3">
        <f t="shared" si="153"/>
        <v>27</v>
      </c>
      <c r="H3325" s="4">
        <f t="shared" si="154"/>
        <v>6.0810810810810745E-3</v>
      </c>
      <c r="I3325" s="1">
        <f t="shared" si="155"/>
        <v>4</v>
      </c>
    </row>
    <row r="3326" spans="1:9" hidden="1" x14ac:dyDescent="0.2">
      <c r="A3326" s="6">
        <v>43974.708333333336</v>
      </c>
      <c r="B3326" s="1" t="s">
        <v>19</v>
      </c>
      <c r="C3326">
        <v>215</v>
      </c>
      <c r="D3326">
        <v>17</v>
      </c>
      <c r="E3326">
        <v>486</v>
      </c>
      <c r="F3326">
        <v>4448</v>
      </c>
      <c r="G3326" s="3">
        <f t="shared" si="153"/>
        <v>8</v>
      </c>
      <c r="H3326" s="4">
        <f t="shared" si="154"/>
        <v>1.7985611510791255E-3</v>
      </c>
      <c r="I3326" s="1">
        <f t="shared" si="155"/>
        <v>4</v>
      </c>
    </row>
    <row r="3327" spans="1:9" hidden="1" x14ac:dyDescent="0.2">
      <c r="A3327" s="6">
        <v>43975.708333333336</v>
      </c>
      <c r="B3327" s="1" t="s">
        <v>19</v>
      </c>
      <c r="C3327">
        <v>204</v>
      </c>
      <c r="D3327">
        <v>17</v>
      </c>
      <c r="E3327">
        <v>487</v>
      </c>
      <c r="F3327">
        <v>4458</v>
      </c>
      <c r="G3327" s="3">
        <f t="shared" si="153"/>
        <v>10</v>
      </c>
      <c r="H3327" s="4">
        <f t="shared" si="154"/>
        <v>2.2431583669807464E-3</v>
      </c>
      <c r="I3327" s="1">
        <f t="shared" si="155"/>
        <v>1</v>
      </c>
    </row>
    <row r="3328" spans="1:9" hidden="1" x14ac:dyDescent="0.2">
      <c r="A3328" s="6">
        <v>43976.708333333336</v>
      </c>
      <c r="B3328" s="1" t="s">
        <v>19</v>
      </c>
      <c r="C3328">
        <v>190</v>
      </c>
      <c r="D3328">
        <v>15</v>
      </c>
      <c r="E3328">
        <v>491</v>
      </c>
      <c r="F3328">
        <v>4467</v>
      </c>
      <c r="G3328" s="3">
        <f t="shared" si="153"/>
        <v>9</v>
      </c>
      <c r="H3328" s="4">
        <f t="shared" si="154"/>
        <v>2.014775016789816E-3</v>
      </c>
      <c r="I3328" s="1">
        <f t="shared" si="155"/>
        <v>4</v>
      </c>
    </row>
    <row r="3329" spans="1:9" hidden="1" x14ac:dyDescent="0.2">
      <c r="A3329" s="6">
        <v>43977.708333333336</v>
      </c>
      <c r="B3329" s="1" t="s">
        <v>19</v>
      </c>
      <c r="C3329">
        <v>172</v>
      </c>
      <c r="D3329">
        <v>17</v>
      </c>
      <c r="E3329">
        <v>494</v>
      </c>
      <c r="F3329">
        <v>4469</v>
      </c>
      <c r="G3329" s="3">
        <f t="shared" si="153"/>
        <v>2</v>
      </c>
      <c r="H3329" s="4">
        <f t="shared" si="154"/>
        <v>4.4752741105391625E-4</v>
      </c>
      <c r="I3329" s="1">
        <f t="shared" si="155"/>
        <v>3</v>
      </c>
    </row>
    <row r="3330" spans="1:9" hidden="1" x14ac:dyDescent="0.2">
      <c r="A3330" s="6">
        <v>43978.708333333336</v>
      </c>
      <c r="B3330" s="1" t="s">
        <v>19</v>
      </c>
      <c r="C3330">
        <v>170</v>
      </c>
      <c r="D3330">
        <v>17</v>
      </c>
      <c r="E3330">
        <v>495</v>
      </c>
      <c r="F3330">
        <v>4479</v>
      </c>
      <c r="G3330" s="3">
        <f t="shared" si="153"/>
        <v>10</v>
      </c>
      <c r="H3330" s="4">
        <f t="shared" si="154"/>
        <v>2.2326412145567964E-3</v>
      </c>
      <c r="I3330" s="1">
        <f t="shared" si="155"/>
        <v>1</v>
      </c>
    </row>
    <row r="3331" spans="1:9" hidden="1" x14ac:dyDescent="0.2">
      <c r="A3331" s="6">
        <v>43979.708333333336</v>
      </c>
      <c r="B3331" s="1" t="s">
        <v>19</v>
      </c>
      <c r="C3331">
        <v>164</v>
      </c>
      <c r="D3331">
        <v>16</v>
      </c>
      <c r="E3331">
        <v>496</v>
      </c>
      <c r="F3331">
        <v>4481</v>
      </c>
      <c r="G3331" s="3">
        <f t="shared" ref="G3331:G3394" si="156">IF(AND(F3331&gt;0,AND(B3331=B3330,F3331&gt;0)),F3331-F3330,0)</f>
        <v>2</v>
      </c>
      <c r="H3331" s="4">
        <f t="shared" ref="H3331:H3394" si="157">IF(AND(F3330&gt;0,AND(B3331=B3330,F3330&gt;0)),1-(F3330/F3331),0)</f>
        <v>4.4632894443208393E-4</v>
      </c>
      <c r="I3331" s="1">
        <f t="shared" ref="I3331:I3394" si="158">IF(AND(E3331&gt;0,AND(B3331=B3330,E3331&gt;0)),E3331-E3330,0)</f>
        <v>1</v>
      </c>
    </row>
    <row r="3332" spans="1:9" hidden="1" x14ac:dyDescent="0.2">
      <c r="A3332" s="6">
        <v>43980.708333333336</v>
      </c>
      <c r="B3332" s="1" t="s">
        <v>19</v>
      </c>
      <c r="C3332">
        <v>158</v>
      </c>
      <c r="D3332">
        <v>12</v>
      </c>
      <c r="E3332">
        <v>500</v>
      </c>
      <c r="F3332">
        <v>4482</v>
      </c>
      <c r="G3332" s="3">
        <f t="shared" si="156"/>
        <v>1</v>
      </c>
      <c r="H3332" s="4">
        <f t="shared" si="157"/>
        <v>2.2311468094604603E-4</v>
      </c>
      <c r="I3332" s="1">
        <f t="shared" si="158"/>
        <v>4</v>
      </c>
    </row>
    <row r="3333" spans="1:9" hidden="1" x14ac:dyDescent="0.2">
      <c r="A3333" s="6">
        <v>43981.708333333336</v>
      </c>
      <c r="B3333" s="1" t="s">
        <v>19</v>
      </c>
      <c r="C3333">
        <v>150</v>
      </c>
      <c r="D3333">
        <v>12</v>
      </c>
      <c r="E3333">
        <v>500</v>
      </c>
      <c r="F3333">
        <v>4490</v>
      </c>
      <c r="G3333" s="3">
        <f t="shared" si="156"/>
        <v>8</v>
      </c>
      <c r="H3333" s="4">
        <f t="shared" si="157"/>
        <v>1.7817371937639548E-3</v>
      </c>
      <c r="I3333" s="1">
        <f t="shared" si="158"/>
        <v>0</v>
      </c>
    </row>
    <row r="3334" spans="1:9" hidden="1" x14ac:dyDescent="0.2">
      <c r="A3334" s="6">
        <v>43982.708333333336</v>
      </c>
      <c r="B3334" s="1" t="s">
        <v>19</v>
      </c>
      <c r="C3334">
        <v>143</v>
      </c>
      <c r="D3334">
        <v>11</v>
      </c>
      <c r="E3334">
        <v>504</v>
      </c>
      <c r="F3334">
        <v>4494</v>
      </c>
      <c r="G3334" s="3">
        <f t="shared" si="156"/>
        <v>4</v>
      </c>
      <c r="H3334" s="4">
        <f t="shared" si="157"/>
        <v>8.900756564308443E-4</v>
      </c>
      <c r="I3334" s="1">
        <f t="shared" si="158"/>
        <v>4</v>
      </c>
    </row>
    <row r="3335" spans="1:9" hidden="1" x14ac:dyDescent="0.2">
      <c r="A3335" s="6">
        <v>43983.708333333336</v>
      </c>
      <c r="B3335" s="1" t="s">
        <v>19</v>
      </c>
      <c r="C3335">
        <v>140</v>
      </c>
      <c r="D3335">
        <v>11</v>
      </c>
      <c r="E3335">
        <v>506</v>
      </c>
      <c r="F3335">
        <v>4498</v>
      </c>
      <c r="G3335" s="3">
        <f t="shared" si="156"/>
        <v>4</v>
      </c>
      <c r="H3335" s="4">
        <f t="shared" si="157"/>
        <v>8.8928412627831133E-4</v>
      </c>
      <c r="I3335" s="1">
        <f t="shared" si="158"/>
        <v>2</v>
      </c>
    </row>
    <row r="3336" spans="1:9" hidden="1" x14ac:dyDescent="0.2">
      <c r="A3336" s="6">
        <v>43984.708333333336</v>
      </c>
      <c r="B3336" s="1" t="s">
        <v>19</v>
      </c>
      <c r="C3336">
        <v>134</v>
      </c>
      <c r="D3336">
        <v>11</v>
      </c>
      <c r="E3336">
        <v>508</v>
      </c>
      <c r="F3336">
        <v>4498</v>
      </c>
      <c r="G3336" s="3">
        <f t="shared" si="156"/>
        <v>0</v>
      </c>
      <c r="H3336" s="4">
        <f t="shared" si="157"/>
        <v>0</v>
      </c>
      <c r="I3336" s="1">
        <f t="shared" si="158"/>
        <v>2</v>
      </c>
    </row>
    <row r="3337" spans="1:9" hidden="1" x14ac:dyDescent="0.2">
      <c r="A3337" s="6">
        <v>43985.708333333336</v>
      </c>
      <c r="B3337" s="1" t="s">
        <v>19</v>
      </c>
      <c r="C3337">
        <v>131</v>
      </c>
      <c r="D3337">
        <v>10</v>
      </c>
      <c r="E3337">
        <v>511</v>
      </c>
      <c r="F3337">
        <v>4499</v>
      </c>
      <c r="G3337" s="3">
        <f t="shared" si="156"/>
        <v>1</v>
      </c>
      <c r="H3337" s="4">
        <f t="shared" si="157"/>
        <v>2.2227161591459321E-4</v>
      </c>
      <c r="I3337" s="1">
        <f t="shared" si="158"/>
        <v>3</v>
      </c>
    </row>
    <row r="3338" spans="1:9" hidden="1" x14ac:dyDescent="0.2">
      <c r="A3338" s="6">
        <v>43986.708333333336</v>
      </c>
      <c r="B3338" s="1" t="s">
        <v>19</v>
      </c>
      <c r="C3338">
        <v>131</v>
      </c>
      <c r="D3338">
        <v>9</v>
      </c>
      <c r="E3338">
        <v>514</v>
      </c>
      <c r="F3338">
        <v>4503</v>
      </c>
      <c r="G3338" s="3">
        <f t="shared" si="156"/>
        <v>4</v>
      </c>
      <c r="H3338" s="4">
        <f t="shared" si="157"/>
        <v>8.8829669109480314E-4</v>
      </c>
      <c r="I3338" s="1">
        <f t="shared" si="158"/>
        <v>3</v>
      </c>
    </row>
    <row r="3339" spans="1:9" hidden="1" x14ac:dyDescent="0.2">
      <c r="A3339" s="6">
        <v>43987.708333333336</v>
      </c>
      <c r="B3339" s="1" t="s">
        <v>19</v>
      </c>
      <c r="C3339">
        <v>111</v>
      </c>
      <c r="D3339">
        <v>5</v>
      </c>
      <c r="E3339">
        <v>521</v>
      </c>
      <c r="F3339">
        <v>4507</v>
      </c>
      <c r="G3339" s="3">
        <f t="shared" si="156"/>
        <v>4</v>
      </c>
      <c r="H3339" s="4">
        <f t="shared" si="157"/>
        <v>8.8750832039052874E-4</v>
      </c>
      <c r="I3339" s="1">
        <f t="shared" si="158"/>
        <v>7</v>
      </c>
    </row>
    <row r="3340" spans="1:9" hidden="1" x14ac:dyDescent="0.2">
      <c r="A3340" s="6">
        <v>43988.708333333336</v>
      </c>
      <c r="B3340" s="1" t="s">
        <v>19</v>
      </c>
      <c r="C3340">
        <v>109</v>
      </c>
      <c r="D3340">
        <v>4</v>
      </c>
      <c r="E3340">
        <v>522</v>
      </c>
      <c r="F3340">
        <v>4511</v>
      </c>
      <c r="G3340" s="3">
        <f t="shared" si="156"/>
        <v>4</v>
      </c>
      <c r="H3340" s="4">
        <f t="shared" si="157"/>
        <v>8.8672134781642153E-4</v>
      </c>
      <c r="I3340" s="1">
        <f t="shared" si="158"/>
        <v>1</v>
      </c>
    </row>
    <row r="3341" spans="1:9" hidden="1" x14ac:dyDescent="0.2">
      <c r="A3341" s="6">
        <v>43989.708333333336</v>
      </c>
      <c r="B3341" s="1" t="s">
        <v>19</v>
      </c>
      <c r="C3341">
        <v>96</v>
      </c>
      <c r="D3341">
        <v>4</v>
      </c>
      <c r="E3341">
        <v>525</v>
      </c>
      <c r="F3341">
        <v>4511</v>
      </c>
      <c r="G3341" s="3">
        <f t="shared" si="156"/>
        <v>0</v>
      </c>
      <c r="H3341" s="4">
        <f t="shared" si="157"/>
        <v>0</v>
      </c>
      <c r="I3341" s="1">
        <f t="shared" si="158"/>
        <v>3</v>
      </c>
    </row>
    <row r="3342" spans="1:9" hidden="1" x14ac:dyDescent="0.2">
      <c r="A3342" s="6">
        <v>43990.708333333336</v>
      </c>
      <c r="B3342" s="1" t="s">
        <v>19</v>
      </c>
      <c r="C3342">
        <v>94</v>
      </c>
      <c r="D3342">
        <v>4</v>
      </c>
      <c r="E3342">
        <v>525</v>
      </c>
      <c r="F3342">
        <v>4512</v>
      </c>
      <c r="G3342" s="3">
        <f t="shared" si="156"/>
        <v>1</v>
      </c>
      <c r="H3342" s="4">
        <f t="shared" si="157"/>
        <v>2.2163120567375572E-4</v>
      </c>
      <c r="I3342" s="1">
        <f t="shared" si="158"/>
        <v>0</v>
      </c>
    </row>
    <row r="3343" spans="1:9" hidden="1" x14ac:dyDescent="0.2">
      <c r="A3343" s="6">
        <v>43991.708333333336</v>
      </c>
      <c r="B3343" s="1" t="s">
        <v>19</v>
      </c>
      <c r="C3343">
        <v>76</v>
      </c>
      <c r="D3343">
        <v>5</v>
      </c>
      <c r="E3343">
        <v>526</v>
      </c>
      <c r="F3343">
        <v>4512</v>
      </c>
      <c r="G3343" s="3">
        <f t="shared" si="156"/>
        <v>0</v>
      </c>
      <c r="H3343" s="4">
        <f t="shared" si="157"/>
        <v>0</v>
      </c>
      <c r="I3343" s="1">
        <f t="shared" si="158"/>
        <v>1</v>
      </c>
    </row>
    <row r="3344" spans="1:9" hidden="1" x14ac:dyDescent="0.2">
      <c r="A3344" s="6">
        <v>43992.708333333336</v>
      </c>
      <c r="B3344" s="1" t="s">
        <v>19</v>
      </c>
      <c r="C3344">
        <v>71</v>
      </c>
      <c r="D3344">
        <v>4</v>
      </c>
      <c r="E3344">
        <v>529</v>
      </c>
      <c r="F3344">
        <v>4512</v>
      </c>
      <c r="G3344" s="3">
        <f t="shared" si="156"/>
        <v>0</v>
      </c>
      <c r="H3344" s="4">
        <f t="shared" si="157"/>
        <v>0</v>
      </c>
      <c r="I3344" s="1">
        <f t="shared" si="158"/>
        <v>3</v>
      </c>
    </row>
    <row r="3345" spans="1:9" hidden="1" x14ac:dyDescent="0.2">
      <c r="A3345" s="6">
        <v>43993.708333333336</v>
      </c>
      <c r="B3345" s="1" t="s">
        <v>19</v>
      </c>
      <c r="C3345">
        <v>65</v>
      </c>
      <c r="D3345">
        <v>3</v>
      </c>
      <c r="E3345">
        <v>530</v>
      </c>
      <c r="F3345">
        <v>4513</v>
      </c>
      <c r="G3345" s="3">
        <f t="shared" si="156"/>
        <v>1</v>
      </c>
      <c r="H3345" s="4">
        <f t="shared" si="157"/>
        <v>2.2158209616662816E-4</v>
      </c>
      <c r="I3345" s="1">
        <f t="shared" si="158"/>
        <v>1</v>
      </c>
    </row>
    <row r="3346" spans="1:9" hidden="1" x14ac:dyDescent="0.2">
      <c r="A3346" s="6">
        <v>43994.708333333336</v>
      </c>
      <c r="B3346" s="1" t="s">
        <v>19</v>
      </c>
      <c r="C3346">
        <v>61</v>
      </c>
      <c r="D3346">
        <v>2</v>
      </c>
      <c r="E3346">
        <v>532</v>
      </c>
      <c r="F3346">
        <v>4515</v>
      </c>
      <c r="G3346" s="3">
        <f t="shared" si="156"/>
        <v>2</v>
      </c>
      <c r="H3346" s="4">
        <f t="shared" si="157"/>
        <v>4.4296788482833804E-4</v>
      </c>
      <c r="I3346" s="1">
        <f t="shared" si="158"/>
        <v>2</v>
      </c>
    </row>
    <row r="3347" spans="1:9" hidden="1" x14ac:dyDescent="0.2">
      <c r="A3347" s="6">
        <v>43995.708333333336</v>
      </c>
      <c r="B3347" s="1" t="s">
        <v>19</v>
      </c>
      <c r="C3347">
        <v>60</v>
      </c>
      <c r="D3347">
        <v>2</v>
      </c>
      <c r="E3347">
        <v>532</v>
      </c>
      <c r="F3347">
        <v>4515</v>
      </c>
      <c r="G3347" s="3">
        <f t="shared" si="156"/>
        <v>0</v>
      </c>
      <c r="H3347" s="4">
        <f t="shared" si="157"/>
        <v>0</v>
      </c>
      <c r="I3347" s="1">
        <f t="shared" si="158"/>
        <v>0</v>
      </c>
    </row>
    <row r="3348" spans="1:9" hidden="1" x14ac:dyDescent="0.2">
      <c r="A3348" s="6">
        <v>43996.708333333336</v>
      </c>
      <c r="B3348" s="1" t="s">
        <v>19</v>
      </c>
      <c r="C3348">
        <v>57</v>
      </c>
      <c r="D3348">
        <v>2</v>
      </c>
      <c r="E3348">
        <v>532</v>
      </c>
      <c r="F3348">
        <v>4515</v>
      </c>
      <c r="G3348" s="3">
        <f t="shared" si="156"/>
        <v>0</v>
      </c>
      <c r="H3348" s="4">
        <f t="shared" si="157"/>
        <v>0</v>
      </c>
      <c r="I3348" s="1">
        <f t="shared" si="158"/>
        <v>0</v>
      </c>
    </row>
    <row r="3349" spans="1:9" hidden="1" x14ac:dyDescent="0.2">
      <c r="A3349" s="6">
        <v>43997.708333333336</v>
      </c>
      <c r="B3349" s="1" t="s">
        <v>19</v>
      </c>
      <c r="C3349">
        <v>56</v>
      </c>
      <c r="D3349">
        <v>2</v>
      </c>
      <c r="E3349">
        <v>534</v>
      </c>
      <c r="F3349">
        <v>4516</v>
      </c>
      <c r="G3349" s="3">
        <f t="shared" si="156"/>
        <v>1</v>
      </c>
      <c r="H3349" s="4">
        <f t="shared" si="157"/>
        <v>2.2143489813997164E-4</v>
      </c>
      <c r="I3349" s="1">
        <f t="shared" si="158"/>
        <v>2</v>
      </c>
    </row>
    <row r="3350" spans="1:9" hidden="1" x14ac:dyDescent="0.2">
      <c r="A3350" s="6">
        <v>43998.708333333336</v>
      </c>
      <c r="B3350" s="1" t="s">
        <v>19</v>
      </c>
      <c r="C3350">
        <v>48</v>
      </c>
      <c r="D3350">
        <v>2</v>
      </c>
      <c r="E3350">
        <v>535</v>
      </c>
      <c r="F3350">
        <v>4516</v>
      </c>
      <c r="G3350" s="3">
        <f t="shared" si="156"/>
        <v>0</v>
      </c>
      <c r="H3350" s="4">
        <f t="shared" si="157"/>
        <v>0</v>
      </c>
      <c r="I3350" s="1">
        <f t="shared" si="158"/>
        <v>1</v>
      </c>
    </row>
    <row r="3351" spans="1:9" hidden="1" x14ac:dyDescent="0.2">
      <c r="A3351" s="6">
        <v>43999.708333333336</v>
      </c>
      <c r="B3351" s="1" t="s">
        <v>19</v>
      </c>
      <c r="C3351">
        <v>46</v>
      </c>
      <c r="D3351">
        <v>2</v>
      </c>
      <c r="E3351">
        <v>536</v>
      </c>
      <c r="F3351">
        <v>4516</v>
      </c>
      <c r="G3351" s="3">
        <f t="shared" si="156"/>
        <v>0</v>
      </c>
      <c r="H3351" s="4">
        <f t="shared" si="157"/>
        <v>0</v>
      </c>
      <c r="I3351" s="1">
        <f t="shared" si="158"/>
        <v>1</v>
      </c>
    </row>
    <row r="3352" spans="1:9" hidden="1" x14ac:dyDescent="0.2">
      <c r="A3352" s="6">
        <v>44000.708333333336</v>
      </c>
      <c r="B3352" s="1" t="s">
        <v>19</v>
      </c>
      <c r="C3352">
        <v>34</v>
      </c>
      <c r="D3352">
        <v>1</v>
      </c>
      <c r="E3352">
        <v>538</v>
      </c>
      <c r="F3352">
        <v>4519</v>
      </c>
      <c r="G3352" s="3">
        <f t="shared" si="156"/>
        <v>3</v>
      </c>
      <c r="H3352" s="4">
        <f t="shared" si="157"/>
        <v>6.6386368665638518E-4</v>
      </c>
      <c r="I3352" s="1">
        <f t="shared" si="158"/>
        <v>2</v>
      </c>
    </row>
    <row r="3353" spans="1:9" hidden="1" x14ac:dyDescent="0.2">
      <c r="A3353" s="6">
        <v>44001.708333333336</v>
      </c>
      <c r="B3353" s="1" t="s">
        <v>19</v>
      </c>
      <c r="C3353">
        <v>31</v>
      </c>
      <c r="D3353">
        <v>1</v>
      </c>
      <c r="E3353">
        <v>538</v>
      </c>
      <c r="F3353">
        <v>4520</v>
      </c>
      <c r="G3353" s="3">
        <f t="shared" si="156"/>
        <v>1</v>
      </c>
      <c r="H3353" s="4">
        <f t="shared" si="157"/>
        <v>2.2123893805314765E-4</v>
      </c>
      <c r="I3353" s="1">
        <f t="shared" si="158"/>
        <v>0</v>
      </c>
    </row>
    <row r="3354" spans="1:9" hidden="1" x14ac:dyDescent="0.2">
      <c r="A3354" s="6">
        <v>44002.708333333336</v>
      </c>
      <c r="B3354" s="1" t="s">
        <v>19</v>
      </c>
      <c r="C3354">
        <v>32</v>
      </c>
      <c r="D3354">
        <v>1</v>
      </c>
      <c r="E3354">
        <v>540</v>
      </c>
      <c r="F3354">
        <v>4525</v>
      </c>
      <c r="G3354" s="3">
        <f t="shared" si="156"/>
        <v>5</v>
      </c>
      <c r="H3354" s="4">
        <f t="shared" si="157"/>
        <v>1.1049723756906271E-3</v>
      </c>
      <c r="I3354" s="1">
        <f t="shared" si="158"/>
        <v>2</v>
      </c>
    </row>
    <row r="3355" spans="1:9" hidden="1" x14ac:dyDescent="0.2">
      <c r="A3355" s="6">
        <v>44003.708333333336</v>
      </c>
      <c r="B3355" s="1" t="s">
        <v>19</v>
      </c>
      <c r="C3355">
        <v>32</v>
      </c>
      <c r="D3355">
        <v>1</v>
      </c>
      <c r="E3355">
        <v>540</v>
      </c>
      <c r="F3355">
        <v>4527</v>
      </c>
      <c r="G3355" s="3">
        <f t="shared" si="156"/>
        <v>2</v>
      </c>
      <c r="H3355" s="4">
        <f t="shared" si="157"/>
        <v>4.4179368235031102E-4</v>
      </c>
      <c r="I3355" s="1">
        <f t="shared" si="158"/>
        <v>0</v>
      </c>
    </row>
    <row r="3356" spans="1:9" hidden="1" x14ac:dyDescent="0.2">
      <c r="A3356" s="6">
        <v>44004.708333333336</v>
      </c>
      <c r="B3356" s="1" t="s">
        <v>19</v>
      </c>
      <c r="C3356">
        <v>33</v>
      </c>
      <c r="D3356">
        <v>0</v>
      </c>
      <c r="E3356">
        <v>540</v>
      </c>
      <c r="F3356">
        <v>4527</v>
      </c>
      <c r="G3356" s="3">
        <f t="shared" si="156"/>
        <v>0</v>
      </c>
      <c r="H3356" s="4">
        <f t="shared" si="157"/>
        <v>0</v>
      </c>
      <c r="I3356" s="1">
        <f t="shared" si="158"/>
        <v>0</v>
      </c>
    </row>
    <row r="3357" spans="1:9" hidden="1" x14ac:dyDescent="0.2">
      <c r="A3357" s="6">
        <v>44005.708333333336</v>
      </c>
      <c r="B3357" s="1" t="s">
        <v>19</v>
      </c>
      <c r="C3357">
        <v>32</v>
      </c>
      <c r="D3357">
        <v>0</v>
      </c>
      <c r="E3357">
        <v>542</v>
      </c>
      <c r="F3357">
        <v>4529</v>
      </c>
      <c r="G3357" s="3">
        <f t="shared" si="156"/>
        <v>2</v>
      </c>
      <c r="H3357" s="4">
        <f t="shared" si="157"/>
        <v>4.4159858688452847E-4</v>
      </c>
      <c r="I3357" s="1">
        <f t="shared" si="158"/>
        <v>2</v>
      </c>
    </row>
    <row r="3358" spans="1:9" hidden="1" x14ac:dyDescent="0.2">
      <c r="A3358" s="6">
        <v>44006.708333333336</v>
      </c>
      <c r="B3358" s="1" t="s">
        <v>19</v>
      </c>
      <c r="C3358">
        <v>29</v>
      </c>
      <c r="D3358">
        <v>0</v>
      </c>
      <c r="E3358">
        <v>543</v>
      </c>
      <c r="F3358">
        <v>4529</v>
      </c>
      <c r="G3358" s="3">
        <f t="shared" si="156"/>
        <v>0</v>
      </c>
      <c r="H3358" s="4">
        <f t="shared" si="157"/>
        <v>0</v>
      </c>
      <c r="I3358" s="1">
        <f t="shared" si="158"/>
        <v>1</v>
      </c>
    </row>
    <row r="3359" spans="1:9" hidden="1" x14ac:dyDescent="0.2">
      <c r="A3359" s="6">
        <v>44007.708333333336</v>
      </c>
      <c r="B3359" s="1" t="s">
        <v>19</v>
      </c>
      <c r="C3359">
        <v>27</v>
      </c>
      <c r="D3359">
        <v>0</v>
      </c>
      <c r="E3359">
        <v>543</v>
      </c>
      <c r="F3359">
        <v>4530</v>
      </c>
      <c r="G3359" s="3">
        <f t="shared" si="156"/>
        <v>1</v>
      </c>
      <c r="H3359" s="4">
        <f t="shared" si="157"/>
        <v>2.2075055187642523E-4</v>
      </c>
      <c r="I3359" s="1">
        <f t="shared" si="158"/>
        <v>0</v>
      </c>
    </row>
    <row r="3360" spans="1:9" hidden="1" x14ac:dyDescent="0.2">
      <c r="A3360" s="6">
        <v>44008.708333333336</v>
      </c>
      <c r="B3360" s="1" t="s">
        <v>19</v>
      </c>
      <c r="C3360">
        <v>27</v>
      </c>
      <c r="D3360">
        <v>0</v>
      </c>
      <c r="E3360">
        <v>543</v>
      </c>
      <c r="F3360">
        <v>4531</v>
      </c>
      <c r="G3360" s="3">
        <f t="shared" si="156"/>
        <v>1</v>
      </c>
      <c r="H3360" s="4">
        <f t="shared" si="157"/>
        <v>2.2070183182520964E-4</v>
      </c>
      <c r="I3360" s="1">
        <f t="shared" si="158"/>
        <v>0</v>
      </c>
    </row>
    <row r="3361" spans="1:9" hidden="1" x14ac:dyDescent="0.2">
      <c r="A3361" s="6">
        <v>44009.708333333336</v>
      </c>
      <c r="B3361" s="1" t="s">
        <v>19</v>
      </c>
      <c r="C3361">
        <v>27</v>
      </c>
      <c r="D3361">
        <v>0</v>
      </c>
      <c r="E3361">
        <v>543</v>
      </c>
      <c r="F3361">
        <v>4531</v>
      </c>
      <c r="G3361" s="3">
        <f t="shared" si="156"/>
        <v>0</v>
      </c>
      <c r="H3361" s="4">
        <f t="shared" si="157"/>
        <v>0</v>
      </c>
      <c r="I3361" s="1">
        <f t="shared" si="158"/>
        <v>0</v>
      </c>
    </row>
    <row r="3362" spans="1:9" hidden="1" x14ac:dyDescent="0.2">
      <c r="A3362" s="6">
        <v>44010.708333333336</v>
      </c>
      <c r="B3362" s="1" t="s">
        <v>19</v>
      </c>
      <c r="C3362">
        <v>27</v>
      </c>
      <c r="D3362">
        <v>0</v>
      </c>
      <c r="E3362">
        <v>543</v>
      </c>
      <c r="F3362">
        <v>4531</v>
      </c>
      <c r="G3362" s="3">
        <f t="shared" si="156"/>
        <v>0</v>
      </c>
      <c r="H3362" s="4">
        <f t="shared" si="157"/>
        <v>0</v>
      </c>
      <c r="I3362" s="1">
        <f t="shared" si="158"/>
        <v>0</v>
      </c>
    </row>
    <row r="3363" spans="1:9" hidden="1" x14ac:dyDescent="0.2">
      <c r="A3363" s="6">
        <v>44011.708333333336</v>
      </c>
      <c r="B3363" s="1" t="s">
        <v>19</v>
      </c>
      <c r="C3363">
        <v>28</v>
      </c>
      <c r="D3363">
        <v>0</v>
      </c>
      <c r="E3363">
        <v>543</v>
      </c>
      <c r="F3363">
        <v>4531</v>
      </c>
      <c r="G3363" s="3">
        <f t="shared" si="156"/>
        <v>0</v>
      </c>
      <c r="H3363" s="4">
        <f t="shared" si="157"/>
        <v>0</v>
      </c>
      <c r="I3363" s="1">
        <f t="shared" si="158"/>
        <v>0</v>
      </c>
    </row>
    <row r="3364" spans="1:9" hidden="1" x14ac:dyDescent="0.2">
      <c r="A3364" s="6">
        <v>44012.708333333336</v>
      </c>
      <c r="B3364" s="1" t="s">
        <v>19</v>
      </c>
      <c r="C3364">
        <v>25</v>
      </c>
      <c r="D3364">
        <v>0</v>
      </c>
      <c r="E3364">
        <v>545</v>
      </c>
      <c r="F3364">
        <v>4531</v>
      </c>
      <c r="G3364" s="3">
        <f t="shared" si="156"/>
        <v>0</v>
      </c>
      <c r="H3364" s="4">
        <f t="shared" si="157"/>
        <v>0</v>
      </c>
      <c r="I3364" s="1">
        <f t="shared" si="158"/>
        <v>2</v>
      </c>
    </row>
    <row r="3365" spans="1:9" hidden="1" x14ac:dyDescent="0.2">
      <c r="A3365" s="6">
        <v>44013.708333333336</v>
      </c>
      <c r="B3365" s="1" t="s">
        <v>19</v>
      </c>
      <c r="C3365">
        <v>24</v>
      </c>
      <c r="D3365">
        <v>0</v>
      </c>
      <c r="E3365">
        <v>545</v>
      </c>
      <c r="F3365">
        <v>4530</v>
      </c>
      <c r="G3365" s="3">
        <f t="shared" si="156"/>
        <v>-1</v>
      </c>
      <c r="H3365" s="4">
        <f t="shared" si="157"/>
        <v>-2.207505518763142E-4</v>
      </c>
      <c r="I3365" s="1">
        <f t="shared" si="158"/>
        <v>0</v>
      </c>
    </row>
    <row r="3366" spans="1:9" hidden="1" x14ac:dyDescent="0.2">
      <c r="A3366" s="6">
        <v>44014.708333333336</v>
      </c>
      <c r="B3366" s="1" t="s">
        <v>19</v>
      </c>
      <c r="C3366">
        <v>24</v>
      </c>
      <c r="D3366">
        <v>0</v>
      </c>
      <c r="E3366">
        <v>545</v>
      </c>
      <c r="F3366">
        <v>4530</v>
      </c>
      <c r="G3366" s="3">
        <f t="shared" si="156"/>
        <v>0</v>
      </c>
      <c r="H3366" s="4">
        <f t="shared" si="157"/>
        <v>0</v>
      </c>
      <c r="I3366" s="1">
        <f t="shared" si="158"/>
        <v>0</v>
      </c>
    </row>
    <row r="3367" spans="1:9" hidden="1" x14ac:dyDescent="0.2">
      <c r="A3367" s="6">
        <v>44015.708333333336</v>
      </c>
      <c r="B3367" s="1" t="s">
        <v>19</v>
      </c>
      <c r="C3367">
        <v>21</v>
      </c>
      <c r="D3367">
        <v>0</v>
      </c>
      <c r="E3367">
        <v>545</v>
      </c>
      <c r="F3367">
        <v>4533</v>
      </c>
      <c r="G3367" s="3">
        <f t="shared" si="156"/>
        <v>3</v>
      </c>
      <c r="H3367" s="4">
        <f t="shared" si="157"/>
        <v>6.6181336863002649E-4</v>
      </c>
      <c r="I3367" s="1">
        <f t="shared" si="158"/>
        <v>0</v>
      </c>
    </row>
    <row r="3368" spans="1:9" hidden="1" x14ac:dyDescent="0.2">
      <c r="A3368" s="6">
        <v>44016.708333333336</v>
      </c>
      <c r="B3368" s="1" t="s">
        <v>19</v>
      </c>
      <c r="C3368">
        <v>21</v>
      </c>
      <c r="D3368">
        <v>0</v>
      </c>
      <c r="E3368">
        <v>545</v>
      </c>
      <c r="F3368">
        <v>4536</v>
      </c>
      <c r="G3368" s="3">
        <f t="shared" si="156"/>
        <v>3</v>
      </c>
      <c r="H3368" s="4">
        <f t="shared" si="157"/>
        <v>6.6137566137569603E-4</v>
      </c>
      <c r="I3368" s="1">
        <f t="shared" si="158"/>
        <v>0</v>
      </c>
    </row>
    <row r="3369" spans="1:9" hidden="1" x14ac:dyDescent="0.2">
      <c r="A3369" s="6">
        <v>44017.708333333336</v>
      </c>
      <c r="B3369" s="1" t="s">
        <v>19</v>
      </c>
      <c r="C3369">
        <v>20</v>
      </c>
      <c r="D3369">
        <v>0</v>
      </c>
      <c r="E3369">
        <v>545</v>
      </c>
      <c r="F3369">
        <v>4536</v>
      </c>
      <c r="G3369" s="3">
        <f t="shared" si="156"/>
        <v>0</v>
      </c>
      <c r="H3369" s="4">
        <f t="shared" si="157"/>
        <v>0</v>
      </c>
      <c r="I3369" s="1">
        <f t="shared" si="158"/>
        <v>0</v>
      </c>
    </row>
    <row r="3370" spans="1:9" hidden="1" x14ac:dyDescent="0.2">
      <c r="A3370" s="6">
        <v>44018.708333333336</v>
      </c>
      <c r="B3370" s="1" t="s">
        <v>19</v>
      </c>
      <c r="C3370">
        <v>18</v>
      </c>
      <c r="D3370">
        <v>0</v>
      </c>
      <c r="E3370">
        <v>545</v>
      </c>
      <c r="F3370">
        <v>4536</v>
      </c>
      <c r="G3370" s="3">
        <f t="shared" si="156"/>
        <v>0</v>
      </c>
      <c r="H3370" s="4">
        <f t="shared" si="157"/>
        <v>0</v>
      </c>
      <c r="I3370" s="1">
        <f t="shared" si="158"/>
        <v>0</v>
      </c>
    </row>
    <row r="3371" spans="1:9" hidden="1" x14ac:dyDescent="0.2">
      <c r="A3371" s="6">
        <v>44019.708333333336</v>
      </c>
      <c r="B3371" s="1" t="s">
        <v>19</v>
      </c>
      <c r="C3371">
        <v>12</v>
      </c>
      <c r="D3371">
        <v>0</v>
      </c>
      <c r="E3371">
        <v>546</v>
      </c>
      <c r="F3371">
        <v>4535</v>
      </c>
      <c r="G3371" s="3">
        <f t="shared" si="156"/>
        <v>-1</v>
      </c>
      <c r="H3371" s="4">
        <f t="shared" si="157"/>
        <v>-2.2050716648291946E-4</v>
      </c>
      <c r="I3371" s="1">
        <f t="shared" si="158"/>
        <v>1</v>
      </c>
    </row>
    <row r="3372" spans="1:9" hidden="1" x14ac:dyDescent="0.2">
      <c r="A3372" s="6">
        <v>44020.708333333336</v>
      </c>
      <c r="B3372" s="1" t="s">
        <v>19</v>
      </c>
      <c r="C3372">
        <v>14</v>
      </c>
      <c r="D3372">
        <v>0</v>
      </c>
      <c r="E3372">
        <v>546</v>
      </c>
      <c r="F3372">
        <v>4536</v>
      </c>
      <c r="G3372" s="3">
        <f t="shared" si="156"/>
        <v>1</v>
      </c>
      <c r="H3372" s="4">
        <f t="shared" si="157"/>
        <v>2.2045855379193569E-4</v>
      </c>
      <c r="I3372" s="1">
        <f t="shared" si="158"/>
        <v>0</v>
      </c>
    </row>
    <row r="3373" spans="1:9" hidden="1" x14ac:dyDescent="0.2">
      <c r="A3373" s="6">
        <v>44021.708333333336</v>
      </c>
      <c r="B3373" s="1" t="s">
        <v>19</v>
      </c>
      <c r="C3373">
        <v>14</v>
      </c>
      <c r="D3373">
        <v>0</v>
      </c>
      <c r="E3373">
        <v>546</v>
      </c>
      <c r="F3373">
        <v>4536</v>
      </c>
      <c r="G3373" s="3">
        <f t="shared" si="156"/>
        <v>0</v>
      </c>
      <c r="H3373" s="4">
        <f t="shared" si="157"/>
        <v>0</v>
      </c>
      <c r="I3373" s="1">
        <f t="shared" si="158"/>
        <v>0</v>
      </c>
    </row>
    <row r="3374" spans="1:9" hidden="1" x14ac:dyDescent="0.2">
      <c r="A3374" s="6">
        <v>44022.708333333336</v>
      </c>
      <c r="B3374" s="1" t="s">
        <v>19</v>
      </c>
      <c r="C3374">
        <v>13</v>
      </c>
      <c r="D3374">
        <v>0</v>
      </c>
      <c r="E3374">
        <v>546</v>
      </c>
      <c r="F3374">
        <v>4540</v>
      </c>
      <c r="G3374" s="3">
        <f t="shared" si="156"/>
        <v>4</v>
      </c>
      <c r="H3374" s="4">
        <f t="shared" si="157"/>
        <v>8.810572687224516E-4</v>
      </c>
      <c r="I3374" s="1">
        <f t="shared" si="158"/>
        <v>0</v>
      </c>
    </row>
    <row r="3375" spans="1:9" hidden="1" x14ac:dyDescent="0.2">
      <c r="A3375" s="6">
        <v>44023.708333333336</v>
      </c>
      <c r="B3375" s="1" t="s">
        <v>19</v>
      </c>
      <c r="C3375">
        <v>12</v>
      </c>
      <c r="D3375">
        <v>0</v>
      </c>
      <c r="E3375">
        <v>546</v>
      </c>
      <c r="F3375">
        <v>4541</v>
      </c>
      <c r="G3375" s="3">
        <f t="shared" si="156"/>
        <v>1</v>
      </c>
      <c r="H3375" s="4">
        <f t="shared" si="157"/>
        <v>2.2021581149522795E-4</v>
      </c>
      <c r="I3375" s="1">
        <f t="shared" si="158"/>
        <v>0</v>
      </c>
    </row>
    <row r="3376" spans="1:9" hidden="1" x14ac:dyDescent="0.2">
      <c r="A3376" s="6">
        <v>44024.708333333336</v>
      </c>
      <c r="B3376" s="1" t="s">
        <v>19</v>
      </c>
      <c r="C3376">
        <v>12</v>
      </c>
      <c r="D3376">
        <v>0</v>
      </c>
      <c r="E3376">
        <v>546</v>
      </c>
      <c r="F3376">
        <v>4541</v>
      </c>
      <c r="G3376" s="3">
        <f t="shared" si="156"/>
        <v>0</v>
      </c>
      <c r="H3376" s="4">
        <f t="shared" si="157"/>
        <v>0</v>
      </c>
      <c r="I3376" s="1">
        <f t="shared" si="158"/>
        <v>0</v>
      </c>
    </row>
    <row r="3377" spans="1:9" hidden="1" x14ac:dyDescent="0.2">
      <c r="A3377" s="6">
        <v>44025.708333333336</v>
      </c>
      <c r="B3377" s="1" t="s">
        <v>19</v>
      </c>
      <c r="C3377">
        <v>10</v>
      </c>
      <c r="D3377">
        <v>0</v>
      </c>
      <c r="E3377">
        <v>547</v>
      </c>
      <c r="F3377">
        <v>4541</v>
      </c>
      <c r="G3377" s="3">
        <f t="shared" si="156"/>
        <v>0</v>
      </c>
      <c r="H3377" s="4">
        <f t="shared" si="157"/>
        <v>0</v>
      </c>
      <c r="I3377" s="1">
        <f t="shared" si="158"/>
        <v>1</v>
      </c>
    </row>
    <row r="3378" spans="1:9" hidden="1" x14ac:dyDescent="0.2">
      <c r="A3378" s="6">
        <v>44026.708333333336</v>
      </c>
      <c r="B3378" s="1" t="s">
        <v>19</v>
      </c>
      <c r="C3378">
        <v>10</v>
      </c>
      <c r="D3378">
        <v>0</v>
      </c>
      <c r="E3378">
        <v>547</v>
      </c>
      <c r="F3378">
        <v>4541</v>
      </c>
      <c r="G3378" s="3">
        <f t="shared" si="156"/>
        <v>0</v>
      </c>
      <c r="H3378" s="4">
        <f t="shared" si="157"/>
        <v>0</v>
      </c>
      <c r="I3378" s="1">
        <f t="shared" si="158"/>
        <v>0</v>
      </c>
    </row>
    <row r="3379" spans="1:9" hidden="1" x14ac:dyDescent="0.2">
      <c r="A3379" s="6">
        <v>44027.708333333336</v>
      </c>
      <c r="B3379" s="1" t="s">
        <v>19</v>
      </c>
      <c r="C3379">
        <v>10</v>
      </c>
      <c r="D3379">
        <v>0</v>
      </c>
      <c r="E3379">
        <v>547</v>
      </c>
      <c r="F3379">
        <v>4541</v>
      </c>
      <c r="G3379" s="3">
        <f t="shared" si="156"/>
        <v>0</v>
      </c>
      <c r="H3379" s="4">
        <f t="shared" si="157"/>
        <v>0</v>
      </c>
      <c r="I3379" s="1">
        <f t="shared" si="158"/>
        <v>0</v>
      </c>
    </row>
    <row r="3380" spans="1:9" hidden="1" x14ac:dyDescent="0.2">
      <c r="A3380" s="6">
        <v>44028.708333333336</v>
      </c>
      <c r="B3380" s="1" t="s">
        <v>19</v>
      </c>
      <c r="C3380">
        <v>11</v>
      </c>
      <c r="D3380">
        <v>0</v>
      </c>
      <c r="E3380">
        <v>548</v>
      </c>
      <c r="F3380">
        <v>4542</v>
      </c>
      <c r="G3380" s="3">
        <f t="shared" si="156"/>
        <v>1</v>
      </c>
      <c r="H3380" s="4">
        <f t="shared" si="157"/>
        <v>2.2016732716867438E-4</v>
      </c>
      <c r="I3380" s="1">
        <f t="shared" si="158"/>
        <v>1</v>
      </c>
    </row>
    <row r="3381" spans="1:9" hidden="1" x14ac:dyDescent="0.2">
      <c r="A3381" s="6">
        <v>44029.708333333336</v>
      </c>
      <c r="B3381" s="1" t="s">
        <v>19</v>
      </c>
      <c r="C3381">
        <v>12</v>
      </c>
      <c r="D3381">
        <v>0</v>
      </c>
      <c r="E3381">
        <v>548</v>
      </c>
      <c r="F3381">
        <v>4547</v>
      </c>
      <c r="G3381" s="3">
        <f t="shared" si="156"/>
        <v>5</v>
      </c>
      <c r="H3381" s="4">
        <f t="shared" si="157"/>
        <v>1.0996261271167818E-3</v>
      </c>
      <c r="I3381" s="1">
        <f t="shared" si="158"/>
        <v>0</v>
      </c>
    </row>
    <row r="3382" spans="1:9" hidden="1" x14ac:dyDescent="0.2">
      <c r="A3382" s="6">
        <v>44030.708333333336</v>
      </c>
      <c r="B3382" s="1" t="s">
        <v>19</v>
      </c>
      <c r="C3382">
        <v>14</v>
      </c>
      <c r="D3382">
        <v>0</v>
      </c>
      <c r="E3382">
        <v>548</v>
      </c>
      <c r="F3382">
        <v>4550</v>
      </c>
      <c r="G3382" s="3">
        <f t="shared" si="156"/>
        <v>3</v>
      </c>
      <c r="H3382" s="4">
        <f t="shared" si="157"/>
        <v>6.5934065934070141E-4</v>
      </c>
      <c r="I3382" s="1">
        <f t="shared" si="158"/>
        <v>0</v>
      </c>
    </row>
    <row r="3383" spans="1:9" hidden="1" x14ac:dyDescent="0.2">
      <c r="A3383" s="6">
        <v>44031.708333333336</v>
      </c>
      <c r="B3383" s="1" t="s">
        <v>19</v>
      </c>
      <c r="C3383">
        <v>14</v>
      </c>
      <c r="D3383">
        <v>0</v>
      </c>
      <c r="E3383">
        <v>548</v>
      </c>
      <c r="F3383">
        <v>4557</v>
      </c>
      <c r="G3383" s="3">
        <f t="shared" si="156"/>
        <v>7</v>
      </c>
      <c r="H3383" s="4">
        <f t="shared" si="157"/>
        <v>1.536098310291889E-3</v>
      </c>
      <c r="I3383" s="1">
        <f t="shared" si="158"/>
        <v>0</v>
      </c>
    </row>
    <row r="3384" spans="1:9" hidden="1" x14ac:dyDescent="0.2">
      <c r="A3384" s="6">
        <v>44032.708333333336</v>
      </c>
      <c r="B3384" s="1" t="s">
        <v>19</v>
      </c>
      <c r="C3384">
        <v>14</v>
      </c>
      <c r="D3384">
        <v>0</v>
      </c>
      <c r="E3384">
        <v>548</v>
      </c>
      <c r="F3384">
        <v>4557</v>
      </c>
      <c r="G3384" s="3">
        <f t="shared" si="156"/>
        <v>0</v>
      </c>
      <c r="H3384" s="4">
        <f t="shared" si="157"/>
        <v>0</v>
      </c>
      <c r="I3384" s="1">
        <f t="shared" si="158"/>
        <v>0</v>
      </c>
    </row>
    <row r="3385" spans="1:9" hidden="1" x14ac:dyDescent="0.2">
      <c r="A3385" s="6">
        <v>44033.708333333336</v>
      </c>
      <c r="B3385" s="1" t="s">
        <v>19</v>
      </c>
      <c r="C3385">
        <v>11</v>
      </c>
      <c r="D3385">
        <v>0</v>
      </c>
      <c r="E3385">
        <v>548</v>
      </c>
      <c r="F3385">
        <v>4556</v>
      </c>
      <c r="G3385" s="3">
        <f t="shared" si="156"/>
        <v>-1</v>
      </c>
      <c r="H3385" s="4">
        <f t="shared" si="157"/>
        <v>-2.1949078138727707E-4</v>
      </c>
      <c r="I3385" s="1">
        <f t="shared" si="158"/>
        <v>0</v>
      </c>
    </row>
    <row r="3386" spans="1:9" hidden="1" x14ac:dyDescent="0.2">
      <c r="A3386" s="6">
        <v>44034.708333333336</v>
      </c>
      <c r="B3386" s="1" t="s">
        <v>19</v>
      </c>
      <c r="C3386">
        <v>11</v>
      </c>
      <c r="D3386">
        <v>0</v>
      </c>
      <c r="E3386">
        <v>548</v>
      </c>
      <c r="F3386">
        <v>4556</v>
      </c>
      <c r="G3386" s="3">
        <f t="shared" si="156"/>
        <v>0</v>
      </c>
      <c r="H3386" s="4">
        <f t="shared" si="157"/>
        <v>0</v>
      </c>
      <c r="I3386" s="1">
        <f t="shared" si="158"/>
        <v>0</v>
      </c>
    </row>
    <row r="3387" spans="1:9" hidden="1" x14ac:dyDescent="0.2">
      <c r="A3387" s="6">
        <v>44035.708333333336</v>
      </c>
      <c r="B3387" s="1" t="s">
        <v>19</v>
      </c>
      <c r="C3387">
        <v>11</v>
      </c>
      <c r="D3387">
        <v>0</v>
      </c>
      <c r="E3387">
        <v>548</v>
      </c>
      <c r="F3387">
        <v>4565</v>
      </c>
      <c r="G3387" s="3">
        <f t="shared" si="156"/>
        <v>9</v>
      </c>
      <c r="H3387" s="4">
        <f t="shared" si="157"/>
        <v>1.9715224534501141E-3</v>
      </c>
      <c r="I3387" s="1">
        <f t="shared" si="158"/>
        <v>0</v>
      </c>
    </row>
    <row r="3388" spans="1:9" hidden="1" x14ac:dyDescent="0.2">
      <c r="A3388" s="6">
        <v>44036.708333333336</v>
      </c>
      <c r="B3388" s="1" t="s">
        <v>19</v>
      </c>
      <c r="C3388">
        <v>11</v>
      </c>
      <c r="D3388">
        <v>0</v>
      </c>
      <c r="E3388">
        <v>549</v>
      </c>
      <c r="F3388">
        <v>4578</v>
      </c>
      <c r="G3388" s="3">
        <f t="shared" si="156"/>
        <v>13</v>
      </c>
      <c r="H3388" s="4">
        <f t="shared" si="157"/>
        <v>2.8396679772826339E-3</v>
      </c>
      <c r="I3388" s="1">
        <f t="shared" si="158"/>
        <v>1</v>
      </c>
    </row>
    <row r="3389" spans="1:9" hidden="1" x14ac:dyDescent="0.2">
      <c r="A3389" s="6">
        <v>44037.708333333336</v>
      </c>
      <c r="B3389" s="1" t="s">
        <v>19</v>
      </c>
      <c r="C3389">
        <v>16</v>
      </c>
      <c r="D3389">
        <v>0</v>
      </c>
      <c r="E3389">
        <v>549</v>
      </c>
      <c r="F3389">
        <v>4586</v>
      </c>
      <c r="G3389" s="3">
        <f t="shared" si="156"/>
        <v>8</v>
      </c>
      <c r="H3389" s="4">
        <f t="shared" si="157"/>
        <v>1.7444395987789019E-3</v>
      </c>
      <c r="I3389" s="1">
        <f t="shared" si="158"/>
        <v>0</v>
      </c>
    </row>
    <row r="3390" spans="1:9" hidden="1" x14ac:dyDescent="0.2">
      <c r="A3390" s="6">
        <v>44038.708333333336</v>
      </c>
      <c r="B3390" s="1" t="s">
        <v>19</v>
      </c>
      <c r="C3390">
        <v>15</v>
      </c>
      <c r="D3390">
        <v>0</v>
      </c>
      <c r="E3390">
        <v>550</v>
      </c>
      <c r="F3390">
        <v>4589</v>
      </c>
      <c r="G3390" s="3">
        <f t="shared" si="156"/>
        <v>3</v>
      </c>
      <c r="H3390" s="4">
        <f t="shared" si="157"/>
        <v>6.5373719764649785E-4</v>
      </c>
      <c r="I3390" s="1">
        <f t="shared" si="158"/>
        <v>1</v>
      </c>
    </row>
    <row r="3391" spans="1:9" hidden="1" x14ac:dyDescent="0.2">
      <c r="A3391" s="6">
        <v>44039.708333333336</v>
      </c>
      <c r="B3391" s="1" t="s">
        <v>19</v>
      </c>
      <c r="C3391">
        <v>15</v>
      </c>
      <c r="D3391">
        <v>0</v>
      </c>
      <c r="E3391">
        <v>551</v>
      </c>
      <c r="F3391">
        <v>4592</v>
      </c>
      <c r="G3391" s="3">
        <f t="shared" si="156"/>
        <v>3</v>
      </c>
      <c r="H3391" s="4">
        <f t="shared" si="157"/>
        <v>6.5331010452962524E-4</v>
      </c>
      <c r="I3391" s="1">
        <f t="shared" si="158"/>
        <v>1</v>
      </c>
    </row>
    <row r="3392" spans="1:9" hidden="1" x14ac:dyDescent="0.2">
      <c r="A3392" s="6">
        <v>44040.708333333336</v>
      </c>
      <c r="B3392" s="1" t="s">
        <v>19</v>
      </c>
      <c r="C3392">
        <v>15</v>
      </c>
      <c r="D3392">
        <v>0</v>
      </c>
      <c r="E3392">
        <v>551</v>
      </c>
      <c r="F3392">
        <v>4596</v>
      </c>
      <c r="G3392" s="3">
        <f t="shared" si="156"/>
        <v>4</v>
      </c>
      <c r="H3392" s="4">
        <f t="shared" si="157"/>
        <v>8.7032201914705176E-4</v>
      </c>
      <c r="I3392" s="1">
        <f t="shared" si="158"/>
        <v>0</v>
      </c>
    </row>
    <row r="3393" spans="1:9" hidden="1" x14ac:dyDescent="0.2">
      <c r="A3393" s="6">
        <v>44041.708333333336</v>
      </c>
      <c r="B3393" s="1" t="s">
        <v>19</v>
      </c>
      <c r="C3393">
        <v>17</v>
      </c>
      <c r="D3393">
        <v>0</v>
      </c>
      <c r="E3393">
        <v>551</v>
      </c>
      <c r="F3393">
        <v>4606</v>
      </c>
      <c r="G3393" s="3">
        <f t="shared" si="156"/>
        <v>10</v>
      </c>
      <c r="H3393" s="4">
        <f t="shared" si="157"/>
        <v>2.1710811984367862E-3</v>
      </c>
      <c r="I3393" s="1">
        <f t="shared" si="158"/>
        <v>0</v>
      </c>
    </row>
    <row r="3394" spans="1:9" hidden="1" x14ac:dyDescent="0.2">
      <c r="A3394" s="6">
        <v>44042.708333333336</v>
      </c>
      <c r="B3394" s="1" t="s">
        <v>19</v>
      </c>
      <c r="C3394">
        <v>17</v>
      </c>
      <c r="D3394">
        <v>0</v>
      </c>
      <c r="E3394">
        <v>551</v>
      </c>
      <c r="F3394">
        <v>4609</v>
      </c>
      <c r="G3394" s="3">
        <f t="shared" si="156"/>
        <v>3</v>
      </c>
      <c r="H3394" s="4">
        <f t="shared" si="157"/>
        <v>6.5090041223692108E-4</v>
      </c>
      <c r="I3394" s="1">
        <f t="shared" si="158"/>
        <v>0</v>
      </c>
    </row>
    <row r="3395" spans="1:9" hidden="1" x14ac:dyDescent="0.2">
      <c r="A3395" s="6">
        <v>44043.708333333336</v>
      </c>
      <c r="B3395" s="1" t="s">
        <v>19</v>
      </c>
      <c r="C3395">
        <v>18</v>
      </c>
      <c r="D3395">
        <v>0</v>
      </c>
      <c r="E3395">
        <v>552</v>
      </c>
      <c r="F3395">
        <v>4611</v>
      </c>
      <c r="G3395" s="3">
        <f t="shared" ref="G3395:G3458" si="159">IF(AND(F3395&gt;0,AND(B3395=B3394,F3395&gt;0)),F3395-F3394,0)</f>
        <v>2</v>
      </c>
      <c r="H3395" s="4">
        <f t="shared" ref="H3395:H3458" si="160">IF(AND(F3394&gt;0,AND(B3395=B3394,F3394&gt;0)),1-(F3394/F3395),0)</f>
        <v>4.3374539145524249E-4</v>
      </c>
      <c r="I3395" s="1">
        <f t="shared" ref="I3395:I3458" si="161">IF(AND(E3395&gt;0,AND(B3395=B3394,E3395&gt;0)),E3395-E3394,0)</f>
        <v>1</v>
      </c>
    </row>
    <row r="3396" spans="1:9" hidden="1" x14ac:dyDescent="0.2">
      <c r="A3396" s="6">
        <v>44044.708333333336</v>
      </c>
      <c r="B3396" s="1" t="s">
        <v>19</v>
      </c>
      <c r="C3396">
        <v>19</v>
      </c>
      <c r="D3396">
        <v>0</v>
      </c>
      <c r="E3396">
        <v>552</v>
      </c>
      <c r="F3396">
        <v>4631</v>
      </c>
      <c r="G3396" s="3">
        <f t="shared" si="159"/>
        <v>20</v>
      </c>
      <c r="H3396" s="4">
        <f t="shared" si="160"/>
        <v>4.3187216583890908E-3</v>
      </c>
      <c r="I3396" s="1">
        <f t="shared" si="161"/>
        <v>0</v>
      </c>
    </row>
    <row r="3397" spans="1:9" hidden="1" x14ac:dyDescent="0.2">
      <c r="A3397" s="6">
        <v>44045.708333333336</v>
      </c>
      <c r="B3397" s="1" t="s">
        <v>19</v>
      </c>
      <c r="C3397">
        <v>20</v>
      </c>
      <c r="D3397">
        <v>0</v>
      </c>
      <c r="E3397">
        <v>552</v>
      </c>
      <c r="F3397">
        <v>4639</v>
      </c>
      <c r="G3397" s="3">
        <f t="shared" si="159"/>
        <v>8</v>
      </c>
      <c r="H3397" s="4">
        <f t="shared" si="160"/>
        <v>1.7245095925846332E-3</v>
      </c>
      <c r="I3397" s="1">
        <f t="shared" si="161"/>
        <v>0</v>
      </c>
    </row>
    <row r="3398" spans="1:9" hidden="1" x14ac:dyDescent="0.2">
      <c r="A3398" s="6">
        <v>44046.708333333336</v>
      </c>
      <c r="B3398" s="1" t="s">
        <v>19</v>
      </c>
      <c r="C3398">
        <v>23</v>
      </c>
      <c r="D3398">
        <v>0</v>
      </c>
      <c r="E3398">
        <v>553</v>
      </c>
      <c r="F3398">
        <v>4648</v>
      </c>
      <c r="G3398" s="3">
        <f t="shared" si="159"/>
        <v>9</v>
      </c>
      <c r="H3398" s="4">
        <f t="shared" si="160"/>
        <v>1.9363166953528799E-3</v>
      </c>
      <c r="I3398" s="1">
        <f t="shared" si="161"/>
        <v>1</v>
      </c>
    </row>
    <row r="3399" spans="1:9" hidden="1" x14ac:dyDescent="0.2">
      <c r="A3399" s="6">
        <v>44047.708333333336</v>
      </c>
      <c r="B3399" s="1" t="s">
        <v>19</v>
      </c>
      <c r="C3399">
        <v>22</v>
      </c>
      <c r="D3399">
        <v>0</v>
      </c>
      <c r="E3399">
        <v>553</v>
      </c>
      <c r="F3399">
        <v>4655</v>
      </c>
      <c r="G3399" s="3">
        <f t="shared" si="159"/>
        <v>7</v>
      </c>
      <c r="H3399" s="4">
        <f t="shared" si="160"/>
        <v>1.5037593984962294E-3</v>
      </c>
      <c r="I3399" s="1">
        <f t="shared" si="161"/>
        <v>0</v>
      </c>
    </row>
    <row r="3400" spans="1:9" hidden="1" x14ac:dyDescent="0.2">
      <c r="A3400" s="6">
        <v>44048.708333333336</v>
      </c>
      <c r="B3400" s="1" t="s">
        <v>19</v>
      </c>
      <c r="C3400">
        <v>24</v>
      </c>
      <c r="D3400">
        <v>0</v>
      </c>
      <c r="E3400">
        <v>553</v>
      </c>
      <c r="F3400">
        <v>4678</v>
      </c>
      <c r="G3400" s="3">
        <f t="shared" si="159"/>
        <v>23</v>
      </c>
      <c r="H3400" s="4">
        <f t="shared" si="160"/>
        <v>4.9166310389054946E-3</v>
      </c>
      <c r="I3400" s="1">
        <f t="shared" si="161"/>
        <v>0</v>
      </c>
    </row>
    <row r="3401" spans="1:9" hidden="1" x14ac:dyDescent="0.2">
      <c r="A3401" s="6">
        <v>44049.708333333336</v>
      </c>
      <c r="B3401" s="1" t="s">
        <v>19</v>
      </c>
      <c r="C3401">
        <v>24</v>
      </c>
      <c r="D3401">
        <v>0</v>
      </c>
      <c r="E3401">
        <v>553</v>
      </c>
      <c r="F3401">
        <v>4685</v>
      </c>
      <c r="G3401" s="3">
        <f t="shared" si="159"/>
        <v>7</v>
      </c>
      <c r="H3401" s="4">
        <f t="shared" si="160"/>
        <v>1.4941302027747794E-3</v>
      </c>
      <c r="I3401" s="1">
        <f t="shared" si="161"/>
        <v>0</v>
      </c>
    </row>
    <row r="3402" spans="1:9" hidden="1" x14ac:dyDescent="0.2">
      <c r="A3402" s="6">
        <v>44050.708333333336</v>
      </c>
      <c r="B3402" s="1" t="s">
        <v>19</v>
      </c>
      <c r="C3402">
        <v>26</v>
      </c>
      <c r="D3402">
        <v>0</v>
      </c>
      <c r="E3402">
        <v>553</v>
      </c>
      <c r="F3402">
        <v>4696</v>
      </c>
      <c r="G3402" s="3">
        <f t="shared" si="159"/>
        <v>11</v>
      </c>
      <c r="H3402" s="4">
        <f t="shared" si="160"/>
        <v>2.3424190800681588E-3</v>
      </c>
      <c r="I3402" s="1">
        <f t="shared" si="161"/>
        <v>0</v>
      </c>
    </row>
    <row r="3403" spans="1:9" hidden="1" x14ac:dyDescent="0.2">
      <c r="A3403" s="6">
        <v>44051.708333333336</v>
      </c>
      <c r="B3403" s="1" t="s">
        <v>19</v>
      </c>
      <c r="C3403">
        <v>27</v>
      </c>
      <c r="D3403">
        <v>0</v>
      </c>
      <c r="E3403">
        <v>554</v>
      </c>
      <c r="F3403">
        <v>4705</v>
      </c>
      <c r="G3403" s="3">
        <f t="shared" si="159"/>
        <v>9</v>
      </c>
      <c r="H3403" s="4">
        <f t="shared" si="160"/>
        <v>1.912858660998884E-3</v>
      </c>
      <c r="I3403" s="1">
        <f t="shared" si="161"/>
        <v>1</v>
      </c>
    </row>
    <row r="3404" spans="1:9" hidden="1" x14ac:dyDescent="0.2">
      <c r="A3404" s="6">
        <v>44052.708333333336</v>
      </c>
      <c r="B3404" s="1" t="s">
        <v>19</v>
      </c>
      <c r="C3404">
        <v>31</v>
      </c>
      <c r="D3404">
        <v>0</v>
      </c>
      <c r="E3404">
        <v>554</v>
      </c>
      <c r="F3404">
        <v>4714</v>
      </c>
      <c r="G3404" s="3">
        <f t="shared" si="159"/>
        <v>9</v>
      </c>
      <c r="H3404" s="4">
        <f t="shared" si="160"/>
        <v>1.9092066185829593E-3</v>
      </c>
      <c r="I3404" s="1">
        <f t="shared" si="161"/>
        <v>0</v>
      </c>
    </row>
    <row r="3405" spans="1:9" hidden="1" x14ac:dyDescent="0.2">
      <c r="A3405" s="6">
        <v>44053.708333333336</v>
      </c>
      <c r="B3405" s="1" t="s">
        <v>19</v>
      </c>
      <c r="C3405">
        <v>36</v>
      </c>
      <c r="D3405">
        <v>1</v>
      </c>
      <c r="E3405">
        <v>554</v>
      </c>
      <c r="F3405">
        <v>4740</v>
      </c>
      <c r="G3405" s="3">
        <f t="shared" si="159"/>
        <v>26</v>
      </c>
      <c r="H3405" s="4">
        <f t="shared" si="160"/>
        <v>5.4852320675105037E-3</v>
      </c>
      <c r="I3405" s="1">
        <f t="shared" si="161"/>
        <v>0</v>
      </c>
    </row>
    <row r="3406" spans="1:9" hidden="1" x14ac:dyDescent="0.2">
      <c r="A3406" s="6">
        <v>44054.708333333336</v>
      </c>
      <c r="B3406" s="1" t="s">
        <v>19</v>
      </c>
      <c r="C3406">
        <v>38</v>
      </c>
      <c r="D3406">
        <v>1</v>
      </c>
      <c r="E3406">
        <v>554</v>
      </c>
      <c r="F3406">
        <v>4760</v>
      </c>
      <c r="G3406" s="3">
        <f t="shared" si="159"/>
        <v>20</v>
      </c>
      <c r="H3406" s="4">
        <f t="shared" si="160"/>
        <v>4.2016806722688926E-3</v>
      </c>
      <c r="I3406" s="1">
        <f t="shared" si="161"/>
        <v>0</v>
      </c>
    </row>
    <row r="3407" spans="1:9" hidden="1" x14ac:dyDescent="0.2">
      <c r="A3407" s="6">
        <v>44055.708333333336</v>
      </c>
      <c r="B3407" s="1" t="s">
        <v>19</v>
      </c>
      <c r="C3407">
        <v>43</v>
      </c>
      <c r="D3407">
        <v>2</v>
      </c>
      <c r="E3407">
        <v>554</v>
      </c>
      <c r="F3407">
        <v>4793</v>
      </c>
      <c r="G3407" s="3">
        <f t="shared" si="159"/>
        <v>33</v>
      </c>
      <c r="H3407" s="4">
        <f t="shared" si="160"/>
        <v>6.8850406843312673E-3</v>
      </c>
      <c r="I3407" s="1">
        <f t="shared" si="161"/>
        <v>0</v>
      </c>
    </row>
    <row r="3408" spans="1:9" hidden="1" x14ac:dyDescent="0.2">
      <c r="A3408" s="6">
        <v>44056.708333333336</v>
      </c>
      <c r="B3408" s="1" t="s">
        <v>19</v>
      </c>
      <c r="C3408">
        <v>46</v>
      </c>
      <c r="D3408">
        <v>2</v>
      </c>
      <c r="E3408">
        <v>554</v>
      </c>
      <c r="F3408">
        <v>4809</v>
      </c>
      <c r="G3408" s="3">
        <f t="shared" si="159"/>
        <v>16</v>
      </c>
      <c r="H3408" s="4">
        <f t="shared" si="160"/>
        <v>3.3270950301518276E-3</v>
      </c>
      <c r="I3408" s="1">
        <f t="shared" si="161"/>
        <v>0</v>
      </c>
    </row>
    <row r="3409" spans="1:9" hidden="1" x14ac:dyDescent="0.2">
      <c r="A3409" s="6">
        <v>44057.708333333336</v>
      </c>
      <c r="B3409" s="1" t="s">
        <v>19</v>
      </c>
      <c r="C3409">
        <v>45</v>
      </c>
      <c r="D3409">
        <v>1</v>
      </c>
      <c r="E3409">
        <v>554</v>
      </c>
      <c r="F3409">
        <v>4821</v>
      </c>
      <c r="G3409" s="3">
        <f t="shared" si="159"/>
        <v>12</v>
      </c>
      <c r="H3409" s="4">
        <f t="shared" si="160"/>
        <v>2.4891101431238072E-3</v>
      </c>
      <c r="I3409" s="1">
        <f t="shared" si="161"/>
        <v>0</v>
      </c>
    </row>
    <row r="3410" spans="1:9" hidden="1" x14ac:dyDescent="0.2">
      <c r="A3410" s="6">
        <v>44058.708333333336</v>
      </c>
      <c r="B3410" s="1" t="s">
        <v>19</v>
      </c>
      <c r="C3410">
        <v>46</v>
      </c>
      <c r="D3410">
        <v>1</v>
      </c>
      <c r="E3410">
        <v>554</v>
      </c>
      <c r="F3410">
        <v>4843</v>
      </c>
      <c r="G3410" s="3">
        <f t="shared" si="159"/>
        <v>22</v>
      </c>
      <c r="H3410" s="4">
        <f t="shared" si="160"/>
        <v>4.5426388602106682E-3</v>
      </c>
      <c r="I3410" s="1">
        <f t="shared" si="161"/>
        <v>0</v>
      </c>
    </row>
    <row r="3411" spans="1:9" hidden="1" x14ac:dyDescent="0.2">
      <c r="A3411" s="6">
        <v>44059.708333333336</v>
      </c>
      <c r="B3411" s="1" t="s">
        <v>19</v>
      </c>
      <c r="C3411">
        <v>47</v>
      </c>
      <c r="D3411">
        <v>1</v>
      </c>
      <c r="E3411">
        <v>554</v>
      </c>
      <c r="F3411">
        <v>4858</v>
      </c>
      <c r="G3411" s="3">
        <f t="shared" si="159"/>
        <v>15</v>
      </c>
      <c r="H3411" s="4">
        <f t="shared" si="160"/>
        <v>3.0876904075751721E-3</v>
      </c>
      <c r="I3411" s="1">
        <f t="shared" si="161"/>
        <v>0</v>
      </c>
    </row>
    <row r="3412" spans="1:9" hidden="1" x14ac:dyDescent="0.2">
      <c r="A3412" s="6">
        <v>44060.708333333336</v>
      </c>
      <c r="B3412" s="1" t="s">
        <v>19</v>
      </c>
      <c r="C3412">
        <v>49</v>
      </c>
      <c r="D3412">
        <v>2</v>
      </c>
      <c r="E3412">
        <v>555</v>
      </c>
      <c r="F3412">
        <v>4862</v>
      </c>
      <c r="G3412" s="3">
        <f t="shared" si="159"/>
        <v>4</v>
      </c>
      <c r="H3412" s="4">
        <f t="shared" si="160"/>
        <v>8.2270670505968369E-4</v>
      </c>
      <c r="I3412" s="1">
        <f t="shared" si="161"/>
        <v>1</v>
      </c>
    </row>
    <row r="3413" spans="1:9" hidden="1" x14ac:dyDescent="0.2">
      <c r="A3413" s="6">
        <v>44061.708333333336</v>
      </c>
      <c r="B3413" s="1" t="s">
        <v>19</v>
      </c>
      <c r="C3413">
        <v>53</v>
      </c>
      <c r="D3413">
        <v>3</v>
      </c>
      <c r="E3413">
        <v>555</v>
      </c>
      <c r="F3413">
        <v>4882</v>
      </c>
      <c r="G3413" s="3">
        <f t="shared" si="159"/>
        <v>20</v>
      </c>
      <c r="H3413" s="4">
        <f t="shared" si="160"/>
        <v>4.0966816878328371E-3</v>
      </c>
      <c r="I3413" s="1">
        <f t="shared" si="161"/>
        <v>0</v>
      </c>
    </row>
    <row r="3414" spans="1:9" hidden="1" x14ac:dyDescent="0.2">
      <c r="A3414" s="6">
        <v>44062.708333333336</v>
      </c>
      <c r="B3414" s="1" t="s">
        <v>19</v>
      </c>
      <c r="C3414">
        <v>52</v>
      </c>
      <c r="D3414">
        <v>3</v>
      </c>
      <c r="E3414">
        <v>555</v>
      </c>
      <c r="F3414">
        <v>4915</v>
      </c>
      <c r="G3414" s="3">
        <f t="shared" si="159"/>
        <v>33</v>
      </c>
      <c r="H3414" s="4">
        <f t="shared" si="160"/>
        <v>6.7141403865716986E-3</v>
      </c>
      <c r="I3414" s="1">
        <f t="shared" si="161"/>
        <v>0</v>
      </c>
    </row>
    <row r="3415" spans="1:9" hidden="1" x14ac:dyDescent="0.2">
      <c r="A3415" s="6">
        <v>44063.708333333336</v>
      </c>
      <c r="B3415" s="1" t="s">
        <v>19</v>
      </c>
      <c r="C3415">
        <v>58</v>
      </c>
      <c r="D3415">
        <v>3</v>
      </c>
      <c r="E3415">
        <v>555</v>
      </c>
      <c r="F3415">
        <v>4935</v>
      </c>
      <c r="G3415" s="3">
        <f t="shared" si="159"/>
        <v>20</v>
      </c>
      <c r="H3415" s="4">
        <f t="shared" si="160"/>
        <v>4.0526849037487711E-3</v>
      </c>
      <c r="I3415" s="1">
        <f t="shared" si="161"/>
        <v>0</v>
      </c>
    </row>
    <row r="3416" spans="1:9" hidden="1" x14ac:dyDescent="0.2">
      <c r="A3416" s="6">
        <v>44064.708333333336</v>
      </c>
      <c r="B3416" s="1" t="s">
        <v>19</v>
      </c>
      <c r="C3416">
        <v>61</v>
      </c>
      <c r="D3416">
        <v>4</v>
      </c>
      <c r="E3416">
        <v>555</v>
      </c>
      <c r="F3416">
        <v>4970</v>
      </c>
      <c r="G3416" s="3">
        <f t="shared" si="159"/>
        <v>35</v>
      </c>
      <c r="H3416" s="4">
        <f t="shared" si="160"/>
        <v>7.0422535211267512E-3</v>
      </c>
      <c r="I3416" s="1">
        <f t="shared" si="161"/>
        <v>0</v>
      </c>
    </row>
    <row r="3417" spans="1:9" hidden="1" x14ac:dyDescent="0.2">
      <c r="A3417" s="6">
        <v>44065.708333333336</v>
      </c>
      <c r="B3417" s="1" t="s">
        <v>19</v>
      </c>
      <c r="C3417">
        <v>62</v>
      </c>
      <c r="D3417">
        <v>4</v>
      </c>
      <c r="E3417">
        <v>555</v>
      </c>
      <c r="F3417">
        <v>4992</v>
      </c>
      <c r="G3417" s="3">
        <f t="shared" si="159"/>
        <v>22</v>
      </c>
      <c r="H3417" s="4">
        <f t="shared" si="160"/>
        <v>4.4070512820513219E-3</v>
      </c>
      <c r="I3417" s="1">
        <f t="shared" si="161"/>
        <v>0</v>
      </c>
    </row>
    <row r="3418" spans="1:9" hidden="1" x14ac:dyDescent="0.2">
      <c r="A3418" s="6">
        <v>44066.708333333336</v>
      </c>
      <c r="B3418" s="1" t="s">
        <v>19</v>
      </c>
      <c r="C3418">
        <v>68</v>
      </c>
      <c r="D3418">
        <v>4</v>
      </c>
      <c r="E3418">
        <v>555</v>
      </c>
      <c r="F3418">
        <v>5025</v>
      </c>
      <c r="G3418" s="3">
        <f t="shared" si="159"/>
        <v>33</v>
      </c>
      <c r="H3418" s="4">
        <f t="shared" si="160"/>
        <v>6.5671641791045232E-3</v>
      </c>
      <c r="I3418" s="1">
        <f t="shared" si="161"/>
        <v>0</v>
      </c>
    </row>
    <row r="3419" spans="1:9" hidden="1" x14ac:dyDescent="0.2">
      <c r="A3419" s="6">
        <v>44067.708333333336</v>
      </c>
      <c r="B3419" s="1" t="s">
        <v>19</v>
      </c>
      <c r="C3419">
        <v>81</v>
      </c>
      <c r="D3419">
        <v>4</v>
      </c>
      <c r="E3419">
        <v>555</v>
      </c>
      <c r="F3419">
        <v>5070</v>
      </c>
      <c r="G3419" s="3">
        <f t="shared" si="159"/>
        <v>45</v>
      </c>
      <c r="H3419" s="4">
        <f t="shared" si="160"/>
        <v>8.8757396449704595E-3</v>
      </c>
      <c r="I3419" s="1">
        <f t="shared" si="161"/>
        <v>0</v>
      </c>
    </row>
    <row r="3420" spans="1:9" hidden="1" x14ac:dyDescent="0.2">
      <c r="A3420" s="6">
        <v>44068.708333333336</v>
      </c>
      <c r="B3420" s="1" t="s">
        <v>19</v>
      </c>
      <c r="C3420">
        <v>88</v>
      </c>
      <c r="D3420">
        <v>4</v>
      </c>
      <c r="E3420">
        <v>555</v>
      </c>
      <c r="F3420">
        <v>5119</v>
      </c>
      <c r="G3420" s="3">
        <f t="shared" si="159"/>
        <v>49</v>
      </c>
      <c r="H3420" s="4">
        <f t="shared" si="160"/>
        <v>9.5721820668098756E-3</v>
      </c>
      <c r="I3420" s="1">
        <f t="shared" si="161"/>
        <v>0</v>
      </c>
    </row>
    <row r="3421" spans="1:9" hidden="1" x14ac:dyDescent="0.2">
      <c r="A3421" s="6">
        <v>44069.708333333336</v>
      </c>
      <c r="B3421" s="1" t="s">
        <v>19</v>
      </c>
      <c r="C3421">
        <v>94</v>
      </c>
      <c r="D3421">
        <v>4</v>
      </c>
      <c r="E3421">
        <v>555</v>
      </c>
      <c r="F3421">
        <v>5170</v>
      </c>
      <c r="G3421" s="3">
        <f t="shared" si="159"/>
        <v>51</v>
      </c>
      <c r="H3421" s="4">
        <f t="shared" si="160"/>
        <v>9.8646034816247674E-3</v>
      </c>
      <c r="I3421" s="1">
        <f t="shared" si="161"/>
        <v>0</v>
      </c>
    </row>
    <row r="3422" spans="1:9" hidden="1" x14ac:dyDescent="0.2">
      <c r="A3422" s="6">
        <v>44070.708333333336</v>
      </c>
      <c r="B3422" s="1" t="s">
        <v>19</v>
      </c>
      <c r="C3422">
        <v>97</v>
      </c>
      <c r="D3422">
        <v>3</v>
      </c>
      <c r="E3422">
        <v>556</v>
      </c>
      <c r="F3422">
        <v>5217</v>
      </c>
      <c r="G3422" s="3">
        <f t="shared" si="159"/>
        <v>47</v>
      </c>
      <c r="H3422" s="4">
        <f t="shared" si="160"/>
        <v>9.009009009009028E-3</v>
      </c>
      <c r="I3422" s="1">
        <f t="shared" si="161"/>
        <v>1</v>
      </c>
    </row>
    <row r="3423" spans="1:9" hidden="1" x14ac:dyDescent="0.2">
      <c r="A3423" s="6">
        <v>44071.708333333336</v>
      </c>
      <c r="B3423" s="1" t="s">
        <v>19</v>
      </c>
      <c r="C3423">
        <v>104</v>
      </c>
      <c r="D3423">
        <v>5</v>
      </c>
      <c r="E3423">
        <v>556</v>
      </c>
      <c r="F3423">
        <v>5268</v>
      </c>
      <c r="G3423" s="3">
        <f t="shared" si="159"/>
        <v>51</v>
      </c>
      <c r="H3423" s="4">
        <f t="shared" si="160"/>
        <v>9.6810933940774113E-3</v>
      </c>
      <c r="I3423" s="1">
        <f t="shared" si="161"/>
        <v>0</v>
      </c>
    </row>
    <row r="3424" spans="1:9" hidden="1" x14ac:dyDescent="0.2">
      <c r="A3424" s="6">
        <v>44072.708333333336</v>
      </c>
      <c r="B3424" s="1" t="s">
        <v>19</v>
      </c>
      <c r="C3424">
        <v>112</v>
      </c>
      <c r="D3424">
        <v>5</v>
      </c>
      <c r="E3424">
        <v>556</v>
      </c>
      <c r="F3424">
        <v>5333</v>
      </c>
      <c r="G3424" s="3">
        <f t="shared" si="159"/>
        <v>65</v>
      </c>
      <c r="H3424" s="4">
        <f t="shared" si="160"/>
        <v>1.2188261766360342E-2</v>
      </c>
      <c r="I3424" s="1">
        <f t="shared" si="161"/>
        <v>0</v>
      </c>
    </row>
    <row r="3425" spans="1:9" hidden="1" x14ac:dyDescent="0.2">
      <c r="A3425" s="6">
        <v>44073.708333333336</v>
      </c>
      <c r="B3425" s="1" t="s">
        <v>19</v>
      </c>
      <c r="C3425">
        <v>117</v>
      </c>
      <c r="D3425">
        <v>5</v>
      </c>
      <c r="E3425">
        <v>556</v>
      </c>
      <c r="F3425">
        <v>5402</v>
      </c>
      <c r="G3425" s="3">
        <f t="shared" si="159"/>
        <v>69</v>
      </c>
      <c r="H3425" s="4">
        <f t="shared" si="160"/>
        <v>1.2773047019622341E-2</v>
      </c>
      <c r="I3425" s="1">
        <f t="shared" si="161"/>
        <v>0</v>
      </c>
    </row>
    <row r="3426" spans="1:9" hidden="1" x14ac:dyDescent="0.2">
      <c r="A3426" s="6">
        <v>44074.708333333336</v>
      </c>
      <c r="B3426" s="1" t="s">
        <v>19</v>
      </c>
      <c r="C3426">
        <v>116</v>
      </c>
      <c r="D3426">
        <v>7</v>
      </c>
      <c r="E3426">
        <v>556</v>
      </c>
      <c r="F3426">
        <v>5440</v>
      </c>
      <c r="G3426" s="3">
        <f t="shared" si="159"/>
        <v>38</v>
      </c>
      <c r="H3426" s="4">
        <f t="shared" si="160"/>
        <v>6.985294117647034E-3</v>
      </c>
      <c r="I3426" s="1">
        <f t="shared" si="161"/>
        <v>0</v>
      </c>
    </row>
    <row r="3427" spans="1:9" hidden="1" x14ac:dyDescent="0.2">
      <c r="A3427" s="6">
        <v>44075.708333333336</v>
      </c>
      <c r="B3427" s="1" t="s">
        <v>19</v>
      </c>
      <c r="C3427">
        <v>123</v>
      </c>
      <c r="D3427">
        <v>7</v>
      </c>
      <c r="E3427">
        <v>557</v>
      </c>
      <c r="F3427">
        <v>5479</v>
      </c>
      <c r="G3427" s="3">
        <f t="shared" si="159"/>
        <v>39</v>
      </c>
      <c r="H3427" s="4">
        <f t="shared" si="160"/>
        <v>7.118087242197535E-3</v>
      </c>
      <c r="I3427" s="1">
        <f t="shared" si="161"/>
        <v>1</v>
      </c>
    </row>
    <row r="3428" spans="1:9" hidden="1" x14ac:dyDescent="0.2">
      <c r="A3428" s="6">
        <v>44076.708333333336</v>
      </c>
      <c r="B3428" s="1" t="s">
        <v>19</v>
      </c>
      <c r="C3428">
        <v>140</v>
      </c>
      <c r="D3428">
        <v>6</v>
      </c>
      <c r="E3428">
        <v>557</v>
      </c>
      <c r="F3428">
        <v>5546</v>
      </c>
      <c r="G3428" s="3">
        <f t="shared" si="159"/>
        <v>67</v>
      </c>
      <c r="H3428" s="4">
        <f t="shared" si="160"/>
        <v>1.2080778939776438E-2</v>
      </c>
      <c r="I3428" s="1">
        <f t="shared" si="161"/>
        <v>0</v>
      </c>
    </row>
    <row r="3429" spans="1:9" hidden="1" x14ac:dyDescent="0.2">
      <c r="A3429" s="6">
        <v>44077.708333333336</v>
      </c>
      <c r="B3429" s="1" t="s">
        <v>19</v>
      </c>
      <c r="C3429">
        <v>148</v>
      </c>
      <c r="D3429">
        <v>6</v>
      </c>
      <c r="E3429">
        <v>560</v>
      </c>
      <c r="F3429">
        <v>5624</v>
      </c>
      <c r="G3429" s="3">
        <f t="shared" si="159"/>
        <v>78</v>
      </c>
      <c r="H3429" s="4">
        <f t="shared" si="160"/>
        <v>1.3869132290184938E-2</v>
      </c>
      <c r="I3429" s="1">
        <f t="shared" si="161"/>
        <v>3</v>
      </c>
    </row>
    <row r="3430" spans="1:9" hidden="1" x14ac:dyDescent="0.2">
      <c r="A3430" s="6">
        <v>44078.708333333336</v>
      </c>
      <c r="B3430" s="1" t="s">
        <v>19</v>
      </c>
      <c r="C3430">
        <v>150</v>
      </c>
      <c r="D3430">
        <v>7</v>
      </c>
      <c r="E3430">
        <v>560</v>
      </c>
      <c r="F3430">
        <v>5741</v>
      </c>
      <c r="G3430" s="3">
        <f t="shared" si="159"/>
        <v>117</v>
      </c>
      <c r="H3430" s="4">
        <f t="shared" si="160"/>
        <v>2.0379724786622533E-2</v>
      </c>
      <c r="I3430" s="1">
        <f t="shared" si="161"/>
        <v>0</v>
      </c>
    </row>
    <row r="3431" spans="1:9" hidden="1" x14ac:dyDescent="0.2">
      <c r="A3431" s="6">
        <v>44079.708333333336</v>
      </c>
      <c r="B3431" s="1" t="s">
        <v>19</v>
      </c>
      <c r="C3431">
        <v>148</v>
      </c>
      <c r="D3431">
        <v>7</v>
      </c>
      <c r="E3431">
        <v>562</v>
      </c>
      <c r="F3431">
        <v>5796</v>
      </c>
      <c r="G3431" s="3">
        <f t="shared" si="159"/>
        <v>55</v>
      </c>
      <c r="H3431" s="4">
        <f t="shared" si="160"/>
        <v>9.4893029675637841E-3</v>
      </c>
      <c r="I3431" s="1">
        <f t="shared" si="161"/>
        <v>2</v>
      </c>
    </row>
    <row r="3432" spans="1:9" hidden="1" x14ac:dyDescent="0.2">
      <c r="A3432" s="6">
        <v>44080.708333333336</v>
      </c>
      <c r="B3432" s="1" t="s">
        <v>19</v>
      </c>
      <c r="C3432">
        <v>155</v>
      </c>
      <c r="D3432">
        <v>7</v>
      </c>
      <c r="E3432">
        <v>563</v>
      </c>
      <c r="F3432">
        <v>5856</v>
      </c>
      <c r="G3432" s="3">
        <f t="shared" si="159"/>
        <v>60</v>
      </c>
      <c r="H3432" s="4">
        <f t="shared" si="160"/>
        <v>1.0245901639344246E-2</v>
      </c>
      <c r="I3432" s="1">
        <f t="shared" si="161"/>
        <v>1</v>
      </c>
    </row>
    <row r="3433" spans="1:9" hidden="1" x14ac:dyDescent="0.2">
      <c r="A3433" s="6">
        <v>44081.708333333336</v>
      </c>
      <c r="B3433" s="1" t="s">
        <v>19</v>
      </c>
      <c r="C3433">
        <v>167</v>
      </c>
      <c r="D3433">
        <v>6</v>
      </c>
      <c r="E3433">
        <v>565</v>
      </c>
      <c r="F3433">
        <v>5899</v>
      </c>
      <c r="G3433" s="3">
        <f t="shared" si="159"/>
        <v>43</v>
      </c>
      <c r="H3433" s="4">
        <f t="shared" si="160"/>
        <v>7.2893710798440647E-3</v>
      </c>
      <c r="I3433" s="1">
        <f t="shared" si="161"/>
        <v>2</v>
      </c>
    </row>
    <row r="3434" spans="1:9" hidden="1" x14ac:dyDescent="0.2">
      <c r="A3434" s="6">
        <v>44082.708333333336</v>
      </c>
      <c r="B3434" s="1" t="s">
        <v>19</v>
      </c>
      <c r="C3434">
        <v>163</v>
      </c>
      <c r="D3434">
        <v>7</v>
      </c>
      <c r="E3434">
        <v>567</v>
      </c>
      <c r="F3434">
        <v>6042</v>
      </c>
      <c r="G3434" s="3">
        <f t="shared" si="159"/>
        <v>143</v>
      </c>
      <c r="H3434" s="4">
        <f t="shared" si="160"/>
        <v>2.3667659715326028E-2</v>
      </c>
      <c r="I3434" s="1">
        <f t="shared" si="161"/>
        <v>2</v>
      </c>
    </row>
    <row r="3435" spans="1:9" hidden="1" x14ac:dyDescent="0.2">
      <c r="A3435" s="6">
        <v>44083.708333333336</v>
      </c>
      <c r="B3435" s="1" t="s">
        <v>19</v>
      </c>
      <c r="C3435">
        <v>172</v>
      </c>
      <c r="D3435">
        <v>6</v>
      </c>
      <c r="E3435">
        <v>567</v>
      </c>
      <c r="F3435">
        <v>6139</v>
      </c>
      <c r="G3435" s="3">
        <f t="shared" si="159"/>
        <v>97</v>
      </c>
      <c r="H3435" s="4">
        <f t="shared" si="160"/>
        <v>1.5800618993321414E-2</v>
      </c>
      <c r="I3435" s="1">
        <f t="shared" si="161"/>
        <v>0</v>
      </c>
    </row>
    <row r="3436" spans="1:9" hidden="1" x14ac:dyDescent="0.2">
      <c r="A3436" s="6">
        <v>44084.708333333336</v>
      </c>
      <c r="B3436" s="1" t="s">
        <v>19</v>
      </c>
      <c r="C3436">
        <v>179</v>
      </c>
      <c r="D3436">
        <v>8</v>
      </c>
      <c r="E3436">
        <v>570</v>
      </c>
      <c r="F3436">
        <v>6209</v>
      </c>
      <c r="G3436" s="3">
        <f t="shared" si="159"/>
        <v>70</v>
      </c>
      <c r="H3436" s="4">
        <f t="shared" si="160"/>
        <v>1.1273957158962844E-2</v>
      </c>
      <c r="I3436" s="1">
        <f t="shared" si="161"/>
        <v>3</v>
      </c>
    </row>
    <row r="3437" spans="1:9" hidden="1" x14ac:dyDescent="0.2">
      <c r="A3437" s="6">
        <v>44085.708333333336</v>
      </c>
      <c r="B3437" s="1" t="s">
        <v>19</v>
      </c>
      <c r="C3437">
        <v>188</v>
      </c>
      <c r="D3437">
        <v>8</v>
      </c>
      <c r="E3437">
        <v>570</v>
      </c>
      <c r="F3437">
        <v>6291</v>
      </c>
      <c r="G3437" s="3">
        <f t="shared" si="159"/>
        <v>82</v>
      </c>
      <c r="H3437" s="4">
        <f t="shared" si="160"/>
        <v>1.3034493721189033E-2</v>
      </c>
      <c r="I3437" s="1">
        <f t="shared" si="161"/>
        <v>0</v>
      </c>
    </row>
    <row r="3438" spans="1:9" hidden="1" x14ac:dyDescent="0.2">
      <c r="A3438" s="6">
        <v>44086.708333333336</v>
      </c>
      <c r="B3438" s="1" t="s">
        <v>19</v>
      </c>
      <c r="C3438">
        <v>189</v>
      </c>
      <c r="D3438">
        <v>8</v>
      </c>
      <c r="E3438">
        <v>570</v>
      </c>
      <c r="F3438">
        <v>6367</v>
      </c>
      <c r="G3438" s="3">
        <f t="shared" si="159"/>
        <v>76</v>
      </c>
      <c r="H3438" s="4">
        <f t="shared" si="160"/>
        <v>1.19365478247212E-2</v>
      </c>
      <c r="I3438" s="1">
        <f t="shared" si="161"/>
        <v>0</v>
      </c>
    </row>
    <row r="3439" spans="1:9" hidden="1" x14ac:dyDescent="0.2">
      <c r="A3439" s="6">
        <v>44087.708333333336</v>
      </c>
      <c r="B3439" s="1" t="s">
        <v>19</v>
      </c>
      <c r="C3439">
        <v>195</v>
      </c>
      <c r="D3439">
        <v>9</v>
      </c>
      <c r="E3439">
        <v>570</v>
      </c>
      <c r="F3439">
        <v>6449</v>
      </c>
      <c r="G3439" s="3">
        <f t="shared" si="159"/>
        <v>82</v>
      </c>
      <c r="H3439" s="4">
        <f t="shared" si="160"/>
        <v>1.2715149635602385E-2</v>
      </c>
      <c r="I3439" s="1">
        <f t="shared" si="161"/>
        <v>0</v>
      </c>
    </row>
    <row r="3440" spans="1:9" hidden="1" x14ac:dyDescent="0.2">
      <c r="A3440" s="6">
        <v>44088.708333333336</v>
      </c>
      <c r="B3440" s="1" t="s">
        <v>19</v>
      </c>
      <c r="C3440">
        <v>203</v>
      </c>
      <c r="D3440">
        <v>11</v>
      </c>
      <c r="E3440">
        <v>572</v>
      </c>
      <c r="F3440">
        <v>6510</v>
      </c>
      <c r="G3440" s="3">
        <f t="shared" si="159"/>
        <v>61</v>
      </c>
      <c r="H3440" s="4">
        <f t="shared" si="160"/>
        <v>9.3701996927803011E-3</v>
      </c>
      <c r="I3440" s="1">
        <f t="shared" si="161"/>
        <v>2</v>
      </c>
    </row>
    <row r="3441" spans="1:9" hidden="1" x14ac:dyDescent="0.2">
      <c r="A3441" s="6">
        <v>44089.708333333336</v>
      </c>
      <c r="B3441" s="1" t="s">
        <v>19</v>
      </c>
      <c r="C3441">
        <v>204</v>
      </c>
      <c r="D3441">
        <v>13</v>
      </c>
      <c r="E3441">
        <v>573</v>
      </c>
      <c r="F3441">
        <v>6586</v>
      </c>
      <c r="G3441" s="3">
        <f t="shared" si="159"/>
        <v>76</v>
      </c>
      <c r="H3441" s="4">
        <f t="shared" si="160"/>
        <v>1.153962951715759E-2</v>
      </c>
      <c r="I3441" s="1">
        <f t="shared" si="161"/>
        <v>1</v>
      </c>
    </row>
    <row r="3442" spans="1:9" hidden="1" x14ac:dyDescent="0.2">
      <c r="A3442" s="6">
        <v>44090.708333333336</v>
      </c>
      <c r="B3442" s="1" t="s">
        <v>19</v>
      </c>
      <c r="C3442">
        <v>204</v>
      </c>
      <c r="D3442">
        <v>14</v>
      </c>
      <c r="E3442">
        <v>574</v>
      </c>
      <c r="F3442">
        <v>6689</v>
      </c>
      <c r="G3442" s="3">
        <f t="shared" si="159"/>
        <v>103</v>
      </c>
      <c r="H3442" s="4">
        <f t="shared" si="160"/>
        <v>1.5398415308715774E-2</v>
      </c>
      <c r="I3442" s="1">
        <f t="shared" si="161"/>
        <v>1</v>
      </c>
    </row>
    <row r="3443" spans="1:9" hidden="1" x14ac:dyDescent="0.2">
      <c r="A3443" s="6">
        <v>44091.708333333336</v>
      </c>
      <c r="B3443" s="1" t="s">
        <v>19</v>
      </c>
      <c r="C3443">
        <v>200</v>
      </c>
      <c r="D3443">
        <v>14</v>
      </c>
      <c r="E3443">
        <v>575</v>
      </c>
      <c r="F3443">
        <v>6752</v>
      </c>
      <c r="G3443" s="3">
        <f t="shared" si="159"/>
        <v>63</v>
      </c>
      <c r="H3443" s="4">
        <f t="shared" si="160"/>
        <v>9.3305687203791843E-3</v>
      </c>
      <c r="I3443" s="1">
        <f t="shared" si="161"/>
        <v>1</v>
      </c>
    </row>
    <row r="3444" spans="1:9" hidden="1" x14ac:dyDescent="0.2">
      <c r="A3444" s="6">
        <v>44092.708333333336</v>
      </c>
      <c r="B3444" s="1" t="s">
        <v>19</v>
      </c>
      <c r="C3444">
        <v>200</v>
      </c>
      <c r="D3444">
        <v>12</v>
      </c>
      <c r="E3444">
        <v>577</v>
      </c>
      <c r="F3444">
        <v>6836</v>
      </c>
      <c r="G3444" s="3">
        <f t="shared" si="159"/>
        <v>84</v>
      </c>
      <c r="H3444" s="4">
        <f t="shared" si="160"/>
        <v>1.2287887653598561E-2</v>
      </c>
      <c r="I3444" s="1">
        <f t="shared" si="161"/>
        <v>2</v>
      </c>
    </row>
    <row r="3445" spans="1:9" hidden="1" x14ac:dyDescent="0.2">
      <c r="A3445" s="6">
        <v>44093.708333333336</v>
      </c>
      <c r="B3445" s="1" t="s">
        <v>19</v>
      </c>
      <c r="C3445">
        <v>201</v>
      </c>
      <c r="D3445">
        <v>13</v>
      </c>
      <c r="E3445">
        <v>578</v>
      </c>
      <c r="F3445">
        <v>6944</v>
      </c>
      <c r="G3445" s="3">
        <f t="shared" si="159"/>
        <v>108</v>
      </c>
      <c r="H3445" s="4">
        <f t="shared" si="160"/>
        <v>1.5552995391705071E-2</v>
      </c>
      <c r="I3445" s="1">
        <f t="shared" si="161"/>
        <v>1</v>
      </c>
    </row>
    <row r="3446" spans="1:9" hidden="1" x14ac:dyDescent="0.2">
      <c r="A3446" s="6">
        <v>44094.708333333336</v>
      </c>
      <c r="B3446" s="1" t="s">
        <v>19</v>
      </c>
      <c r="C3446">
        <v>199</v>
      </c>
      <c r="D3446">
        <v>11</v>
      </c>
      <c r="E3446">
        <v>579</v>
      </c>
      <c r="F3446">
        <v>6994</v>
      </c>
      <c r="G3446" s="3">
        <f t="shared" si="159"/>
        <v>50</v>
      </c>
      <c r="H3446" s="4">
        <f t="shared" si="160"/>
        <v>7.148984844152162E-3</v>
      </c>
      <c r="I3446" s="1">
        <f t="shared" si="161"/>
        <v>1</v>
      </c>
    </row>
    <row r="3447" spans="1:9" hidden="1" x14ac:dyDescent="0.2">
      <c r="A3447" s="6">
        <v>44095.708333333336</v>
      </c>
      <c r="B3447" s="1" t="s">
        <v>19</v>
      </c>
      <c r="C3447">
        <v>201</v>
      </c>
      <c r="D3447">
        <v>11</v>
      </c>
      <c r="E3447">
        <v>580</v>
      </c>
      <c r="F3447">
        <v>7075</v>
      </c>
      <c r="G3447" s="3">
        <f t="shared" si="159"/>
        <v>81</v>
      </c>
      <c r="H3447" s="4">
        <f t="shared" si="160"/>
        <v>1.1448763250883398E-2</v>
      </c>
      <c r="I3447" s="1">
        <f t="shared" si="161"/>
        <v>1</v>
      </c>
    </row>
    <row r="3448" spans="1:9" hidden="1" x14ac:dyDescent="0.2">
      <c r="A3448" s="6">
        <v>44096.708333333336</v>
      </c>
      <c r="B3448" s="1" t="s">
        <v>19</v>
      </c>
      <c r="C3448">
        <v>204</v>
      </c>
      <c r="D3448">
        <v>10</v>
      </c>
      <c r="E3448">
        <v>581</v>
      </c>
      <c r="F3448">
        <v>7142</v>
      </c>
      <c r="G3448" s="3">
        <f t="shared" si="159"/>
        <v>67</v>
      </c>
      <c r="H3448" s="4">
        <f t="shared" si="160"/>
        <v>9.3811257350882027E-3</v>
      </c>
      <c r="I3448" s="1">
        <f t="shared" si="161"/>
        <v>1</v>
      </c>
    </row>
    <row r="3449" spans="1:9" hidden="1" x14ac:dyDescent="0.2">
      <c r="A3449" s="6">
        <v>44097.708333333336</v>
      </c>
      <c r="B3449" s="1" t="s">
        <v>19</v>
      </c>
      <c r="C3449">
        <v>204</v>
      </c>
      <c r="D3449">
        <v>10</v>
      </c>
      <c r="E3449">
        <v>583</v>
      </c>
      <c r="F3449">
        <v>7231</v>
      </c>
      <c r="G3449" s="3">
        <f t="shared" si="159"/>
        <v>89</v>
      </c>
      <c r="H3449" s="4">
        <f t="shared" si="160"/>
        <v>1.230811782602681E-2</v>
      </c>
      <c r="I3449" s="1">
        <f t="shared" si="161"/>
        <v>2</v>
      </c>
    </row>
    <row r="3450" spans="1:9" hidden="1" x14ac:dyDescent="0.2">
      <c r="A3450" s="6">
        <v>44098.708333333336</v>
      </c>
      <c r="B3450" s="1" t="s">
        <v>19</v>
      </c>
      <c r="C3450">
        <v>207</v>
      </c>
      <c r="D3450">
        <v>10</v>
      </c>
      <c r="E3450">
        <v>586</v>
      </c>
      <c r="F3450">
        <v>7304</v>
      </c>
      <c r="G3450" s="3">
        <f t="shared" si="159"/>
        <v>73</v>
      </c>
      <c r="H3450" s="4">
        <f t="shared" si="160"/>
        <v>9.9945235487404194E-3</v>
      </c>
      <c r="I3450" s="1">
        <f t="shared" si="161"/>
        <v>3</v>
      </c>
    </row>
    <row r="3451" spans="1:9" hidden="1" x14ac:dyDescent="0.2">
      <c r="A3451" s="6">
        <v>44099.708333333336</v>
      </c>
      <c r="B3451" s="1" t="s">
        <v>19</v>
      </c>
      <c r="C3451">
        <v>208</v>
      </c>
      <c r="D3451">
        <v>10</v>
      </c>
      <c r="E3451">
        <v>587</v>
      </c>
      <c r="F3451">
        <v>7394</v>
      </c>
      <c r="G3451" s="3">
        <f t="shared" si="159"/>
        <v>90</v>
      </c>
      <c r="H3451" s="4">
        <f t="shared" si="160"/>
        <v>1.2172031376792014E-2</v>
      </c>
      <c r="I3451" s="1">
        <f t="shared" si="161"/>
        <v>1</v>
      </c>
    </row>
    <row r="3452" spans="1:9" hidden="1" x14ac:dyDescent="0.2">
      <c r="A3452" s="6">
        <v>44100.708333333336</v>
      </c>
      <c r="B3452" s="1" t="s">
        <v>19</v>
      </c>
      <c r="C3452">
        <v>203</v>
      </c>
      <c r="D3452">
        <v>11</v>
      </c>
      <c r="E3452">
        <v>590</v>
      </c>
      <c r="F3452">
        <v>7445</v>
      </c>
      <c r="G3452" s="3">
        <f t="shared" si="159"/>
        <v>51</v>
      </c>
      <c r="H3452" s="4">
        <f t="shared" si="160"/>
        <v>6.8502350570852633E-3</v>
      </c>
      <c r="I3452" s="1">
        <f t="shared" si="161"/>
        <v>3</v>
      </c>
    </row>
    <row r="3453" spans="1:9" hidden="1" x14ac:dyDescent="0.2">
      <c r="A3453" s="6">
        <v>44101.708333333336</v>
      </c>
      <c r="B3453" s="1" t="s">
        <v>19</v>
      </c>
      <c r="C3453">
        <v>210</v>
      </c>
      <c r="D3453">
        <v>12</v>
      </c>
      <c r="E3453">
        <v>590</v>
      </c>
      <c r="F3453">
        <v>7521</v>
      </c>
      <c r="G3453" s="3">
        <f t="shared" si="159"/>
        <v>76</v>
      </c>
      <c r="H3453" s="4">
        <f t="shared" si="160"/>
        <v>1.0105039223507473E-2</v>
      </c>
      <c r="I3453" s="1">
        <f t="shared" si="161"/>
        <v>0</v>
      </c>
    </row>
    <row r="3454" spans="1:9" hidden="1" x14ac:dyDescent="0.2">
      <c r="A3454" s="6">
        <v>44102.708333333336</v>
      </c>
      <c r="B3454" s="1" t="s">
        <v>19</v>
      </c>
      <c r="C3454">
        <v>214</v>
      </c>
      <c r="D3454">
        <v>15</v>
      </c>
      <c r="E3454">
        <v>592</v>
      </c>
      <c r="F3454">
        <v>7611</v>
      </c>
      <c r="G3454" s="3">
        <f t="shared" si="159"/>
        <v>90</v>
      </c>
      <c r="H3454" s="4">
        <f t="shared" si="160"/>
        <v>1.1824990145841596E-2</v>
      </c>
      <c r="I3454" s="1">
        <f t="shared" si="161"/>
        <v>2</v>
      </c>
    </row>
    <row r="3455" spans="1:9" hidden="1" x14ac:dyDescent="0.2">
      <c r="A3455" s="6">
        <v>44103.708333333336</v>
      </c>
      <c r="B3455" s="1" t="s">
        <v>19</v>
      </c>
      <c r="C3455">
        <v>210</v>
      </c>
      <c r="D3455">
        <v>14</v>
      </c>
      <c r="E3455">
        <v>592</v>
      </c>
      <c r="F3455">
        <v>7687</v>
      </c>
      <c r="G3455" s="3">
        <f t="shared" si="159"/>
        <v>76</v>
      </c>
      <c r="H3455" s="4">
        <f t="shared" si="160"/>
        <v>9.8868219071158725E-3</v>
      </c>
      <c r="I3455" s="1">
        <f t="shared" si="161"/>
        <v>0</v>
      </c>
    </row>
    <row r="3456" spans="1:9" hidden="1" x14ac:dyDescent="0.2">
      <c r="A3456" s="6">
        <v>44104.708333333336</v>
      </c>
      <c r="B3456" s="1" t="s">
        <v>19</v>
      </c>
      <c r="C3456">
        <v>218</v>
      </c>
      <c r="D3456">
        <v>11</v>
      </c>
      <c r="E3456">
        <v>595</v>
      </c>
      <c r="F3456">
        <v>7786</v>
      </c>
      <c r="G3456" s="3">
        <f t="shared" si="159"/>
        <v>99</v>
      </c>
      <c r="H3456" s="4">
        <f t="shared" si="160"/>
        <v>1.2715129720010321E-2</v>
      </c>
      <c r="I3456" s="1">
        <f t="shared" si="161"/>
        <v>3</v>
      </c>
    </row>
    <row r="3457" spans="1:9" hidden="1" x14ac:dyDescent="0.2">
      <c r="A3457" s="6">
        <v>44105.708333333336</v>
      </c>
      <c r="B3457" s="1" t="s">
        <v>19</v>
      </c>
      <c r="C3457">
        <v>217</v>
      </c>
      <c r="D3457">
        <v>14</v>
      </c>
      <c r="E3457">
        <v>596</v>
      </c>
      <c r="F3457">
        <v>7900</v>
      </c>
      <c r="G3457" s="3">
        <f t="shared" si="159"/>
        <v>114</v>
      </c>
      <c r="H3457" s="4">
        <f t="shared" si="160"/>
        <v>1.4430379746835476E-2</v>
      </c>
      <c r="I3457" s="1">
        <f t="shared" si="161"/>
        <v>1</v>
      </c>
    </row>
    <row r="3458" spans="1:9" hidden="1" x14ac:dyDescent="0.2">
      <c r="A3458" s="6">
        <v>44106.708333333336</v>
      </c>
      <c r="B3458" s="1" t="s">
        <v>19</v>
      </c>
      <c r="C3458">
        <v>223</v>
      </c>
      <c r="D3458">
        <v>13</v>
      </c>
      <c r="E3458">
        <v>597</v>
      </c>
      <c r="F3458">
        <v>7972</v>
      </c>
      <c r="G3458" s="3">
        <f t="shared" si="159"/>
        <v>72</v>
      </c>
      <c r="H3458" s="4">
        <f t="shared" si="160"/>
        <v>9.0316106372303473E-3</v>
      </c>
      <c r="I3458" s="1">
        <f t="shared" si="161"/>
        <v>1</v>
      </c>
    </row>
    <row r="3459" spans="1:9" hidden="1" x14ac:dyDescent="0.2">
      <c r="A3459" s="6">
        <v>44107.708333333336</v>
      </c>
      <c r="B3459" s="1" t="s">
        <v>19</v>
      </c>
      <c r="C3459">
        <v>226</v>
      </c>
      <c r="D3459">
        <v>12</v>
      </c>
      <c r="E3459">
        <v>598</v>
      </c>
      <c r="F3459">
        <v>8083</v>
      </c>
      <c r="G3459" s="3">
        <f t="shared" ref="G3459:G3522" si="162">IF(AND(F3459&gt;0,AND(B3459=B3458,F3459&gt;0)),F3459-F3458,0)</f>
        <v>111</v>
      </c>
      <c r="H3459" s="4">
        <f t="shared" ref="H3459:H3522" si="163">IF(AND(F3458&gt;0,AND(B3459=B3458,F3458&gt;0)),1-(F3458/F3459),0)</f>
        <v>1.3732525052579492E-2</v>
      </c>
      <c r="I3459" s="1">
        <f t="shared" ref="I3459:I3522" si="164">IF(AND(E3459&gt;0,AND(B3459=B3458,E3459&gt;0)),E3459-E3458,0)</f>
        <v>1</v>
      </c>
    </row>
    <row r="3460" spans="1:9" hidden="1" x14ac:dyDescent="0.2">
      <c r="A3460" s="6">
        <v>44108.708333333336</v>
      </c>
      <c r="B3460" s="1" t="s">
        <v>19</v>
      </c>
      <c r="C3460">
        <v>231</v>
      </c>
      <c r="D3460">
        <v>13</v>
      </c>
      <c r="E3460">
        <v>598</v>
      </c>
      <c r="F3460">
        <v>8234</v>
      </c>
      <c r="G3460" s="3">
        <f t="shared" si="162"/>
        <v>151</v>
      </c>
      <c r="H3460" s="4">
        <f t="shared" si="163"/>
        <v>1.8338596065095913E-2</v>
      </c>
      <c r="I3460" s="1">
        <f t="shared" si="164"/>
        <v>0</v>
      </c>
    </row>
    <row r="3461" spans="1:9" hidden="1" x14ac:dyDescent="0.2">
      <c r="A3461" s="6">
        <v>44109.708333333336</v>
      </c>
      <c r="B3461" s="1" t="s">
        <v>19</v>
      </c>
      <c r="C3461">
        <v>239</v>
      </c>
      <c r="D3461">
        <v>14</v>
      </c>
      <c r="E3461">
        <v>599</v>
      </c>
      <c r="F3461">
        <v>8317</v>
      </c>
      <c r="G3461" s="3">
        <f t="shared" si="162"/>
        <v>83</v>
      </c>
      <c r="H3461" s="4">
        <f t="shared" si="163"/>
        <v>9.9795599374774557E-3</v>
      </c>
      <c r="I3461" s="1">
        <f t="shared" si="164"/>
        <v>1</v>
      </c>
    </row>
    <row r="3462" spans="1:9" hidden="1" x14ac:dyDescent="0.2">
      <c r="A3462" s="6">
        <v>44110.708333333336</v>
      </c>
      <c r="B3462" s="1" t="s">
        <v>19</v>
      </c>
      <c r="C3462">
        <v>244</v>
      </c>
      <c r="D3462">
        <v>21</v>
      </c>
      <c r="E3462">
        <v>603</v>
      </c>
      <c r="F3462">
        <v>8423</v>
      </c>
      <c r="G3462" s="3">
        <f t="shared" si="162"/>
        <v>106</v>
      </c>
      <c r="H3462" s="4">
        <f t="shared" si="163"/>
        <v>1.2584589813605551E-2</v>
      </c>
      <c r="I3462" s="1">
        <f t="shared" si="164"/>
        <v>4</v>
      </c>
    </row>
    <row r="3463" spans="1:9" hidden="1" x14ac:dyDescent="0.2">
      <c r="A3463" s="6">
        <v>44111.708333333336</v>
      </c>
      <c r="B3463" s="1" t="s">
        <v>19</v>
      </c>
      <c r="C3463">
        <v>251</v>
      </c>
      <c r="D3463">
        <v>23</v>
      </c>
      <c r="E3463">
        <v>603</v>
      </c>
      <c r="F3463">
        <v>8619</v>
      </c>
      <c r="G3463" s="3">
        <f t="shared" si="162"/>
        <v>196</v>
      </c>
      <c r="H3463" s="4">
        <f t="shared" si="163"/>
        <v>2.274045712959738E-2</v>
      </c>
      <c r="I3463" s="1">
        <f t="shared" si="164"/>
        <v>0</v>
      </c>
    </row>
    <row r="3464" spans="1:9" hidden="1" x14ac:dyDescent="0.2">
      <c r="A3464" s="6">
        <v>44112.708333333336</v>
      </c>
      <c r="B3464" s="1" t="s">
        <v>19</v>
      </c>
      <c r="C3464">
        <v>278</v>
      </c>
      <c r="D3464">
        <v>23</v>
      </c>
      <c r="E3464">
        <v>604</v>
      </c>
      <c r="F3464">
        <v>8867</v>
      </c>
      <c r="G3464" s="3">
        <f t="shared" si="162"/>
        <v>248</v>
      </c>
      <c r="H3464" s="4">
        <f t="shared" si="163"/>
        <v>2.7968873350625922E-2</v>
      </c>
      <c r="I3464" s="1">
        <f t="shared" si="164"/>
        <v>1</v>
      </c>
    </row>
    <row r="3465" spans="1:9" hidden="1" x14ac:dyDescent="0.2">
      <c r="A3465" s="6">
        <v>44113.708333333336</v>
      </c>
      <c r="B3465" s="1" t="s">
        <v>19</v>
      </c>
      <c r="C3465">
        <v>300</v>
      </c>
      <c r="D3465">
        <v>23</v>
      </c>
      <c r="E3465">
        <v>606</v>
      </c>
      <c r="F3465">
        <v>9116</v>
      </c>
      <c r="G3465" s="3">
        <f t="shared" si="162"/>
        <v>249</v>
      </c>
      <c r="H3465" s="4">
        <f t="shared" si="163"/>
        <v>2.7314611671785838E-2</v>
      </c>
      <c r="I3465" s="1">
        <f t="shared" si="164"/>
        <v>2</v>
      </c>
    </row>
    <row r="3466" spans="1:9" hidden="1" x14ac:dyDescent="0.2">
      <c r="A3466" s="6">
        <v>44114.708333333336</v>
      </c>
      <c r="B3466" s="1" t="s">
        <v>19</v>
      </c>
      <c r="C3466">
        <v>300</v>
      </c>
      <c r="D3466">
        <v>22</v>
      </c>
      <c r="E3466">
        <v>607</v>
      </c>
      <c r="F3466">
        <v>9300</v>
      </c>
      <c r="G3466" s="3">
        <f t="shared" si="162"/>
        <v>184</v>
      </c>
      <c r="H3466" s="4">
        <f t="shared" si="163"/>
        <v>1.9784946236559131E-2</v>
      </c>
      <c r="I3466" s="1">
        <f t="shared" si="164"/>
        <v>1</v>
      </c>
    </row>
    <row r="3467" spans="1:9" hidden="1" x14ac:dyDescent="0.2">
      <c r="A3467" s="6">
        <v>44115.708333333336</v>
      </c>
      <c r="B3467" s="1" t="s">
        <v>19</v>
      </c>
      <c r="C3467">
        <v>301</v>
      </c>
      <c r="D3467">
        <v>21</v>
      </c>
      <c r="E3467">
        <v>608</v>
      </c>
      <c r="F3467">
        <v>9512</v>
      </c>
      <c r="G3467" s="3">
        <f t="shared" si="162"/>
        <v>212</v>
      </c>
      <c r="H3467" s="4">
        <f t="shared" si="163"/>
        <v>2.228763666947009E-2</v>
      </c>
      <c r="I3467" s="1">
        <f t="shared" si="164"/>
        <v>1</v>
      </c>
    </row>
    <row r="3468" spans="1:9" hidden="1" x14ac:dyDescent="0.2">
      <c r="A3468" s="6">
        <v>43885.75</v>
      </c>
      <c r="B3468" s="1" t="s">
        <v>20</v>
      </c>
      <c r="C3468">
        <v>0</v>
      </c>
      <c r="D3468">
        <v>0</v>
      </c>
      <c r="E3468">
        <v>0</v>
      </c>
      <c r="F3468">
        <v>0</v>
      </c>
      <c r="G3468" s="3">
        <f t="shared" si="162"/>
        <v>0</v>
      </c>
      <c r="H3468" s="4">
        <f t="shared" si="163"/>
        <v>0</v>
      </c>
      <c r="I3468" s="1">
        <f t="shared" si="164"/>
        <v>0</v>
      </c>
    </row>
    <row r="3469" spans="1:9" hidden="1" x14ac:dyDescent="0.2">
      <c r="A3469" s="6">
        <v>43886.75</v>
      </c>
      <c r="B3469" s="1" t="s">
        <v>20</v>
      </c>
      <c r="C3469">
        <v>0</v>
      </c>
      <c r="D3469">
        <v>0</v>
      </c>
      <c r="E3469">
        <v>0</v>
      </c>
      <c r="F3469">
        <v>0</v>
      </c>
      <c r="G3469" s="3">
        <f t="shared" si="162"/>
        <v>0</v>
      </c>
      <c r="H3469" s="4">
        <f t="shared" si="163"/>
        <v>0</v>
      </c>
      <c r="I3469" s="1">
        <f t="shared" si="164"/>
        <v>0</v>
      </c>
    </row>
    <row r="3470" spans="1:9" hidden="1" x14ac:dyDescent="0.2">
      <c r="A3470" s="6">
        <v>43887.75</v>
      </c>
      <c r="B3470" s="1" t="s">
        <v>20</v>
      </c>
      <c r="C3470">
        <v>0</v>
      </c>
      <c r="D3470">
        <v>0</v>
      </c>
      <c r="E3470">
        <v>0</v>
      </c>
      <c r="F3470">
        <v>0</v>
      </c>
      <c r="G3470" s="3">
        <f t="shared" si="162"/>
        <v>0</v>
      </c>
      <c r="H3470" s="4">
        <f t="shared" si="163"/>
        <v>0</v>
      </c>
      <c r="I3470" s="1">
        <f t="shared" si="164"/>
        <v>0</v>
      </c>
    </row>
    <row r="3471" spans="1:9" hidden="1" x14ac:dyDescent="0.2">
      <c r="A3471" s="6">
        <v>43888.75</v>
      </c>
      <c r="B3471" s="1" t="s">
        <v>20</v>
      </c>
      <c r="C3471">
        <v>0</v>
      </c>
      <c r="D3471">
        <v>0</v>
      </c>
      <c r="E3471">
        <v>0</v>
      </c>
      <c r="F3471">
        <v>0</v>
      </c>
      <c r="G3471" s="3">
        <f t="shared" si="162"/>
        <v>0</v>
      </c>
      <c r="H3471" s="4">
        <f t="shared" si="163"/>
        <v>0</v>
      </c>
      <c r="I3471" s="1">
        <f t="shared" si="164"/>
        <v>0</v>
      </c>
    </row>
    <row r="3472" spans="1:9" hidden="1" x14ac:dyDescent="0.2">
      <c r="A3472" s="6">
        <v>43889.75</v>
      </c>
      <c r="B3472" s="1" t="s">
        <v>20</v>
      </c>
      <c r="C3472">
        <v>0</v>
      </c>
      <c r="D3472">
        <v>0</v>
      </c>
      <c r="E3472">
        <v>0</v>
      </c>
      <c r="F3472">
        <v>0</v>
      </c>
      <c r="G3472" s="3">
        <f t="shared" si="162"/>
        <v>0</v>
      </c>
      <c r="H3472" s="4">
        <f t="shared" si="163"/>
        <v>0</v>
      </c>
      <c r="I3472" s="1">
        <f t="shared" si="164"/>
        <v>0</v>
      </c>
    </row>
    <row r="3473" spans="1:9" hidden="1" x14ac:dyDescent="0.2">
      <c r="A3473" s="6">
        <v>43890.708333333336</v>
      </c>
      <c r="B3473" s="1" t="s">
        <v>20</v>
      </c>
      <c r="C3473">
        <v>0</v>
      </c>
      <c r="D3473">
        <v>0</v>
      </c>
      <c r="E3473">
        <v>0</v>
      </c>
      <c r="F3473">
        <v>0</v>
      </c>
      <c r="G3473" s="3">
        <f t="shared" si="162"/>
        <v>0</v>
      </c>
      <c r="H3473" s="4">
        <f t="shared" si="163"/>
        <v>0</v>
      </c>
      <c r="I3473" s="1">
        <f t="shared" si="164"/>
        <v>0</v>
      </c>
    </row>
    <row r="3474" spans="1:9" hidden="1" x14ac:dyDescent="0.2">
      <c r="A3474" s="6">
        <v>43891.708333333336</v>
      </c>
      <c r="B3474" s="1" t="s">
        <v>20</v>
      </c>
      <c r="C3474">
        <v>0</v>
      </c>
      <c r="D3474">
        <v>0</v>
      </c>
      <c r="E3474">
        <v>0</v>
      </c>
      <c r="F3474">
        <v>0</v>
      </c>
      <c r="G3474" s="3">
        <f t="shared" si="162"/>
        <v>0</v>
      </c>
      <c r="H3474" s="4">
        <f t="shared" si="163"/>
        <v>0</v>
      </c>
      <c r="I3474" s="1">
        <f t="shared" si="164"/>
        <v>0</v>
      </c>
    </row>
    <row r="3475" spans="1:9" hidden="1" x14ac:dyDescent="0.2">
      <c r="A3475" s="6">
        <v>43892.75</v>
      </c>
      <c r="B3475" s="1" t="s">
        <v>20</v>
      </c>
      <c r="C3475">
        <v>0</v>
      </c>
      <c r="D3475">
        <v>0</v>
      </c>
      <c r="E3475">
        <v>0</v>
      </c>
      <c r="F3475">
        <v>0</v>
      </c>
      <c r="G3475" s="3">
        <f t="shared" si="162"/>
        <v>0</v>
      </c>
      <c r="H3475" s="4">
        <f t="shared" si="163"/>
        <v>0</v>
      </c>
      <c r="I3475" s="1">
        <f t="shared" si="164"/>
        <v>0</v>
      </c>
    </row>
    <row r="3476" spans="1:9" hidden="1" x14ac:dyDescent="0.2">
      <c r="A3476" s="6">
        <v>43893.75</v>
      </c>
      <c r="B3476" s="1" t="s">
        <v>20</v>
      </c>
      <c r="C3476">
        <v>1</v>
      </c>
      <c r="D3476">
        <v>0</v>
      </c>
      <c r="E3476">
        <v>0</v>
      </c>
      <c r="F3476">
        <v>1</v>
      </c>
      <c r="G3476" s="3">
        <f t="shared" si="162"/>
        <v>1</v>
      </c>
      <c r="H3476" s="4">
        <f t="shared" si="163"/>
        <v>0</v>
      </c>
      <c r="I3476" s="1">
        <f t="shared" si="164"/>
        <v>0</v>
      </c>
    </row>
    <row r="3477" spans="1:9" hidden="1" x14ac:dyDescent="0.2">
      <c r="A3477" s="6">
        <v>43894.708333333336</v>
      </c>
      <c r="B3477" s="1" t="s">
        <v>20</v>
      </c>
      <c r="C3477">
        <v>1</v>
      </c>
      <c r="D3477">
        <v>0</v>
      </c>
      <c r="E3477">
        <v>0</v>
      </c>
      <c r="F3477">
        <v>2</v>
      </c>
      <c r="G3477" s="3">
        <f t="shared" si="162"/>
        <v>1</v>
      </c>
      <c r="H3477" s="4">
        <f t="shared" si="163"/>
        <v>0.5</v>
      </c>
      <c r="I3477" s="1">
        <f t="shared" si="164"/>
        <v>0</v>
      </c>
    </row>
    <row r="3478" spans="1:9" hidden="1" x14ac:dyDescent="0.2">
      <c r="A3478" s="6">
        <v>43895.708333333336</v>
      </c>
      <c r="B3478" s="1" t="s">
        <v>20</v>
      </c>
      <c r="C3478">
        <v>2</v>
      </c>
      <c r="D3478">
        <v>0</v>
      </c>
      <c r="E3478">
        <v>0</v>
      </c>
      <c r="F3478">
        <v>2</v>
      </c>
      <c r="G3478" s="3">
        <f t="shared" si="162"/>
        <v>0</v>
      </c>
      <c r="H3478" s="4">
        <f t="shared" si="163"/>
        <v>0</v>
      </c>
      <c r="I3478" s="1">
        <f t="shared" si="164"/>
        <v>0</v>
      </c>
    </row>
    <row r="3479" spans="1:9" hidden="1" x14ac:dyDescent="0.2">
      <c r="A3479" s="6">
        <v>43896.708333333336</v>
      </c>
      <c r="B3479" s="1" t="s">
        <v>20</v>
      </c>
      <c r="C3479">
        <v>2</v>
      </c>
      <c r="D3479">
        <v>0</v>
      </c>
      <c r="E3479">
        <v>0</v>
      </c>
      <c r="F3479">
        <v>5</v>
      </c>
      <c r="G3479" s="3">
        <f t="shared" si="162"/>
        <v>3</v>
      </c>
      <c r="H3479" s="4">
        <f t="shared" si="163"/>
        <v>0.6</v>
      </c>
      <c r="I3479" s="1">
        <f t="shared" si="164"/>
        <v>0</v>
      </c>
    </row>
    <row r="3480" spans="1:9" hidden="1" x14ac:dyDescent="0.2">
      <c r="A3480" s="6">
        <v>43897.75</v>
      </c>
      <c r="B3480" s="1" t="s">
        <v>20</v>
      </c>
      <c r="C3480">
        <v>2</v>
      </c>
      <c r="D3480">
        <v>0</v>
      </c>
      <c r="E3480">
        <v>0</v>
      </c>
      <c r="F3480">
        <v>5</v>
      </c>
      <c r="G3480" s="3">
        <f t="shared" si="162"/>
        <v>0</v>
      </c>
      <c r="H3480" s="4">
        <f t="shared" si="163"/>
        <v>0</v>
      </c>
      <c r="I3480" s="1">
        <f t="shared" si="164"/>
        <v>0</v>
      </c>
    </row>
    <row r="3481" spans="1:9" hidden="1" x14ac:dyDescent="0.2">
      <c r="A3481" s="6">
        <v>43898.75</v>
      </c>
      <c r="B3481" s="1" t="s">
        <v>20</v>
      </c>
      <c r="C3481">
        <v>5</v>
      </c>
      <c r="D3481">
        <v>0</v>
      </c>
      <c r="E3481">
        <v>0</v>
      </c>
      <c r="F3481">
        <v>11</v>
      </c>
      <c r="G3481" s="3">
        <f t="shared" si="162"/>
        <v>6</v>
      </c>
      <c r="H3481" s="4">
        <f t="shared" si="163"/>
        <v>0.54545454545454541</v>
      </c>
      <c r="I3481" s="1">
        <f t="shared" si="164"/>
        <v>0</v>
      </c>
    </row>
    <row r="3482" spans="1:9" hidden="1" x14ac:dyDescent="0.2">
      <c r="A3482" s="6">
        <v>43899.75</v>
      </c>
      <c r="B3482" s="1" t="s">
        <v>20</v>
      </c>
      <c r="C3482">
        <v>8</v>
      </c>
      <c r="D3482">
        <v>0</v>
      </c>
      <c r="E3482">
        <v>0</v>
      </c>
      <c r="F3482">
        <v>19</v>
      </c>
      <c r="G3482" s="3">
        <f t="shared" si="162"/>
        <v>8</v>
      </c>
      <c r="H3482" s="4">
        <f t="shared" si="163"/>
        <v>0.42105263157894735</v>
      </c>
      <c r="I3482" s="1">
        <f t="shared" si="164"/>
        <v>0</v>
      </c>
    </row>
    <row r="3483" spans="1:9" hidden="1" x14ac:dyDescent="0.2">
      <c r="A3483" s="6">
        <v>43900.75</v>
      </c>
      <c r="B3483" s="1" t="s">
        <v>20</v>
      </c>
      <c r="C3483">
        <v>9</v>
      </c>
      <c r="D3483">
        <v>0</v>
      </c>
      <c r="E3483">
        <v>0</v>
      </c>
      <c r="F3483">
        <v>20</v>
      </c>
      <c r="G3483" s="3">
        <f t="shared" si="162"/>
        <v>1</v>
      </c>
      <c r="H3483" s="4">
        <f t="shared" si="163"/>
        <v>5.0000000000000044E-2</v>
      </c>
      <c r="I3483" s="1">
        <f t="shared" si="164"/>
        <v>0</v>
      </c>
    </row>
    <row r="3484" spans="1:9" hidden="1" x14ac:dyDescent="0.2">
      <c r="A3484" s="6">
        <v>43901.708333333336</v>
      </c>
      <c r="B3484" s="1" t="s">
        <v>20</v>
      </c>
      <c r="C3484">
        <v>10</v>
      </c>
      <c r="D3484">
        <v>0</v>
      </c>
      <c r="E3484">
        <v>0</v>
      </c>
      <c r="F3484">
        <v>37</v>
      </c>
      <c r="G3484" s="3">
        <f t="shared" si="162"/>
        <v>17</v>
      </c>
      <c r="H3484" s="4">
        <f t="shared" si="163"/>
        <v>0.45945945945945943</v>
      </c>
      <c r="I3484" s="1">
        <f t="shared" si="164"/>
        <v>0</v>
      </c>
    </row>
    <row r="3485" spans="1:9" hidden="1" x14ac:dyDescent="0.2">
      <c r="A3485" s="6">
        <v>43902.708333333336</v>
      </c>
      <c r="B3485" s="1" t="s">
        <v>20</v>
      </c>
      <c r="C3485">
        <v>12</v>
      </c>
      <c r="D3485">
        <v>0</v>
      </c>
      <c r="E3485">
        <v>0</v>
      </c>
      <c r="F3485">
        <v>39</v>
      </c>
      <c r="G3485" s="3">
        <f t="shared" si="162"/>
        <v>2</v>
      </c>
      <c r="H3485" s="4">
        <f t="shared" si="163"/>
        <v>5.1282051282051322E-2</v>
      </c>
      <c r="I3485" s="1">
        <f t="shared" si="164"/>
        <v>0</v>
      </c>
    </row>
    <row r="3486" spans="1:9" hidden="1" x14ac:dyDescent="0.2">
      <c r="A3486" s="6">
        <v>43903.708333333336</v>
      </c>
      <c r="B3486" s="1" t="s">
        <v>20</v>
      </c>
      <c r="C3486">
        <v>12</v>
      </c>
      <c r="D3486">
        <v>0</v>
      </c>
      <c r="E3486">
        <v>0</v>
      </c>
      <c r="F3486">
        <v>43</v>
      </c>
      <c r="G3486" s="3">
        <f t="shared" si="162"/>
        <v>4</v>
      </c>
      <c r="H3486" s="4">
        <f t="shared" si="163"/>
        <v>9.3023255813953543E-2</v>
      </c>
      <c r="I3486" s="1">
        <f t="shared" si="164"/>
        <v>0</v>
      </c>
    </row>
    <row r="3487" spans="1:9" hidden="1" x14ac:dyDescent="0.2">
      <c r="A3487" s="6">
        <v>43904.708333333336</v>
      </c>
      <c r="B3487" s="1" t="s">
        <v>20</v>
      </c>
      <c r="C3487">
        <v>14</v>
      </c>
      <c r="D3487">
        <v>0</v>
      </c>
      <c r="E3487">
        <v>0</v>
      </c>
      <c r="F3487">
        <v>47</v>
      </c>
      <c r="G3487" s="3">
        <f t="shared" si="162"/>
        <v>4</v>
      </c>
      <c r="H3487" s="4">
        <f t="shared" si="163"/>
        <v>8.5106382978723416E-2</v>
      </c>
      <c r="I3487" s="1">
        <f t="shared" si="164"/>
        <v>0</v>
      </c>
    </row>
    <row r="3488" spans="1:9" hidden="1" x14ac:dyDescent="0.2">
      <c r="A3488" s="6">
        <v>43905.708333333336</v>
      </c>
      <c r="B3488" s="1" t="s">
        <v>20</v>
      </c>
      <c r="C3488">
        <v>16</v>
      </c>
      <c r="D3488">
        <v>0</v>
      </c>
      <c r="E3488">
        <v>2</v>
      </c>
      <c r="F3488">
        <v>77</v>
      </c>
      <c r="G3488" s="3">
        <f t="shared" si="162"/>
        <v>30</v>
      </c>
      <c r="H3488" s="4">
        <f t="shared" si="163"/>
        <v>0.38961038961038963</v>
      </c>
      <c r="I3488" s="1">
        <f t="shared" si="164"/>
        <v>2</v>
      </c>
    </row>
    <row r="3489" spans="1:9" hidden="1" x14ac:dyDescent="0.2">
      <c r="A3489" s="6">
        <v>43906.708333333336</v>
      </c>
      <c r="B3489" s="1" t="s">
        <v>20</v>
      </c>
      <c r="C3489">
        <v>39</v>
      </c>
      <c r="D3489">
        <v>0</v>
      </c>
      <c r="E3489">
        <v>2</v>
      </c>
      <c r="F3489">
        <v>107</v>
      </c>
      <c r="G3489" s="3">
        <f t="shared" si="162"/>
        <v>30</v>
      </c>
      <c r="H3489" s="4">
        <f t="shared" si="163"/>
        <v>0.28037383177570097</v>
      </c>
      <c r="I3489" s="1">
        <f t="shared" si="164"/>
        <v>0</v>
      </c>
    </row>
    <row r="3490" spans="1:9" hidden="1" x14ac:dyDescent="0.2">
      <c r="A3490" s="6">
        <v>43907.708333333336</v>
      </c>
      <c r="B3490" s="1" t="s">
        <v>20</v>
      </c>
      <c r="C3490">
        <v>36</v>
      </c>
      <c r="D3490">
        <v>4</v>
      </c>
      <c r="E3490">
        <v>2</v>
      </c>
      <c r="F3490">
        <v>117</v>
      </c>
      <c r="G3490" s="3">
        <f t="shared" si="162"/>
        <v>10</v>
      </c>
      <c r="H3490" s="4">
        <f t="shared" si="163"/>
        <v>8.54700854700855E-2</v>
      </c>
      <c r="I3490" s="1">
        <f t="shared" si="164"/>
        <v>0</v>
      </c>
    </row>
    <row r="3491" spans="1:9" hidden="1" x14ac:dyDescent="0.2">
      <c r="A3491" s="6">
        <v>43908.708333333336</v>
      </c>
      <c r="B3491" s="1" t="s">
        <v>20</v>
      </c>
      <c r="C3491">
        <v>42</v>
      </c>
      <c r="D3491">
        <v>7</v>
      </c>
      <c r="E3491">
        <v>2</v>
      </c>
      <c r="F3491">
        <v>134</v>
      </c>
      <c r="G3491" s="3">
        <f t="shared" si="162"/>
        <v>17</v>
      </c>
      <c r="H3491" s="4">
        <f t="shared" si="163"/>
        <v>0.12686567164179108</v>
      </c>
      <c r="I3491" s="1">
        <f t="shared" si="164"/>
        <v>0</v>
      </c>
    </row>
    <row r="3492" spans="1:9" hidden="1" x14ac:dyDescent="0.2">
      <c r="A3492" s="6">
        <v>43909.708333333336</v>
      </c>
      <c r="B3492" s="1" t="s">
        <v>20</v>
      </c>
      <c r="C3492">
        <v>43</v>
      </c>
      <c r="D3492">
        <v>9</v>
      </c>
      <c r="E3492">
        <v>2</v>
      </c>
      <c r="F3492">
        <v>206</v>
      </c>
      <c r="G3492" s="3">
        <f t="shared" si="162"/>
        <v>72</v>
      </c>
      <c r="H3492" s="4">
        <f t="shared" si="163"/>
        <v>0.34951456310679607</v>
      </c>
      <c r="I3492" s="1">
        <f t="shared" si="164"/>
        <v>0</v>
      </c>
    </row>
    <row r="3493" spans="1:9" hidden="1" x14ac:dyDescent="0.2">
      <c r="A3493" s="6">
        <v>43910.708333333336</v>
      </c>
      <c r="B3493" s="1" t="s">
        <v>20</v>
      </c>
      <c r="C3493">
        <v>56</v>
      </c>
      <c r="D3493">
        <v>15</v>
      </c>
      <c r="E3493">
        <v>2</v>
      </c>
      <c r="F3493">
        <v>293</v>
      </c>
      <c r="G3493" s="3">
        <f t="shared" si="162"/>
        <v>87</v>
      </c>
      <c r="H3493" s="4">
        <f t="shared" si="163"/>
        <v>0.29692832764505117</v>
      </c>
      <c r="I3493" s="1">
        <f t="shared" si="164"/>
        <v>0</v>
      </c>
    </row>
    <row r="3494" spans="1:9" hidden="1" x14ac:dyDescent="0.2">
      <c r="A3494" s="6">
        <v>43911.708333333336</v>
      </c>
      <c r="B3494" s="1" t="s">
        <v>20</v>
      </c>
      <c r="C3494">
        <v>65</v>
      </c>
      <c r="D3494">
        <v>16</v>
      </c>
      <c r="E3494">
        <v>4</v>
      </c>
      <c r="F3494">
        <v>330</v>
      </c>
      <c r="G3494" s="3">
        <f t="shared" si="162"/>
        <v>37</v>
      </c>
      <c r="H3494" s="4">
        <f t="shared" si="163"/>
        <v>0.11212121212121207</v>
      </c>
      <c r="I3494" s="1">
        <f t="shared" si="164"/>
        <v>2</v>
      </c>
    </row>
    <row r="3495" spans="1:9" hidden="1" x14ac:dyDescent="0.2">
      <c r="A3495" s="6">
        <v>43912.708333333336</v>
      </c>
      <c r="B3495" s="1" t="s">
        <v>20</v>
      </c>
      <c r="C3495">
        <v>67</v>
      </c>
      <c r="D3495">
        <v>16</v>
      </c>
      <c r="E3495">
        <v>7</v>
      </c>
      <c r="F3495">
        <v>339</v>
      </c>
      <c r="G3495" s="3">
        <f t="shared" si="162"/>
        <v>9</v>
      </c>
      <c r="H3495" s="4">
        <f t="shared" si="163"/>
        <v>2.6548672566371723E-2</v>
      </c>
      <c r="I3495" s="1">
        <f t="shared" si="164"/>
        <v>3</v>
      </c>
    </row>
    <row r="3496" spans="1:9" hidden="1" x14ac:dyDescent="0.2">
      <c r="A3496" s="6">
        <v>43913.708333333336</v>
      </c>
      <c r="B3496" s="1" t="s">
        <v>20</v>
      </c>
      <c r="C3496">
        <v>76</v>
      </c>
      <c r="D3496">
        <v>18</v>
      </c>
      <c r="E3496">
        <v>11</v>
      </c>
      <c r="F3496">
        <v>359</v>
      </c>
      <c r="G3496" s="3">
        <f t="shared" si="162"/>
        <v>20</v>
      </c>
      <c r="H3496" s="4">
        <f t="shared" si="163"/>
        <v>5.5710306406685284E-2</v>
      </c>
      <c r="I3496" s="1">
        <f t="shared" si="164"/>
        <v>4</v>
      </c>
    </row>
    <row r="3497" spans="1:9" hidden="1" x14ac:dyDescent="0.2">
      <c r="A3497" s="6">
        <v>43914.708333333336</v>
      </c>
      <c r="B3497" s="1" t="s">
        <v>20</v>
      </c>
      <c r="C3497">
        <v>80</v>
      </c>
      <c r="D3497">
        <v>19</v>
      </c>
      <c r="E3497">
        <v>15</v>
      </c>
      <c r="F3497">
        <v>421</v>
      </c>
      <c r="G3497" s="3">
        <f t="shared" si="162"/>
        <v>62</v>
      </c>
      <c r="H3497" s="4">
        <f t="shared" si="163"/>
        <v>0.14726840855106893</v>
      </c>
      <c r="I3497" s="1">
        <f t="shared" si="164"/>
        <v>4</v>
      </c>
    </row>
    <row r="3498" spans="1:9" hidden="1" x14ac:dyDescent="0.2">
      <c r="A3498" s="6">
        <v>43915.708333333336</v>
      </c>
      <c r="B3498" s="1" t="s">
        <v>20</v>
      </c>
      <c r="C3498">
        <v>82</v>
      </c>
      <c r="D3498">
        <v>19</v>
      </c>
      <c r="E3498">
        <v>18</v>
      </c>
      <c r="F3498">
        <v>442</v>
      </c>
      <c r="G3498" s="3">
        <f t="shared" si="162"/>
        <v>21</v>
      </c>
      <c r="H3498" s="4">
        <f t="shared" si="163"/>
        <v>4.7511312217194623E-2</v>
      </c>
      <c r="I3498" s="1">
        <f t="shared" si="164"/>
        <v>3</v>
      </c>
    </row>
    <row r="3499" spans="1:9" hidden="1" x14ac:dyDescent="0.2">
      <c r="A3499" s="6">
        <v>43916.708333333336</v>
      </c>
      <c r="B3499" s="1" t="s">
        <v>20</v>
      </c>
      <c r="C3499">
        <v>92</v>
      </c>
      <c r="D3499">
        <v>20</v>
      </c>
      <c r="E3499">
        <v>19</v>
      </c>
      <c r="F3499">
        <v>494</v>
      </c>
      <c r="G3499" s="3">
        <f t="shared" si="162"/>
        <v>52</v>
      </c>
      <c r="H3499" s="4">
        <f t="shared" si="163"/>
        <v>0.10526315789473684</v>
      </c>
      <c r="I3499" s="1">
        <f t="shared" si="164"/>
        <v>1</v>
      </c>
    </row>
    <row r="3500" spans="1:9" hidden="1" x14ac:dyDescent="0.2">
      <c r="A3500" s="6">
        <v>43917.708333333336</v>
      </c>
      <c r="B3500" s="1" t="s">
        <v>20</v>
      </c>
      <c r="C3500">
        <v>93</v>
      </c>
      <c r="D3500">
        <v>19</v>
      </c>
      <c r="E3500">
        <v>21</v>
      </c>
      <c r="F3500">
        <v>530</v>
      </c>
      <c r="G3500" s="3">
        <f t="shared" si="162"/>
        <v>36</v>
      </c>
      <c r="H3500" s="4">
        <f t="shared" si="163"/>
        <v>6.7924528301886777E-2</v>
      </c>
      <c r="I3500" s="1">
        <f t="shared" si="164"/>
        <v>2</v>
      </c>
    </row>
    <row r="3501" spans="1:9" hidden="1" x14ac:dyDescent="0.2">
      <c r="A3501" s="6">
        <v>43918.708333333336</v>
      </c>
      <c r="B3501" s="1" t="s">
        <v>20</v>
      </c>
      <c r="C3501">
        <v>95</v>
      </c>
      <c r="D3501">
        <v>22</v>
      </c>
      <c r="E3501">
        <v>26</v>
      </c>
      <c r="F3501">
        <v>624</v>
      </c>
      <c r="G3501" s="3">
        <f t="shared" si="162"/>
        <v>94</v>
      </c>
      <c r="H3501" s="4">
        <f t="shared" si="163"/>
        <v>0.15064102564102566</v>
      </c>
      <c r="I3501" s="1">
        <f t="shared" si="164"/>
        <v>5</v>
      </c>
    </row>
    <row r="3502" spans="1:9" hidden="1" x14ac:dyDescent="0.2">
      <c r="A3502" s="6">
        <v>43919.708333333336</v>
      </c>
      <c r="B3502" s="1" t="s">
        <v>20</v>
      </c>
      <c r="C3502">
        <v>105</v>
      </c>
      <c r="D3502">
        <v>23</v>
      </c>
      <c r="E3502">
        <v>27</v>
      </c>
      <c r="F3502">
        <v>638</v>
      </c>
      <c r="G3502" s="3">
        <f t="shared" si="162"/>
        <v>14</v>
      </c>
      <c r="H3502" s="4">
        <f t="shared" si="163"/>
        <v>2.1943573667711602E-2</v>
      </c>
      <c r="I3502" s="1">
        <f t="shared" si="164"/>
        <v>1</v>
      </c>
    </row>
    <row r="3503" spans="1:9" hidden="1" x14ac:dyDescent="0.2">
      <c r="A3503" s="6">
        <v>43920.708333333336</v>
      </c>
      <c r="B3503" s="1" t="s">
        <v>20</v>
      </c>
      <c r="C3503">
        <v>113</v>
      </c>
      <c r="D3503">
        <v>24</v>
      </c>
      <c r="E3503">
        <v>28</v>
      </c>
      <c r="F3503">
        <v>682</v>
      </c>
      <c r="G3503" s="3">
        <f t="shared" si="162"/>
        <v>44</v>
      </c>
      <c r="H3503" s="4">
        <f t="shared" si="163"/>
        <v>6.4516129032258118E-2</v>
      </c>
      <c r="I3503" s="1">
        <f t="shared" si="164"/>
        <v>1</v>
      </c>
    </row>
    <row r="3504" spans="1:9" hidden="1" x14ac:dyDescent="0.2">
      <c r="A3504" s="6">
        <v>43921.708333333336</v>
      </c>
      <c r="B3504" s="1" t="s">
        <v>20</v>
      </c>
      <c r="C3504">
        <v>113</v>
      </c>
      <c r="D3504">
        <v>28</v>
      </c>
      <c r="E3504">
        <v>31</v>
      </c>
      <c r="F3504">
        <v>722</v>
      </c>
      <c r="G3504" s="3">
        <f t="shared" si="162"/>
        <v>40</v>
      </c>
      <c r="H3504" s="4">
        <f t="shared" si="163"/>
        <v>5.5401662049861522E-2</v>
      </c>
      <c r="I3504" s="1">
        <f t="shared" si="164"/>
        <v>3</v>
      </c>
    </row>
    <row r="3505" spans="1:9" hidden="1" x14ac:dyDescent="0.2">
      <c r="A3505" s="6">
        <v>43922.708333333336</v>
      </c>
      <c r="B3505" s="1" t="s">
        <v>20</v>
      </c>
      <c r="C3505">
        <v>119</v>
      </c>
      <c r="D3505">
        <v>27</v>
      </c>
      <c r="E3505">
        <v>34</v>
      </c>
      <c r="F3505">
        <v>745</v>
      </c>
      <c r="G3505" s="3">
        <f t="shared" si="162"/>
        <v>23</v>
      </c>
      <c r="H3505" s="4">
        <f t="shared" si="163"/>
        <v>3.087248322147651E-2</v>
      </c>
      <c r="I3505" s="1">
        <f t="shared" si="164"/>
        <v>3</v>
      </c>
    </row>
    <row r="3506" spans="1:9" hidden="1" x14ac:dyDescent="0.2">
      <c r="A3506" s="6">
        <v>43923.708333333336</v>
      </c>
      <c r="B3506" s="1" t="s">
        <v>20</v>
      </c>
      <c r="C3506">
        <v>117</v>
      </c>
      <c r="D3506">
        <v>24</v>
      </c>
      <c r="E3506">
        <v>40</v>
      </c>
      <c r="F3506">
        <v>794</v>
      </c>
      <c r="G3506" s="3">
        <f t="shared" si="162"/>
        <v>49</v>
      </c>
      <c r="H3506" s="4">
        <f t="shared" si="163"/>
        <v>6.1712846347607098E-2</v>
      </c>
      <c r="I3506" s="1">
        <f t="shared" si="164"/>
        <v>6</v>
      </c>
    </row>
    <row r="3507" spans="1:9" hidden="1" x14ac:dyDescent="0.2">
      <c r="A3507" s="6">
        <v>43924.708333333336</v>
      </c>
      <c r="B3507" s="1" t="s">
        <v>20</v>
      </c>
      <c r="C3507">
        <v>122</v>
      </c>
      <c r="D3507">
        <v>24</v>
      </c>
      <c r="E3507">
        <v>41</v>
      </c>
      <c r="F3507">
        <v>825</v>
      </c>
      <c r="G3507" s="3">
        <f t="shared" si="162"/>
        <v>31</v>
      </c>
      <c r="H3507" s="4">
        <f t="shared" si="163"/>
        <v>3.7575757575757596E-2</v>
      </c>
      <c r="I3507" s="1">
        <f t="shared" si="164"/>
        <v>1</v>
      </c>
    </row>
    <row r="3508" spans="1:9" hidden="1" x14ac:dyDescent="0.2">
      <c r="A3508" s="6">
        <v>43925.708333333336</v>
      </c>
      <c r="B3508" s="1" t="s">
        <v>20</v>
      </c>
      <c r="C3508">
        <v>123</v>
      </c>
      <c r="D3508">
        <v>24</v>
      </c>
      <c r="E3508">
        <v>41</v>
      </c>
      <c r="F3508">
        <v>874</v>
      </c>
      <c r="G3508" s="3">
        <f t="shared" si="162"/>
        <v>49</v>
      </c>
      <c r="H3508" s="4">
        <f t="shared" si="163"/>
        <v>5.6064073226544608E-2</v>
      </c>
      <c r="I3508" s="1">
        <f t="shared" si="164"/>
        <v>0</v>
      </c>
    </row>
    <row r="3509" spans="1:9" hidden="1" x14ac:dyDescent="0.2">
      <c r="A3509" s="6">
        <v>43926.708333333336</v>
      </c>
      <c r="B3509" s="1" t="s">
        <v>20</v>
      </c>
      <c r="C3509">
        <v>126</v>
      </c>
      <c r="D3509">
        <v>25</v>
      </c>
      <c r="E3509">
        <v>43</v>
      </c>
      <c r="F3509">
        <v>907</v>
      </c>
      <c r="G3509" s="3">
        <f t="shared" si="162"/>
        <v>33</v>
      </c>
      <c r="H3509" s="4">
        <f t="shared" si="163"/>
        <v>3.6383682469680267E-2</v>
      </c>
      <c r="I3509" s="1">
        <f t="shared" si="164"/>
        <v>2</v>
      </c>
    </row>
    <row r="3510" spans="1:9" hidden="1" x14ac:dyDescent="0.2">
      <c r="A3510" s="6">
        <v>43927.708333333336</v>
      </c>
      <c r="B3510" s="1" t="s">
        <v>20</v>
      </c>
      <c r="C3510">
        <v>123</v>
      </c>
      <c r="D3510">
        <v>26</v>
      </c>
      <c r="E3510">
        <v>47</v>
      </c>
      <c r="F3510">
        <v>922</v>
      </c>
      <c r="G3510" s="3">
        <f t="shared" si="162"/>
        <v>15</v>
      </c>
      <c r="H3510" s="4">
        <f t="shared" si="163"/>
        <v>1.6268980477223471E-2</v>
      </c>
      <c r="I3510" s="1">
        <f t="shared" si="164"/>
        <v>4</v>
      </c>
    </row>
    <row r="3511" spans="1:9" hidden="1" x14ac:dyDescent="0.2">
      <c r="A3511" s="6">
        <v>43928.708333333336</v>
      </c>
      <c r="B3511" s="1" t="s">
        <v>20</v>
      </c>
      <c r="C3511">
        <v>122</v>
      </c>
      <c r="D3511">
        <v>26</v>
      </c>
      <c r="E3511">
        <v>52</v>
      </c>
      <c r="F3511">
        <v>935</v>
      </c>
      <c r="G3511" s="3">
        <f t="shared" si="162"/>
        <v>13</v>
      </c>
      <c r="H3511" s="4">
        <f t="shared" si="163"/>
        <v>1.3903743315508033E-2</v>
      </c>
      <c r="I3511" s="1">
        <f t="shared" si="164"/>
        <v>5</v>
      </c>
    </row>
    <row r="3512" spans="1:9" hidden="1" x14ac:dyDescent="0.2">
      <c r="A3512" s="6">
        <v>43929.708333333336</v>
      </c>
      <c r="B3512" s="1" t="s">
        <v>20</v>
      </c>
      <c r="C3512">
        <v>112</v>
      </c>
      <c r="D3512">
        <v>31</v>
      </c>
      <c r="E3512">
        <v>59</v>
      </c>
      <c r="F3512">
        <v>975</v>
      </c>
      <c r="G3512" s="3">
        <f t="shared" si="162"/>
        <v>40</v>
      </c>
      <c r="H3512" s="4">
        <f t="shared" si="163"/>
        <v>4.1025641025640991E-2</v>
      </c>
      <c r="I3512" s="1">
        <f t="shared" si="164"/>
        <v>7</v>
      </c>
    </row>
    <row r="3513" spans="1:9" hidden="1" x14ac:dyDescent="0.2">
      <c r="A3513" s="6">
        <v>43930.708333333336</v>
      </c>
      <c r="B3513" s="1" t="s">
        <v>20</v>
      </c>
      <c r="C3513">
        <v>106</v>
      </c>
      <c r="D3513">
        <v>25</v>
      </c>
      <c r="E3513">
        <v>64</v>
      </c>
      <c r="F3513">
        <v>1026</v>
      </c>
      <c r="G3513" s="3">
        <f t="shared" si="162"/>
        <v>51</v>
      </c>
      <c r="H3513" s="4">
        <f t="shared" si="163"/>
        <v>4.9707602339181256E-2</v>
      </c>
      <c r="I3513" s="1">
        <f t="shared" si="164"/>
        <v>5</v>
      </c>
    </row>
    <row r="3514" spans="1:9" hidden="1" x14ac:dyDescent="0.2">
      <c r="A3514" s="6">
        <v>43931.708333333336</v>
      </c>
      <c r="B3514" s="1" t="s">
        <v>20</v>
      </c>
      <c r="C3514">
        <v>107</v>
      </c>
      <c r="D3514">
        <v>26</v>
      </c>
      <c r="E3514">
        <v>69</v>
      </c>
      <c r="F3514">
        <v>1063</v>
      </c>
      <c r="G3514" s="3">
        <f t="shared" si="162"/>
        <v>37</v>
      </c>
      <c r="H3514" s="4">
        <f t="shared" si="163"/>
        <v>3.4807149576669749E-2</v>
      </c>
      <c r="I3514" s="1">
        <f t="shared" si="164"/>
        <v>5</v>
      </c>
    </row>
    <row r="3515" spans="1:9" hidden="1" x14ac:dyDescent="0.2">
      <c r="A3515" s="6">
        <v>43932.708333333336</v>
      </c>
      <c r="B3515" s="1" t="s">
        <v>20</v>
      </c>
      <c r="C3515">
        <v>113</v>
      </c>
      <c r="D3515">
        <v>24</v>
      </c>
      <c r="E3515">
        <v>73</v>
      </c>
      <c r="F3515">
        <v>1091</v>
      </c>
      <c r="G3515" s="3">
        <f t="shared" si="162"/>
        <v>28</v>
      </c>
      <c r="H3515" s="4">
        <f t="shared" si="163"/>
        <v>2.5664527956003713E-2</v>
      </c>
      <c r="I3515" s="1">
        <f t="shared" si="164"/>
        <v>4</v>
      </c>
    </row>
    <row r="3516" spans="1:9" hidden="1" x14ac:dyDescent="0.2">
      <c r="A3516" s="6">
        <v>43933.708333333336</v>
      </c>
      <c r="B3516" s="1" t="s">
        <v>20</v>
      </c>
      <c r="C3516">
        <v>109</v>
      </c>
      <c r="D3516">
        <v>26</v>
      </c>
      <c r="E3516">
        <v>73</v>
      </c>
      <c r="F3516">
        <v>1113</v>
      </c>
      <c r="G3516" s="3">
        <f t="shared" si="162"/>
        <v>22</v>
      </c>
      <c r="H3516" s="4">
        <f t="shared" si="163"/>
        <v>1.9766397124887702E-2</v>
      </c>
      <c r="I3516" s="1">
        <f t="shared" si="164"/>
        <v>0</v>
      </c>
    </row>
    <row r="3517" spans="1:9" hidden="1" x14ac:dyDescent="0.2">
      <c r="A3517" s="6">
        <v>43934.708333333336</v>
      </c>
      <c r="B3517" s="1" t="s">
        <v>20</v>
      </c>
      <c r="C3517">
        <v>107</v>
      </c>
      <c r="D3517">
        <v>27</v>
      </c>
      <c r="E3517">
        <v>75</v>
      </c>
      <c r="F3517">
        <v>1128</v>
      </c>
      <c r="G3517" s="3">
        <f t="shared" si="162"/>
        <v>15</v>
      </c>
      <c r="H3517" s="4">
        <f t="shared" si="163"/>
        <v>1.3297872340425565E-2</v>
      </c>
      <c r="I3517" s="1">
        <f t="shared" si="164"/>
        <v>2</v>
      </c>
    </row>
    <row r="3518" spans="1:9" hidden="1" x14ac:dyDescent="0.2">
      <c r="A3518" s="6">
        <v>43935.708333333336</v>
      </c>
      <c r="B3518" s="1" t="s">
        <v>20</v>
      </c>
      <c r="C3518">
        <v>107</v>
      </c>
      <c r="D3518">
        <v>24</v>
      </c>
      <c r="E3518">
        <v>80</v>
      </c>
      <c r="F3518">
        <v>1138</v>
      </c>
      <c r="G3518" s="3">
        <f t="shared" si="162"/>
        <v>10</v>
      </c>
      <c r="H3518" s="4">
        <f t="shared" si="163"/>
        <v>8.7873462214411724E-3</v>
      </c>
      <c r="I3518" s="1">
        <f t="shared" si="164"/>
        <v>5</v>
      </c>
    </row>
    <row r="3519" spans="1:9" hidden="1" x14ac:dyDescent="0.2">
      <c r="A3519" s="6">
        <v>43936.708333333336</v>
      </c>
      <c r="B3519" s="1" t="s">
        <v>20</v>
      </c>
      <c r="C3519">
        <v>107</v>
      </c>
      <c r="D3519">
        <v>26</v>
      </c>
      <c r="E3519">
        <v>83</v>
      </c>
      <c r="F3519">
        <v>1161</v>
      </c>
      <c r="G3519" s="3">
        <f t="shared" si="162"/>
        <v>23</v>
      </c>
      <c r="H3519" s="4">
        <f t="shared" si="163"/>
        <v>1.9810508182601216E-2</v>
      </c>
      <c r="I3519" s="1">
        <f t="shared" si="164"/>
        <v>3</v>
      </c>
    </row>
    <row r="3520" spans="1:9" hidden="1" x14ac:dyDescent="0.2">
      <c r="A3520" s="6">
        <v>43937.708333333336</v>
      </c>
      <c r="B3520" s="1" t="s">
        <v>20</v>
      </c>
      <c r="C3520">
        <v>109</v>
      </c>
      <c r="D3520">
        <v>24</v>
      </c>
      <c r="E3520">
        <v>85</v>
      </c>
      <c r="F3520">
        <v>1164</v>
      </c>
      <c r="G3520" s="3">
        <f t="shared" si="162"/>
        <v>3</v>
      </c>
      <c r="H3520" s="4">
        <f t="shared" si="163"/>
        <v>2.5773195876288568E-3</v>
      </c>
      <c r="I3520" s="1">
        <f t="shared" si="164"/>
        <v>2</v>
      </c>
    </row>
    <row r="3521" spans="1:9" hidden="1" x14ac:dyDescent="0.2">
      <c r="A3521" s="6">
        <v>43938.708333333336</v>
      </c>
      <c r="B3521" s="1" t="s">
        <v>20</v>
      </c>
      <c r="C3521">
        <v>113</v>
      </c>
      <c r="D3521">
        <v>23</v>
      </c>
      <c r="E3521">
        <v>86</v>
      </c>
      <c r="F3521">
        <v>1178</v>
      </c>
      <c r="G3521" s="3">
        <f t="shared" si="162"/>
        <v>14</v>
      </c>
      <c r="H3521" s="4">
        <f t="shared" si="163"/>
        <v>1.1884550084889645E-2</v>
      </c>
      <c r="I3521" s="1">
        <f t="shared" si="164"/>
        <v>1</v>
      </c>
    </row>
    <row r="3522" spans="1:9" hidden="1" x14ac:dyDescent="0.2">
      <c r="A3522" s="6">
        <v>43939.708333333336</v>
      </c>
      <c r="B3522" s="1" t="s">
        <v>20</v>
      </c>
      <c r="C3522">
        <v>112</v>
      </c>
      <c r="D3522">
        <v>23</v>
      </c>
      <c r="E3522">
        <v>86</v>
      </c>
      <c r="F3522">
        <v>1198</v>
      </c>
      <c r="G3522" s="3">
        <f t="shared" si="162"/>
        <v>20</v>
      </c>
      <c r="H3522" s="4">
        <f t="shared" si="163"/>
        <v>1.6694490818030094E-2</v>
      </c>
      <c r="I3522" s="1">
        <f t="shared" si="164"/>
        <v>0</v>
      </c>
    </row>
    <row r="3523" spans="1:9" hidden="1" x14ac:dyDescent="0.2">
      <c r="A3523" s="6">
        <v>43940.708333333336</v>
      </c>
      <c r="B3523" s="1" t="s">
        <v>20</v>
      </c>
      <c r="C3523">
        <v>117</v>
      </c>
      <c r="D3523">
        <v>22</v>
      </c>
      <c r="E3523">
        <v>86</v>
      </c>
      <c r="F3523">
        <v>1215</v>
      </c>
      <c r="G3523" s="3">
        <f t="shared" ref="G3523:G3586" si="165">IF(AND(F3523&gt;0,AND(B3523=B3522,F3523&gt;0)),F3523-F3522,0)</f>
        <v>17</v>
      </c>
      <c r="H3523" s="4">
        <f t="shared" ref="H3523:H3586" si="166">IF(AND(F3522&gt;0,AND(B3523=B3522,F3522&gt;0)),1-(F3522/F3523),0)</f>
        <v>1.3991769547325061E-2</v>
      </c>
      <c r="I3523" s="1">
        <f t="shared" ref="I3523:I3586" si="167">IF(AND(E3523&gt;0,AND(B3523=B3522,E3523&gt;0)),E3523-E3522,0)</f>
        <v>0</v>
      </c>
    </row>
    <row r="3524" spans="1:9" hidden="1" x14ac:dyDescent="0.2">
      <c r="A3524" s="6">
        <v>43941.708333333336</v>
      </c>
      <c r="B3524" s="1" t="s">
        <v>20</v>
      </c>
      <c r="C3524">
        <v>115</v>
      </c>
      <c r="D3524">
        <v>21</v>
      </c>
      <c r="E3524">
        <v>86</v>
      </c>
      <c r="F3524">
        <v>1228</v>
      </c>
      <c r="G3524" s="3">
        <f t="shared" si="165"/>
        <v>13</v>
      </c>
      <c r="H3524" s="4">
        <f t="shared" si="166"/>
        <v>1.0586319218241047E-2</v>
      </c>
      <c r="I3524" s="1">
        <f t="shared" si="167"/>
        <v>0</v>
      </c>
    </row>
    <row r="3525" spans="1:9" hidden="1" x14ac:dyDescent="0.2">
      <c r="A3525" s="6">
        <v>43942.708333333336</v>
      </c>
      <c r="B3525" s="1" t="s">
        <v>20</v>
      </c>
      <c r="C3525">
        <v>112</v>
      </c>
      <c r="D3525">
        <v>21</v>
      </c>
      <c r="E3525">
        <v>93</v>
      </c>
      <c r="F3525">
        <v>1236</v>
      </c>
      <c r="G3525" s="3">
        <f t="shared" si="165"/>
        <v>8</v>
      </c>
      <c r="H3525" s="4">
        <f t="shared" si="166"/>
        <v>6.4724919093851474E-3</v>
      </c>
      <c r="I3525" s="1">
        <f t="shared" si="167"/>
        <v>7</v>
      </c>
    </row>
    <row r="3526" spans="1:9" hidden="1" x14ac:dyDescent="0.2">
      <c r="A3526" s="6">
        <v>43943.708333333336</v>
      </c>
      <c r="B3526" s="1" t="s">
        <v>20</v>
      </c>
      <c r="C3526">
        <v>97</v>
      </c>
      <c r="D3526">
        <v>20</v>
      </c>
      <c r="E3526">
        <v>96</v>
      </c>
      <c r="F3526">
        <v>1247</v>
      </c>
      <c r="G3526" s="3">
        <f t="shared" si="165"/>
        <v>11</v>
      </c>
      <c r="H3526" s="4">
        <f t="shared" si="166"/>
        <v>8.8211708099438235E-3</v>
      </c>
      <c r="I3526" s="1">
        <f t="shared" si="167"/>
        <v>3</v>
      </c>
    </row>
    <row r="3527" spans="1:9" hidden="1" x14ac:dyDescent="0.2">
      <c r="A3527" s="6">
        <v>43944.708333333336</v>
      </c>
      <c r="B3527" s="1" t="s">
        <v>20</v>
      </c>
      <c r="C3527">
        <v>90</v>
      </c>
      <c r="D3527">
        <v>20</v>
      </c>
      <c r="E3527">
        <v>98</v>
      </c>
      <c r="F3527">
        <v>1254</v>
      </c>
      <c r="G3527" s="3">
        <f t="shared" si="165"/>
        <v>7</v>
      </c>
      <c r="H3527" s="4">
        <f t="shared" si="166"/>
        <v>5.5821371610845771E-3</v>
      </c>
      <c r="I3527" s="1">
        <f t="shared" si="167"/>
        <v>2</v>
      </c>
    </row>
    <row r="3528" spans="1:9" hidden="1" x14ac:dyDescent="0.2">
      <c r="A3528" s="6">
        <v>43945.708333333336</v>
      </c>
      <c r="B3528" s="1" t="s">
        <v>20</v>
      </c>
      <c r="C3528">
        <v>95</v>
      </c>
      <c r="D3528">
        <v>19</v>
      </c>
      <c r="E3528">
        <v>102</v>
      </c>
      <c r="F3528">
        <v>1257</v>
      </c>
      <c r="G3528" s="3">
        <f t="shared" si="165"/>
        <v>3</v>
      </c>
      <c r="H3528" s="4">
        <f t="shared" si="166"/>
        <v>2.3866348448687846E-3</v>
      </c>
      <c r="I3528" s="1">
        <f t="shared" si="167"/>
        <v>4</v>
      </c>
    </row>
    <row r="3529" spans="1:9" hidden="1" x14ac:dyDescent="0.2">
      <c r="A3529" s="6">
        <v>43946.708333333336</v>
      </c>
      <c r="B3529" s="1" t="s">
        <v>20</v>
      </c>
      <c r="C3529">
        <v>96</v>
      </c>
      <c r="D3529">
        <v>18</v>
      </c>
      <c r="E3529">
        <v>103</v>
      </c>
      <c r="F3529">
        <v>1271</v>
      </c>
      <c r="G3529" s="3">
        <f t="shared" si="165"/>
        <v>14</v>
      </c>
      <c r="H3529" s="4">
        <f t="shared" si="166"/>
        <v>1.1014948859165985E-2</v>
      </c>
      <c r="I3529" s="1">
        <f t="shared" si="167"/>
        <v>1</v>
      </c>
    </row>
    <row r="3530" spans="1:9" hidden="1" x14ac:dyDescent="0.2">
      <c r="A3530" s="6">
        <v>43947.708333333336</v>
      </c>
      <c r="B3530" s="1" t="s">
        <v>20</v>
      </c>
      <c r="C3530">
        <v>95</v>
      </c>
      <c r="D3530">
        <v>20</v>
      </c>
      <c r="E3530">
        <v>109</v>
      </c>
      <c r="F3530">
        <v>1280</v>
      </c>
      <c r="G3530" s="3">
        <f t="shared" si="165"/>
        <v>9</v>
      </c>
      <c r="H3530" s="4">
        <f t="shared" si="166"/>
        <v>7.0312500000000444E-3</v>
      </c>
      <c r="I3530" s="1">
        <f t="shared" si="167"/>
        <v>6</v>
      </c>
    </row>
    <row r="3531" spans="1:9" hidden="1" x14ac:dyDescent="0.2">
      <c r="A3531" s="6">
        <v>43948.708333333336</v>
      </c>
      <c r="B3531" s="1" t="s">
        <v>20</v>
      </c>
      <c r="C3531">
        <v>97</v>
      </c>
      <c r="D3531">
        <v>19</v>
      </c>
      <c r="E3531">
        <v>109</v>
      </c>
      <c r="F3531">
        <v>1283</v>
      </c>
      <c r="G3531" s="3">
        <f t="shared" si="165"/>
        <v>3</v>
      </c>
      <c r="H3531" s="4">
        <f t="shared" si="166"/>
        <v>2.3382696804364889E-3</v>
      </c>
      <c r="I3531" s="1">
        <f t="shared" si="167"/>
        <v>0</v>
      </c>
    </row>
    <row r="3532" spans="1:9" hidden="1" x14ac:dyDescent="0.2">
      <c r="A3532" s="6">
        <v>43949.708333333336</v>
      </c>
      <c r="B3532" s="1" t="s">
        <v>20</v>
      </c>
      <c r="C3532">
        <v>96</v>
      </c>
      <c r="D3532">
        <v>18</v>
      </c>
      <c r="E3532">
        <v>109</v>
      </c>
      <c r="F3532">
        <v>1285</v>
      </c>
      <c r="G3532" s="3">
        <f t="shared" si="165"/>
        <v>2</v>
      </c>
      <c r="H3532" s="4">
        <f t="shared" si="166"/>
        <v>1.5564202334630295E-3</v>
      </c>
      <c r="I3532" s="1">
        <f t="shared" si="167"/>
        <v>0</v>
      </c>
    </row>
    <row r="3533" spans="1:9" hidden="1" x14ac:dyDescent="0.2">
      <c r="A3533" s="6">
        <v>43950.708333333336</v>
      </c>
      <c r="B3533" s="1" t="s">
        <v>20</v>
      </c>
      <c r="C3533">
        <v>87</v>
      </c>
      <c r="D3533">
        <v>17</v>
      </c>
      <c r="E3533">
        <v>116</v>
      </c>
      <c r="F3533">
        <v>1290</v>
      </c>
      <c r="G3533" s="3">
        <f t="shared" si="165"/>
        <v>5</v>
      </c>
      <c r="H3533" s="4">
        <f t="shared" si="166"/>
        <v>3.8759689922480689E-3</v>
      </c>
      <c r="I3533" s="1">
        <f t="shared" si="167"/>
        <v>7</v>
      </c>
    </row>
    <row r="3534" spans="1:9" hidden="1" x14ac:dyDescent="0.2">
      <c r="A3534" s="6">
        <v>43951.708333333336</v>
      </c>
      <c r="B3534" s="1" t="s">
        <v>20</v>
      </c>
      <c r="C3534">
        <v>87</v>
      </c>
      <c r="D3534">
        <v>16</v>
      </c>
      <c r="E3534">
        <v>116</v>
      </c>
      <c r="F3534">
        <v>1295</v>
      </c>
      <c r="G3534" s="3">
        <f t="shared" si="165"/>
        <v>5</v>
      </c>
      <c r="H3534" s="4">
        <f t="shared" si="166"/>
        <v>3.8610038610038533E-3</v>
      </c>
      <c r="I3534" s="1">
        <f t="shared" si="167"/>
        <v>0</v>
      </c>
    </row>
    <row r="3535" spans="1:9" hidden="1" x14ac:dyDescent="0.2">
      <c r="A3535" s="6">
        <v>43952.708333333336</v>
      </c>
      <c r="B3535" s="1" t="s">
        <v>20</v>
      </c>
      <c r="C3535">
        <v>84</v>
      </c>
      <c r="D3535">
        <v>12</v>
      </c>
      <c r="E3535">
        <v>117</v>
      </c>
      <c r="F3535">
        <v>1313</v>
      </c>
      <c r="G3535" s="3">
        <f t="shared" si="165"/>
        <v>18</v>
      </c>
      <c r="H3535" s="4">
        <f t="shared" si="166"/>
        <v>1.3709063214013661E-2</v>
      </c>
      <c r="I3535" s="1">
        <f t="shared" si="167"/>
        <v>1</v>
      </c>
    </row>
    <row r="3536" spans="1:9" hidden="1" x14ac:dyDescent="0.2">
      <c r="A3536" s="6">
        <v>43953.708333333336</v>
      </c>
      <c r="B3536" s="1" t="s">
        <v>20</v>
      </c>
      <c r="C3536">
        <v>86</v>
      </c>
      <c r="D3536">
        <v>13</v>
      </c>
      <c r="E3536">
        <v>119</v>
      </c>
      <c r="F3536">
        <v>1315</v>
      </c>
      <c r="G3536" s="3">
        <f t="shared" si="165"/>
        <v>2</v>
      </c>
      <c r="H3536" s="4">
        <f t="shared" si="166"/>
        <v>1.5209125475285079E-3</v>
      </c>
      <c r="I3536" s="1">
        <f t="shared" si="167"/>
        <v>2</v>
      </c>
    </row>
    <row r="3537" spans="1:9" hidden="1" x14ac:dyDescent="0.2">
      <c r="A3537" s="6">
        <v>43954.708333333336</v>
      </c>
      <c r="B3537" s="1" t="s">
        <v>20</v>
      </c>
      <c r="C3537">
        <v>92</v>
      </c>
      <c r="D3537">
        <v>10</v>
      </c>
      <c r="E3537">
        <v>119</v>
      </c>
      <c r="F3537">
        <v>1319</v>
      </c>
      <c r="G3537" s="3">
        <f t="shared" si="165"/>
        <v>4</v>
      </c>
      <c r="H3537" s="4">
        <f t="shared" si="166"/>
        <v>3.0326004548900665E-3</v>
      </c>
      <c r="I3537" s="1">
        <f t="shared" si="167"/>
        <v>0</v>
      </c>
    </row>
    <row r="3538" spans="1:9" hidden="1" x14ac:dyDescent="0.2">
      <c r="A3538" s="6">
        <v>43955.708333333336</v>
      </c>
      <c r="B3538" s="1" t="s">
        <v>20</v>
      </c>
      <c r="C3538">
        <v>91</v>
      </c>
      <c r="D3538">
        <v>9</v>
      </c>
      <c r="E3538">
        <v>119</v>
      </c>
      <c r="F3538">
        <v>1317</v>
      </c>
      <c r="G3538" s="3">
        <f t="shared" si="165"/>
        <v>-2</v>
      </c>
      <c r="H3538" s="4">
        <f t="shared" si="166"/>
        <v>-1.5186028853455547E-3</v>
      </c>
      <c r="I3538" s="1">
        <f t="shared" si="167"/>
        <v>0</v>
      </c>
    </row>
    <row r="3539" spans="1:9" hidden="1" x14ac:dyDescent="0.2">
      <c r="A3539" s="6">
        <v>43956.708333333336</v>
      </c>
      <c r="B3539" s="1" t="s">
        <v>20</v>
      </c>
      <c r="C3539">
        <v>94</v>
      </c>
      <c r="D3539">
        <v>9</v>
      </c>
      <c r="E3539">
        <v>119</v>
      </c>
      <c r="F3539">
        <v>1318</v>
      </c>
      <c r="G3539" s="3">
        <f t="shared" si="165"/>
        <v>1</v>
      </c>
      <c r="H3539" s="4">
        <f t="shared" si="166"/>
        <v>7.587253414264028E-4</v>
      </c>
      <c r="I3539" s="1">
        <f t="shared" si="167"/>
        <v>0</v>
      </c>
    </row>
    <row r="3540" spans="1:9" hidden="1" x14ac:dyDescent="0.2">
      <c r="A3540" s="6">
        <v>43957.708333333336</v>
      </c>
      <c r="B3540" s="1" t="s">
        <v>20</v>
      </c>
      <c r="C3540">
        <v>91</v>
      </c>
      <c r="D3540">
        <v>11</v>
      </c>
      <c r="E3540">
        <v>119</v>
      </c>
      <c r="F3540">
        <v>1319</v>
      </c>
      <c r="G3540" s="3">
        <f t="shared" si="165"/>
        <v>1</v>
      </c>
      <c r="H3540" s="4">
        <f t="shared" si="166"/>
        <v>7.5815011372248886E-4</v>
      </c>
      <c r="I3540" s="1">
        <f t="shared" si="167"/>
        <v>0</v>
      </c>
    </row>
    <row r="3541" spans="1:9" hidden="1" x14ac:dyDescent="0.2">
      <c r="A3541" s="6">
        <v>43958.708333333336</v>
      </c>
      <c r="B3541" s="1" t="s">
        <v>20</v>
      </c>
      <c r="C3541">
        <v>90</v>
      </c>
      <c r="D3541">
        <v>9</v>
      </c>
      <c r="E3541">
        <v>119</v>
      </c>
      <c r="F3541">
        <v>1324</v>
      </c>
      <c r="G3541" s="3">
        <f t="shared" si="165"/>
        <v>5</v>
      </c>
      <c r="H3541" s="4">
        <f t="shared" si="166"/>
        <v>3.7764350453172169E-3</v>
      </c>
      <c r="I3541" s="1">
        <f t="shared" si="167"/>
        <v>0</v>
      </c>
    </row>
    <row r="3542" spans="1:9" hidden="1" x14ac:dyDescent="0.2">
      <c r="A3542" s="6">
        <v>43959.708333333336</v>
      </c>
      <c r="B3542" s="1" t="s">
        <v>20</v>
      </c>
      <c r="C3542">
        <v>90</v>
      </c>
      <c r="D3542">
        <v>10</v>
      </c>
      <c r="E3542">
        <v>119</v>
      </c>
      <c r="F3542">
        <v>1330</v>
      </c>
      <c r="G3542" s="3">
        <f t="shared" si="165"/>
        <v>6</v>
      </c>
      <c r="H3542" s="4">
        <f t="shared" si="166"/>
        <v>4.5112781954886882E-3</v>
      </c>
      <c r="I3542" s="1">
        <f t="shared" si="167"/>
        <v>0</v>
      </c>
    </row>
    <row r="3543" spans="1:9" hidden="1" x14ac:dyDescent="0.2">
      <c r="A3543" s="6">
        <v>43960.708333333336</v>
      </c>
      <c r="B3543" s="1" t="s">
        <v>20</v>
      </c>
      <c r="C3543">
        <v>87</v>
      </c>
      <c r="D3543">
        <v>11</v>
      </c>
      <c r="E3543">
        <v>119</v>
      </c>
      <c r="F3543">
        <v>1334</v>
      </c>
      <c r="G3543" s="3">
        <f t="shared" si="165"/>
        <v>4</v>
      </c>
      <c r="H3543" s="4">
        <f t="shared" si="166"/>
        <v>2.9985007496251548E-3</v>
      </c>
      <c r="I3543" s="1">
        <f t="shared" si="167"/>
        <v>0</v>
      </c>
    </row>
    <row r="3544" spans="1:9" hidden="1" x14ac:dyDescent="0.2">
      <c r="A3544" s="6">
        <v>43961.708333333336</v>
      </c>
      <c r="B3544" s="1" t="s">
        <v>20</v>
      </c>
      <c r="C3544">
        <v>83</v>
      </c>
      <c r="D3544">
        <v>10</v>
      </c>
      <c r="E3544">
        <v>120</v>
      </c>
      <c r="F3544">
        <v>1340</v>
      </c>
      <c r="G3544" s="3">
        <f t="shared" si="165"/>
        <v>6</v>
      </c>
      <c r="H3544" s="4">
        <f t="shared" si="166"/>
        <v>4.4776119402984982E-3</v>
      </c>
      <c r="I3544" s="1">
        <f t="shared" si="167"/>
        <v>1</v>
      </c>
    </row>
    <row r="3545" spans="1:9" hidden="1" x14ac:dyDescent="0.2">
      <c r="A3545" s="6">
        <v>43962.708333333336</v>
      </c>
      <c r="B3545" s="1" t="s">
        <v>20</v>
      </c>
      <c r="C3545">
        <v>84</v>
      </c>
      <c r="D3545">
        <v>10</v>
      </c>
      <c r="E3545">
        <v>120</v>
      </c>
      <c r="F3545">
        <v>1343</v>
      </c>
      <c r="G3545" s="3">
        <f t="shared" si="165"/>
        <v>3</v>
      </c>
      <c r="H3545" s="4">
        <f t="shared" si="166"/>
        <v>2.2338049143708627E-3</v>
      </c>
      <c r="I3545" s="1">
        <f t="shared" si="167"/>
        <v>0</v>
      </c>
    </row>
    <row r="3546" spans="1:9" hidden="1" x14ac:dyDescent="0.2">
      <c r="A3546" s="6">
        <v>43963.708333333336</v>
      </c>
      <c r="B3546" s="1" t="s">
        <v>20</v>
      </c>
      <c r="C3546">
        <v>77</v>
      </c>
      <c r="D3546">
        <v>11</v>
      </c>
      <c r="E3546">
        <v>120</v>
      </c>
      <c r="F3546">
        <v>1344</v>
      </c>
      <c r="G3546" s="3">
        <f t="shared" si="165"/>
        <v>1</v>
      </c>
      <c r="H3546" s="4">
        <f t="shared" si="166"/>
        <v>7.4404761904767192E-4</v>
      </c>
      <c r="I3546" s="1">
        <f t="shared" si="167"/>
        <v>0</v>
      </c>
    </row>
    <row r="3547" spans="1:9" hidden="1" x14ac:dyDescent="0.2">
      <c r="A3547" s="6">
        <v>43964.708333333336</v>
      </c>
      <c r="B3547" s="1" t="s">
        <v>20</v>
      </c>
      <c r="C3547">
        <v>78</v>
      </c>
      <c r="D3547">
        <v>10</v>
      </c>
      <c r="E3547">
        <v>120</v>
      </c>
      <c r="F3547">
        <v>1345</v>
      </c>
      <c r="G3547" s="3">
        <f t="shared" si="165"/>
        <v>1</v>
      </c>
      <c r="H3547" s="4">
        <f t="shared" si="166"/>
        <v>7.4349442379184616E-4</v>
      </c>
      <c r="I3547" s="1">
        <f t="shared" si="167"/>
        <v>0</v>
      </c>
    </row>
    <row r="3548" spans="1:9" hidden="1" x14ac:dyDescent="0.2">
      <c r="A3548" s="6">
        <v>43965.708333333336</v>
      </c>
      <c r="B3548" s="1" t="s">
        <v>20</v>
      </c>
      <c r="C3548">
        <v>76</v>
      </c>
      <c r="D3548">
        <v>10</v>
      </c>
      <c r="E3548">
        <v>125</v>
      </c>
      <c r="F3548">
        <v>1345</v>
      </c>
      <c r="G3548" s="3">
        <f t="shared" si="165"/>
        <v>0</v>
      </c>
      <c r="H3548" s="4">
        <f t="shared" si="166"/>
        <v>0</v>
      </c>
      <c r="I3548" s="1">
        <f t="shared" si="167"/>
        <v>5</v>
      </c>
    </row>
    <row r="3549" spans="1:9" hidden="1" x14ac:dyDescent="0.2">
      <c r="A3549" s="6">
        <v>43966.708333333336</v>
      </c>
      <c r="B3549" s="1" t="s">
        <v>20</v>
      </c>
      <c r="C3549">
        <v>75</v>
      </c>
      <c r="D3549">
        <v>10</v>
      </c>
      <c r="E3549">
        <v>125</v>
      </c>
      <c r="F3549">
        <v>1348</v>
      </c>
      <c r="G3549" s="3">
        <f t="shared" si="165"/>
        <v>3</v>
      </c>
      <c r="H3549" s="4">
        <f t="shared" si="166"/>
        <v>2.225519287833877E-3</v>
      </c>
      <c r="I3549" s="1">
        <f t="shared" si="167"/>
        <v>0</v>
      </c>
    </row>
    <row r="3550" spans="1:9" hidden="1" x14ac:dyDescent="0.2">
      <c r="A3550" s="6">
        <v>43967.708333333336</v>
      </c>
      <c r="B3550" s="1" t="s">
        <v>20</v>
      </c>
      <c r="C3550">
        <v>75</v>
      </c>
      <c r="D3550">
        <v>10</v>
      </c>
      <c r="E3550">
        <v>125</v>
      </c>
      <c r="F3550">
        <v>1352</v>
      </c>
      <c r="G3550" s="3">
        <f t="shared" si="165"/>
        <v>4</v>
      </c>
      <c r="H3550" s="4">
        <f t="shared" si="166"/>
        <v>2.9585798816568198E-3</v>
      </c>
      <c r="I3550" s="1">
        <f t="shared" si="167"/>
        <v>0</v>
      </c>
    </row>
    <row r="3551" spans="1:9" hidden="1" x14ac:dyDescent="0.2">
      <c r="A3551" s="6">
        <v>43968.708333333336</v>
      </c>
      <c r="B3551" s="1" t="s">
        <v>20</v>
      </c>
      <c r="C3551">
        <v>76</v>
      </c>
      <c r="D3551">
        <v>10</v>
      </c>
      <c r="E3551">
        <v>125</v>
      </c>
      <c r="F3551">
        <v>1353</v>
      </c>
      <c r="G3551" s="3">
        <f t="shared" si="165"/>
        <v>1</v>
      </c>
      <c r="H3551" s="4">
        <f t="shared" si="166"/>
        <v>7.3909830007390376E-4</v>
      </c>
      <c r="I3551" s="1">
        <f t="shared" si="167"/>
        <v>0</v>
      </c>
    </row>
    <row r="3552" spans="1:9" hidden="1" x14ac:dyDescent="0.2">
      <c r="A3552" s="6">
        <v>43969.708333333336</v>
      </c>
      <c r="B3552" s="1" t="s">
        <v>20</v>
      </c>
      <c r="C3552">
        <v>72</v>
      </c>
      <c r="D3552">
        <v>10</v>
      </c>
      <c r="E3552">
        <v>126</v>
      </c>
      <c r="F3552">
        <v>1353</v>
      </c>
      <c r="G3552" s="3">
        <f t="shared" si="165"/>
        <v>0</v>
      </c>
      <c r="H3552" s="4">
        <f t="shared" si="166"/>
        <v>0</v>
      </c>
      <c r="I3552" s="1">
        <f t="shared" si="167"/>
        <v>1</v>
      </c>
    </row>
    <row r="3553" spans="1:9" hidden="1" x14ac:dyDescent="0.2">
      <c r="A3553" s="6">
        <v>43970.708333333336</v>
      </c>
      <c r="B3553" s="1" t="s">
        <v>20</v>
      </c>
      <c r="C3553">
        <v>71</v>
      </c>
      <c r="D3553">
        <v>9</v>
      </c>
      <c r="E3553">
        <v>126</v>
      </c>
      <c r="F3553">
        <v>1354</v>
      </c>
      <c r="G3553" s="3">
        <f t="shared" si="165"/>
        <v>1</v>
      </c>
      <c r="H3553" s="4">
        <f t="shared" si="166"/>
        <v>7.3855243722309449E-4</v>
      </c>
      <c r="I3553" s="1">
        <f t="shared" si="167"/>
        <v>0</v>
      </c>
    </row>
    <row r="3554" spans="1:9" hidden="1" x14ac:dyDescent="0.2">
      <c r="A3554" s="6">
        <v>43971.708333333336</v>
      </c>
      <c r="B3554" s="1" t="s">
        <v>20</v>
      </c>
      <c r="C3554">
        <v>68</v>
      </c>
      <c r="D3554">
        <v>10</v>
      </c>
      <c r="E3554">
        <v>126</v>
      </c>
      <c r="F3554">
        <v>1355</v>
      </c>
      <c r="G3554" s="3">
        <f t="shared" si="165"/>
        <v>1</v>
      </c>
      <c r="H3554" s="4">
        <f t="shared" si="166"/>
        <v>7.3800738007379074E-4</v>
      </c>
      <c r="I3554" s="1">
        <f t="shared" si="167"/>
        <v>0</v>
      </c>
    </row>
    <row r="3555" spans="1:9" hidden="1" x14ac:dyDescent="0.2">
      <c r="A3555" s="6">
        <v>43972.708333333336</v>
      </c>
      <c r="B3555" s="1" t="s">
        <v>20</v>
      </c>
      <c r="C3555">
        <v>64</v>
      </c>
      <c r="D3555">
        <v>12</v>
      </c>
      <c r="E3555">
        <v>127</v>
      </c>
      <c r="F3555">
        <v>1356</v>
      </c>
      <c r="G3555" s="3">
        <f t="shared" si="165"/>
        <v>1</v>
      </c>
      <c r="H3555" s="4">
        <f t="shared" si="166"/>
        <v>7.3746312684364046E-4</v>
      </c>
      <c r="I3555" s="1">
        <f t="shared" si="167"/>
        <v>1</v>
      </c>
    </row>
    <row r="3556" spans="1:9" hidden="1" x14ac:dyDescent="0.2">
      <c r="A3556" s="6">
        <v>43973.708333333336</v>
      </c>
      <c r="B3556" s="1" t="s">
        <v>20</v>
      </c>
      <c r="C3556">
        <v>58</v>
      </c>
      <c r="D3556">
        <v>6</v>
      </c>
      <c r="E3556">
        <v>128</v>
      </c>
      <c r="F3556">
        <v>1356</v>
      </c>
      <c r="G3556" s="3">
        <f t="shared" si="165"/>
        <v>0</v>
      </c>
      <c r="H3556" s="4">
        <f t="shared" si="166"/>
        <v>0</v>
      </c>
      <c r="I3556" s="1">
        <f t="shared" si="167"/>
        <v>1</v>
      </c>
    </row>
    <row r="3557" spans="1:9" hidden="1" x14ac:dyDescent="0.2">
      <c r="A3557" s="6">
        <v>43974.708333333336</v>
      </c>
      <c r="B3557" s="1" t="s">
        <v>20</v>
      </c>
      <c r="C3557">
        <v>58</v>
      </c>
      <c r="D3557">
        <v>6</v>
      </c>
      <c r="E3557">
        <v>129</v>
      </c>
      <c r="F3557">
        <v>1356</v>
      </c>
      <c r="G3557" s="3">
        <f t="shared" si="165"/>
        <v>0</v>
      </c>
      <c r="H3557" s="4">
        <f t="shared" si="166"/>
        <v>0</v>
      </c>
      <c r="I3557" s="1">
        <f t="shared" si="167"/>
        <v>1</v>
      </c>
    </row>
    <row r="3558" spans="1:9" hidden="1" x14ac:dyDescent="0.2">
      <c r="A3558" s="6">
        <v>43975.708333333336</v>
      </c>
      <c r="B3558" s="1" t="s">
        <v>20</v>
      </c>
      <c r="C3558">
        <v>51</v>
      </c>
      <c r="D3558">
        <v>3</v>
      </c>
      <c r="E3558">
        <v>129</v>
      </c>
      <c r="F3558">
        <v>1356</v>
      </c>
      <c r="G3558" s="3">
        <f t="shared" si="165"/>
        <v>0</v>
      </c>
      <c r="H3558" s="4">
        <f t="shared" si="166"/>
        <v>0</v>
      </c>
      <c r="I3558" s="1">
        <f t="shared" si="167"/>
        <v>0</v>
      </c>
    </row>
    <row r="3559" spans="1:9" hidden="1" x14ac:dyDescent="0.2">
      <c r="A3559" s="6">
        <v>43976.708333333336</v>
      </c>
      <c r="B3559" s="1" t="s">
        <v>20</v>
      </c>
      <c r="C3559">
        <v>49</v>
      </c>
      <c r="D3559">
        <v>3</v>
      </c>
      <c r="E3559">
        <v>129</v>
      </c>
      <c r="F3559">
        <v>1354</v>
      </c>
      <c r="G3559" s="3">
        <f t="shared" si="165"/>
        <v>-2</v>
      </c>
      <c r="H3559" s="4">
        <f t="shared" si="166"/>
        <v>-1.477104874446189E-3</v>
      </c>
      <c r="I3559" s="1">
        <f t="shared" si="167"/>
        <v>0</v>
      </c>
    </row>
    <row r="3560" spans="1:9" hidden="1" x14ac:dyDescent="0.2">
      <c r="A3560" s="6">
        <v>43977.708333333336</v>
      </c>
      <c r="B3560" s="1" t="s">
        <v>20</v>
      </c>
      <c r="C3560">
        <v>41</v>
      </c>
      <c r="D3560">
        <v>2</v>
      </c>
      <c r="E3560">
        <v>130</v>
      </c>
      <c r="F3560">
        <v>1354</v>
      </c>
      <c r="G3560" s="3">
        <f t="shared" si="165"/>
        <v>0</v>
      </c>
      <c r="H3560" s="4">
        <f t="shared" si="166"/>
        <v>0</v>
      </c>
      <c r="I3560" s="1">
        <f t="shared" si="167"/>
        <v>1</v>
      </c>
    </row>
    <row r="3561" spans="1:9" hidden="1" x14ac:dyDescent="0.2">
      <c r="A3561" s="6">
        <v>43978.708333333336</v>
      </c>
      <c r="B3561" s="1" t="s">
        <v>20</v>
      </c>
      <c r="C3561">
        <v>41</v>
      </c>
      <c r="D3561">
        <v>2</v>
      </c>
      <c r="E3561">
        <v>130</v>
      </c>
      <c r="F3561">
        <v>1355</v>
      </c>
      <c r="G3561" s="3">
        <f t="shared" si="165"/>
        <v>1</v>
      </c>
      <c r="H3561" s="4">
        <f t="shared" si="166"/>
        <v>7.3800738007379074E-4</v>
      </c>
      <c r="I3561" s="1">
        <f t="shared" si="167"/>
        <v>0</v>
      </c>
    </row>
    <row r="3562" spans="1:9" hidden="1" x14ac:dyDescent="0.2">
      <c r="A3562" s="6">
        <v>43979.708333333336</v>
      </c>
      <c r="B3562" s="1" t="s">
        <v>20</v>
      </c>
      <c r="C3562">
        <v>38</v>
      </c>
      <c r="D3562">
        <v>2</v>
      </c>
      <c r="E3562">
        <v>130</v>
      </c>
      <c r="F3562">
        <v>1355</v>
      </c>
      <c r="G3562" s="3">
        <f t="shared" si="165"/>
        <v>0</v>
      </c>
      <c r="H3562" s="4">
        <f t="shared" si="166"/>
        <v>0</v>
      </c>
      <c r="I3562" s="1">
        <f t="shared" si="167"/>
        <v>0</v>
      </c>
    </row>
    <row r="3563" spans="1:9" hidden="1" x14ac:dyDescent="0.2">
      <c r="A3563" s="6">
        <v>43980.708333333336</v>
      </c>
      <c r="B3563" s="1" t="s">
        <v>20</v>
      </c>
      <c r="C3563">
        <v>37</v>
      </c>
      <c r="D3563">
        <v>2</v>
      </c>
      <c r="E3563">
        <v>130</v>
      </c>
      <c r="F3563">
        <v>1356</v>
      </c>
      <c r="G3563" s="3">
        <f t="shared" si="165"/>
        <v>1</v>
      </c>
      <c r="H3563" s="4">
        <f t="shared" si="166"/>
        <v>7.3746312684364046E-4</v>
      </c>
      <c r="I3563" s="1">
        <f t="shared" si="167"/>
        <v>0</v>
      </c>
    </row>
    <row r="3564" spans="1:9" hidden="1" x14ac:dyDescent="0.2">
      <c r="A3564" s="6">
        <v>43981.708333333336</v>
      </c>
      <c r="B3564" s="1" t="s">
        <v>20</v>
      </c>
      <c r="C3564">
        <v>34</v>
      </c>
      <c r="D3564">
        <v>2</v>
      </c>
      <c r="E3564">
        <v>130</v>
      </c>
      <c r="F3564">
        <v>1356</v>
      </c>
      <c r="G3564" s="3">
        <f t="shared" si="165"/>
        <v>0</v>
      </c>
      <c r="H3564" s="4">
        <f t="shared" si="166"/>
        <v>0</v>
      </c>
      <c r="I3564" s="1">
        <f t="shared" si="167"/>
        <v>0</v>
      </c>
    </row>
    <row r="3565" spans="1:9" hidden="1" x14ac:dyDescent="0.2">
      <c r="A3565" s="6">
        <v>43982.708333333336</v>
      </c>
      <c r="B3565" s="1" t="s">
        <v>20</v>
      </c>
      <c r="C3565">
        <v>33</v>
      </c>
      <c r="D3565">
        <v>2</v>
      </c>
      <c r="E3565">
        <v>130</v>
      </c>
      <c r="F3565">
        <v>1356</v>
      </c>
      <c r="G3565" s="3">
        <f t="shared" si="165"/>
        <v>0</v>
      </c>
      <c r="H3565" s="4">
        <f t="shared" si="166"/>
        <v>0</v>
      </c>
      <c r="I3565" s="1">
        <f t="shared" si="167"/>
        <v>0</v>
      </c>
    </row>
    <row r="3566" spans="1:9" hidden="1" x14ac:dyDescent="0.2">
      <c r="A3566" s="6">
        <v>43983.708333333336</v>
      </c>
      <c r="B3566" s="1" t="s">
        <v>20</v>
      </c>
      <c r="C3566">
        <v>23</v>
      </c>
      <c r="D3566">
        <v>1</v>
      </c>
      <c r="E3566">
        <v>131</v>
      </c>
      <c r="F3566">
        <v>1357</v>
      </c>
      <c r="G3566" s="3">
        <f t="shared" si="165"/>
        <v>1</v>
      </c>
      <c r="H3566" s="4">
        <f t="shared" si="166"/>
        <v>7.3691967575528761E-4</v>
      </c>
      <c r="I3566" s="1">
        <f t="shared" si="167"/>
        <v>1</v>
      </c>
    </row>
    <row r="3567" spans="1:9" hidden="1" x14ac:dyDescent="0.2">
      <c r="A3567" s="6">
        <v>43984.708333333336</v>
      </c>
      <c r="B3567" s="1" t="s">
        <v>20</v>
      </c>
      <c r="C3567">
        <v>21</v>
      </c>
      <c r="D3567">
        <v>1</v>
      </c>
      <c r="E3567">
        <v>131</v>
      </c>
      <c r="F3567">
        <v>1357</v>
      </c>
      <c r="G3567" s="3">
        <f t="shared" si="165"/>
        <v>0</v>
      </c>
      <c r="H3567" s="4">
        <f t="shared" si="166"/>
        <v>0</v>
      </c>
      <c r="I3567" s="1">
        <f t="shared" si="167"/>
        <v>0</v>
      </c>
    </row>
    <row r="3568" spans="1:9" hidden="1" x14ac:dyDescent="0.2">
      <c r="A3568" s="6">
        <v>43985.708333333336</v>
      </c>
      <c r="B3568" s="1" t="s">
        <v>20</v>
      </c>
      <c r="C3568">
        <v>12</v>
      </c>
      <c r="D3568">
        <v>1</v>
      </c>
      <c r="E3568">
        <v>131</v>
      </c>
      <c r="F3568">
        <v>1357</v>
      </c>
      <c r="G3568" s="3">
        <f t="shared" si="165"/>
        <v>0</v>
      </c>
      <c r="H3568" s="4">
        <f t="shared" si="166"/>
        <v>0</v>
      </c>
      <c r="I3568" s="1">
        <f t="shared" si="167"/>
        <v>0</v>
      </c>
    </row>
    <row r="3569" spans="1:9" hidden="1" x14ac:dyDescent="0.2">
      <c r="A3569" s="6">
        <v>43986.708333333336</v>
      </c>
      <c r="B3569" s="1" t="s">
        <v>20</v>
      </c>
      <c r="C3569">
        <v>12</v>
      </c>
      <c r="D3569">
        <v>1</v>
      </c>
      <c r="E3569">
        <v>131</v>
      </c>
      <c r="F3569">
        <v>1357</v>
      </c>
      <c r="G3569" s="3">
        <f t="shared" si="165"/>
        <v>0</v>
      </c>
      <c r="H3569" s="4">
        <f t="shared" si="166"/>
        <v>0</v>
      </c>
      <c r="I3569" s="1">
        <f t="shared" si="167"/>
        <v>0</v>
      </c>
    </row>
    <row r="3570" spans="1:9" hidden="1" x14ac:dyDescent="0.2">
      <c r="A3570" s="6">
        <v>43987.708333333336</v>
      </c>
      <c r="B3570" s="1" t="s">
        <v>20</v>
      </c>
      <c r="C3570">
        <v>11</v>
      </c>
      <c r="D3570">
        <v>0</v>
      </c>
      <c r="E3570">
        <v>131</v>
      </c>
      <c r="F3570">
        <v>1359</v>
      </c>
      <c r="G3570" s="3">
        <f t="shared" si="165"/>
        <v>2</v>
      </c>
      <c r="H3570" s="4">
        <f t="shared" si="166"/>
        <v>1.4716703458425018E-3</v>
      </c>
      <c r="I3570" s="1">
        <f t="shared" si="167"/>
        <v>0</v>
      </c>
    </row>
    <row r="3571" spans="1:9" hidden="1" x14ac:dyDescent="0.2">
      <c r="A3571" s="6">
        <v>43988.708333333336</v>
      </c>
      <c r="B3571" s="1" t="s">
        <v>20</v>
      </c>
      <c r="C3571">
        <v>10</v>
      </c>
      <c r="D3571">
        <v>1</v>
      </c>
      <c r="E3571">
        <v>131</v>
      </c>
      <c r="F3571">
        <v>1362</v>
      </c>
      <c r="G3571" s="3">
        <f t="shared" si="165"/>
        <v>3</v>
      </c>
      <c r="H3571" s="4">
        <f t="shared" si="166"/>
        <v>2.2026431718061845E-3</v>
      </c>
      <c r="I3571" s="1">
        <f t="shared" si="167"/>
        <v>0</v>
      </c>
    </row>
    <row r="3572" spans="1:9" hidden="1" x14ac:dyDescent="0.2">
      <c r="A3572" s="6">
        <v>43989.708333333336</v>
      </c>
      <c r="B3572" s="1" t="s">
        <v>20</v>
      </c>
      <c r="C3572">
        <v>10</v>
      </c>
      <c r="D3572">
        <v>1</v>
      </c>
      <c r="E3572">
        <v>131</v>
      </c>
      <c r="F3572">
        <v>1362</v>
      </c>
      <c r="G3572" s="3">
        <f t="shared" si="165"/>
        <v>0</v>
      </c>
      <c r="H3572" s="4">
        <f t="shared" si="166"/>
        <v>0</v>
      </c>
      <c r="I3572" s="1">
        <f t="shared" si="167"/>
        <v>0</v>
      </c>
    </row>
    <row r="3573" spans="1:9" hidden="1" x14ac:dyDescent="0.2">
      <c r="A3573" s="6">
        <v>43990.708333333336</v>
      </c>
      <c r="B3573" s="1" t="s">
        <v>20</v>
      </c>
      <c r="C3573">
        <v>9</v>
      </c>
      <c r="D3573">
        <v>1</v>
      </c>
      <c r="E3573">
        <v>131</v>
      </c>
      <c r="F3573">
        <v>1362</v>
      </c>
      <c r="G3573" s="3">
        <f t="shared" si="165"/>
        <v>0</v>
      </c>
      <c r="H3573" s="4">
        <f t="shared" si="166"/>
        <v>0</v>
      </c>
      <c r="I3573" s="1">
        <f t="shared" si="167"/>
        <v>0</v>
      </c>
    </row>
    <row r="3574" spans="1:9" hidden="1" x14ac:dyDescent="0.2">
      <c r="A3574" s="6">
        <v>43991.708333333336</v>
      </c>
      <c r="B3574" s="1" t="s">
        <v>20</v>
      </c>
      <c r="C3574">
        <v>9</v>
      </c>
      <c r="D3574">
        <v>1</v>
      </c>
      <c r="E3574">
        <v>131</v>
      </c>
      <c r="F3574">
        <v>1361</v>
      </c>
      <c r="G3574" s="3">
        <f t="shared" si="165"/>
        <v>-1</v>
      </c>
      <c r="H3574" s="4">
        <f t="shared" si="166"/>
        <v>-7.3475385745780386E-4</v>
      </c>
      <c r="I3574" s="1">
        <f t="shared" si="167"/>
        <v>0</v>
      </c>
    </row>
    <row r="3575" spans="1:9" hidden="1" x14ac:dyDescent="0.2">
      <c r="A3575" s="6">
        <v>43992.708333333336</v>
      </c>
      <c r="B3575" s="1" t="s">
        <v>20</v>
      </c>
      <c r="C3575">
        <v>9</v>
      </c>
      <c r="D3575">
        <v>1</v>
      </c>
      <c r="E3575">
        <v>131</v>
      </c>
      <c r="F3575">
        <v>1361</v>
      </c>
      <c r="G3575" s="3">
        <f t="shared" si="165"/>
        <v>0</v>
      </c>
      <c r="H3575" s="4">
        <f t="shared" si="166"/>
        <v>0</v>
      </c>
      <c r="I3575" s="1">
        <f t="shared" si="167"/>
        <v>0</v>
      </c>
    </row>
    <row r="3576" spans="1:9" hidden="1" x14ac:dyDescent="0.2">
      <c r="A3576" s="6">
        <v>43993.708333333336</v>
      </c>
      <c r="B3576" s="1" t="s">
        <v>20</v>
      </c>
      <c r="C3576">
        <v>10</v>
      </c>
      <c r="D3576">
        <v>1</v>
      </c>
      <c r="E3576">
        <v>131</v>
      </c>
      <c r="F3576">
        <v>1362</v>
      </c>
      <c r="G3576" s="3">
        <f t="shared" si="165"/>
        <v>1</v>
      </c>
      <c r="H3576" s="4">
        <f t="shared" si="166"/>
        <v>7.3421439060206151E-4</v>
      </c>
      <c r="I3576" s="1">
        <f t="shared" si="167"/>
        <v>0</v>
      </c>
    </row>
    <row r="3577" spans="1:9" hidden="1" x14ac:dyDescent="0.2">
      <c r="A3577" s="6">
        <v>43994.708333333336</v>
      </c>
      <c r="B3577" s="1" t="s">
        <v>20</v>
      </c>
      <c r="C3577">
        <v>10</v>
      </c>
      <c r="D3577">
        <v>1</v>
      </c>
      <c r="E3577">
        <v>131</v>
      </c>
      <c r="F3577">
        <v>1363</v>
      </c>
      <c r="G3577" s="3">
        <f t="shared" si="165"/>
        <v>1</v>
      </c>
      <c r="H3577" s="4">
        <f t="shared" si="166"/>
        <v>7.336757153337814E-4</v>
      </c>
      <c r="I3577" s="1">
        <f t="shared" si="167"/>
        <v>0</v>
      </c>
    </row>
    <row r="3578" spans="1:9" hidden="1" x14ac:dyDescent="0.2">
      <c r="A3578" s="6">
        <v>43995.708333333336</v>
      </c>
      <c r="B3578" s="1" t="s">
        <v>20</v>
      </c>
      <c r="C3578">
        <v>12</v>
      </c>
      <c r="D3578">
        <v>0</v>
      </c>
      <c r="E3578">
        <v>132</v>
      </c>
      <c r="F3578">
        <v>1363</v>
      </c>
      <c r="G3578" s="3">
        <f t="shared" si="165"/>
        <v>0</v>
      </c>
      <c r="H3578" s="4">
        <f t="shared" si="166"/>
        <v>0</v>
      </c>
      <c r="I3578" s="1">
        <f t="shared" si="167"/>
        <v>1</v>
      </c>
    </row>
    <row r="3579" spans="1:9" hidden="1" x14ac:dyDescent="0.2">
      <c r="A3579" s="6">
        <v>43996.708333333336</v>
      </c>
      <c r="B3579" s="1" t="s">
        <v>20</v>
      </c>
      <c r="C3579">
        <v>12</v>
      </c>
      <c r="D3579">
        <v>0</v>
      </c>
      <c r="E3579">
        <v>132</v>
      </c>
      <c r="F3579">
        <v>1363</v>
      </c>
      <c r="G3579" s="3">
        <f t="shared" si="165"/>
        <v>0</v>
      </c>
      <c r="H3579" s="4">
        <f t="shared" si="166"/>
        <v>0</v>
      </c>
      <c r="I3579" s="1">
        <f t="shared" si="167"/>
        <v>0</v>
      </c>
    </row>
    <row r="3580" spans="1:9" hidden="1" x14ac:dyDescent="0.2">
      <c r="A3580" s="6">
        <v>43997.708333333336</v>
      </c>
      <c r="B3580" s="1" t="s">
        <v>20</v>
      </c>
      <c r="C3580">
        <v>12</v>
      </c>
      <c r="D3580">
        <v>0</v>
      </c>
      <c r="E3580">
        <v>132</v>
      </c>
      <c r="F3580">
        <v>1363</v>
      </c>
      <c r="G3580" s="3">
        <f t="shared" si="165"/>
        <v>0</v>
      </c>
      <c r="H3580" s="4">
        <f t="shared" si="166"/>
        <v>0</v>
      </c>
      <c r="I3580" s="1">
        <f t="shared" si="167"/>
        <v>0</v>
      </c>
    </row>
    <row r="3581" spans="1:9" hidden="1" x14ac:dyDescent="0.2">
      <c r="A3581" s="6">
        <v>43998.708333333336</v>
      </c>
      <c r="B3581" s="1" t="s">
        <v>20</v>
      </c>
      <c r="C3581">
        <v>13</v>
      </c>
      <c r="D3581">
        <v>0</v>
      </c>
      <c r="E3581">
        <v>132</v>
      </c>
      <c r="F3581">
        <v>1365</v>
      </c>
      <c r="G3581" s="3">
        <f t="shared" si="165"/>
        <v>2</v>
      </c>
      <c r="H3581" s="4">
        <f t="shared" si="166"/>
        <v>1.46520146520146E-3</v>
      </c>
      <c r="I3581" s="1">
        <f t="shared" si="167"/>
        <v>0</v>
      </c>
    </row>
    <row r="3582" spans="1:9" hidden="1" x14ac:dyDescent="0.2">
      <c r="A3582" s="6">
        <v>43999.708333333336</v>
      </c>
      <c r="B3582" s="1" t="s">
        <v>20</v>
      </c>
      <c r="C3582">
        <v>11</v>
      </c>
      <c r="D3582">
        <v>0</v>
      </c>
      <c r="E3582">
        <v>132</v>
      </c>
      <c r="F3582">
        <v>1366</v>
      </c>
      <c r="G3582" s="3">
        <f t="shared" si="165"/>
        <v>1</v>
      </c>
      <c r="H3582" s="4">
        <f t="shared" si="166"/>
        <v>7.3206442166906527E-4</v>
      </c>
      <c r="I3582" s="1">
        <f t="shared" si="167"/>
        <v>0</v>
      </c>
    </row>
    <row r="3583" spans="1:9" hidden="1" x14ac:dyDescent="0.2">
      <c r="A3583" s="6">
        <v>44000.708333333336</v>
      </c>
      <c r="B3583" s="1" t="s">
        <v>20</v>
      </c>
      <c r="C3583">
        <v>10</v>
      </c>
      <c r="D3583">
        <v>0</v>
      </c>
      <c r="E3583">
        <v>132</v>
      </c>
      <c r="F3583">
        <v>1367</v>
      </c>
      <c r="G3583" s="3">
        <f t="shared" si="165"/>
        <v>1</v>
      </c>
      <c r="H3583" s="4">
        <f t="shared" si="166"/>
        <v>7.3152889539140897E-4</v>
      </c>
      <c r="I3583" s="1">
        <f t="shared" si="167"/>
        <v>0</v>
      </c>
    </row>
    <row r="3584" spans="1:9" hidden="1" x14ac:dyDescent="0.2">
      <c r="A3584" s="6">
        <v>44001.708333333336</v>
      </c>
      <c r="B3584" s="1" t="s">
        <v>20</v>
      </c>
      <c r="C3584">
        <v>10</v>
      </c>
      <c r="D3584">
        <v>0</v>
      </c>
      <c r="E3584">
        <v>132</v>
      </c>
      <c r="F3584">
        <v>1368</v>
      </c>
      <c r="G3584" s="3">
        <f t="shared" si="165"/>
        <v>1</v>
      </c>
      <c r="H3584" s="4">
        <f t="shared" si="166"/>
        <v>7.309941520468044E-4</v>
      </c>
      <c r="I3584" s="1">
        <f t="shared" si="167"/>
        <v>0</v>
      </c>
    </row>
    <row r="3585" spans="1:9" hidden="1" x14ac:dyDescent="0.2">
      <c r="A3585" s="6">
        <v>44002.708333333336</v>
      </c>
      <c r="B3585" s="1" t="s">
        <v>20</v>
      </c>
      <c r="C3585">
        <v>9</v>
      </c>
      <c r="D3585">
        <v>0</v>
      </c>
      <c r="E3585">
        <v>132</v>
      </c>
      <c r="F3585">
        <v>1369</v>
      </c>
      <c r="G3585" s="3">
        <f t="shared" si="165"/>
        <v>1</v>
      </c>
      <c r="H3585" s="4">
        <f t="shared" si="166"/>
        <v>7.3046018991962391E-4</v>
      </c>
      <c r="I3585" s="1">
        <f t="shared" si="167"/>
        <v>0</v>
      </c>
    </row>
    <row r="3586" spans="1:9" hidden="1" x14ac:dyDescent="0.2">
      <c r="A3586" s="6">
        <v>44003.708333333336</v>
      </c>
      <c r="B3586" s="1" t="s">
        <v>20</v>
      </c>
      <c r="C3586">
        <v>9</v>
      </c>
      <c r="D3586">
        <v>0</v>
      </c>
      <c r="E3586">
        <v>132</v>
      </c>
      <c r="F3586">
        <v>1369</v>
      </c>
      <c r="G3586" s="3">
        <f t="shared" si="165"/>
        <v>0</v>
      </c>
      <c r="H3586" s="4">
        <f t="shared" si="166"/>
        <v>0</v>
      </c>
      <c r="I3586" s="1">
        <f t="shared" si="167"/>
        <v>0</v>
      </c>
    </row>
    <row r="3587" spans="1:9" hidden="1" x14ac:dyDescent="0.2">
      <c r="A3587" s="6">
        <v>44004.708333333336</v>
      </c>
      <c r="B3587" s="1" t="s">
        <v>20</v>
      </c>
      <c r="C3587">
        <v>9</v>
      </c>
      <c r="D3587">
        <v>0</v>
      </c>
      <c r="E3587">
        <v>132</v>
      </c>
      <c r="F3587">
        <v>1369</v>
      </c>
      <c r="G3587" s="3">
        <f t="shared" ref="G3587:G3650" si="168">IF(AND(F3587&gt;0,AND(B3587=B3586,F3587&gt;0)),F3587-F3586,0)</f>
        <v>0</v>
      </c>
      <c r="H3587" s="4">
        <f t="shared" ref="H3587:H3650" si="169">IF(AND(F3586&gt;0,AND(B3587=B3586,F3586&gt;0)),1-(F3586/F3587),0)</f>
        <v>0</v>
      </c>
      <c r="I3587" s="1">
        <f t="shared" ref="I3587:I3650" si="170">IF(AND(E3587&gt;0,AND(B3587=B3586,E3587&gt;0)),E3587-E3586,0)</f>
        <v>0</v>
      </c>
    </row>
    <row r="3588" spans="1:9" hidden="1" x14ac:dyDescent="0.2">
      <c r="A3588" s="6">
        <v>44005.708333333336</v>
      </c>
      <c r="B3588" s="1" t="s">
        <v>20</v>
      </c>
      <c r="C3588">
        <v>7</v>
      </c>
      <c r="D3588">
        <v>0</v>
      </c>
      <c r="E3588">
        <v>132</v>
      </c>
      <c r="F3588">
        <v>1360</v>
      </c>
      <c r="G3588" s="3">
        <f t="shared" si="168"/>
        <v>-9</v>
      </c>
      <c r="H3588" s="4">
        <f t="shared" si="169"/>
        <v>-6.6176470588235059E-3</v>
      </c>
      <c r="I3588" s="1">
        <f t="shared" si="170"/>
        <v>0</v>
      </c>
    </row>
    <row r="3589" spans="1:9" hidden="1" x14ac:dyDescent="0.2">
      <c r="A3589" s="6">
        <v>44006.708333333336</v>
      </c>
      <c r="B3589" s="1" t="s">
        <v>20</v>
      </c>
      <c r="C3589">
        <v>7</v>
      </c>
      <c r="D3589">
        <v>0</v>
      </c>
      <c r="E3589">
        <v>132</v>
      </c>
      <c r="F3589">
        <v>1361</v>
      </c>
      <c r="G3589" s="3">
        <f t="shared" si="168"/>
        <v>1</v>
      </c>
      <c r="H3589" s="4">
        <f t="shared" si="169"/>
        <v>7.3475385745780386E-4</v>
      </c>
      <c r="I3589" s="1">
        <f t="shared" si="170"/>
        <v>0</v>
      </c>
    </row>
    <row r="3590" spans="1:9" hidden="1" x14ac:dyDescent="0.2">
      <c r="A3590" s="6">
        <v>44007.708333333336</v>
      </c>
      <c r="B3590" s="1" t="s">
        <v>20</v>
      </c>
      <c r="C3590">
        <v>6</v>
      </c>
      <c r="D3590">
        <v>0</v>
      </c>
      <c r="E3590">
        <v>132</v>
      </c>
      <c r="F3590">
        <v>1362</v>
      </c>
      <c r="G3590" s="3">
        <f t="shared" si="168"/>
        <v>1</v>
      </c>
      <c r="H3590" s="4">
        <f t="shared" si="169"/>
        <v>7.3421439060206151E-4</v>
      </c>
      <c r="I3590" s="1">
        <f t="shared" si="170"/>
        <v>0</v>
      </c>
    </row>
    <row r="3591" spans="1:9" hidden="1" x14ac:dyDescent="0.2">
      <c r="A3591" s="6">
        <v>44008.708333333336</v>
      </c>
      <c r="B3591" s="1" t="s">
        <v>20</v>
      </c>
      <c r="C3591">
        <v>5</v>
      </c>
      <c r="D3591">
        <v>0</v>
      </c>
      <c r="E3591">
        <v>132</v>
      </c>
      <c r="F3591">
        <v>1362</v>
      </c>
      <c r="G3591" s="3">
        <f t="shared" si="168"/>
        <v>0</v>
      </c>
      <c r="H3591" s="4">
        <f t="shared" si="169"/>
        <v>0</v>
      </c>
      <c r="I3591" s="1">
        <f t="shared" si="170"/>
        <v>0</v>
      </c>
    </row>
    <row r="3592" spans="1:9" hidden="1" x14ac:dyDescent="0.2">
      <c r="A3592" s="6">
        <v>44009.708333333336</v>
      </c>
      <c r="B3592" s="1" t="s">
        <v>20</v>
      </c>
      <c r="C3592">
        <v>6</v>
      </c>
      <c r="D3592">
        <v>0</v>
      </c>
      <c r="E3592">
        <v>132</v>
      </c>
      <c r="F3592">
        <v>1363</v>
      </c>
      <c r="G3592" s="3">
        <f t="shared" si="168"/>
        <v>1</v>
      </c>
      <c r="H3592" s="4">
        <f t="shared" si="169"/>
        <v>7.336757153337814E-4</v>
      </c>
      <c r="I3592" s="1">
        <f t="shared" si="170"/>
        <v>0</v>
      </c>
    </row>
    <row r="3593" spans="1:9" hidden="1" x14ac:dyDescent="0.2">
      <c r="A3593" s="6">
        <v>44010.708333333336</v>
      </c>
      <c r="B3593" s="1" t="s">
        <v>20</v>
      </c>
      <c r="C3593">
        <v>6</v>
      </c>
      <c r="D3593">
        <v>0</v>
      </c>
      <c r="E3593">
        <v>132</v>
      </c>
      <c r="F3593">
        <v>1364</v>
      </c>
      <c r="G3593" s="3">
        <f t="shared" si="168"/>
        <v>1</v>
      </c>
      <c r="H3593" s="4">
        <f t="shared" si="169"/>
        <v>7.3313782991202281E-4</v>
      </c>
      <c r="I3593" s="1">
        <f t="shared" si="170"/>
        <v>0</v>
      </c>
    </row>
    <row r="3594" spans="1:9" hidden="1" x14ac:dyDescent="0.2">
      <c r="A3594" s="6">
        <v>44011.708333333336</v>
      </c>
      <c r="B3594" s="1" t="s">
        <v>20</v>
      </c>
      <c r="C3594">
        <v>6</v>
      </c>
      <c r="D3594">
        <v>0</v>
      </c>
      <c r="E3594">
        <v>132</v>
      </c>
      <c r="F3594">
        <v>1364</v>
      </c>
      <c r="G3594" s="3">
        <f t="shared" si="168"/>
        <v>0</v>
      </c>
      <c r="H3594" s="4">
        <f t="shared" si="169"/>
        <v>0</v>
      </c>
      <c r="I3594" s="1">
        <f t="shared" si="170"/>
        <v>0</v>
      </c>
    </row>
    <row r="3595" spans="1:9" hidden="1" x14ac:dyDescent="0.2">
      <c r="A3595" s="6">
        <v>44012.708333333336</v>
      </c>
      <c r="B3595" s="1" t="s">
        <v>20</v>
      </c>
      <c r="C3595">
        <v>6</v>
      </c>
      <c r="D3595">
        <v>0</v>
      </c>
      <c r="E3595">
        <v>133</v>
      </c>
      <c r="F3595">
        <v>1366</v>
      </c>
      <c r="G3595" s="3">
        <f t="shared" si="168"/>
        <v>2</v>
      </c>
      <c r="H3595" s="4">
        <f t="shared" si="169"/>
        <v>1.4641288433382416E-3</v>
      </c>
      <c r="I3595" s="1">
        <f t="shared" si="170"/>
        <v>1</v>
      </c>
    </row>
    <row r="3596" spans="1:9" hidden="1" x14ac:dyDescent="0.2">
      <c r="A3596" s="6">
        <v>44013.708333333336</v>
      </c>
      <c r="B3596" s="1" t="s">
        <v>20</v>
      </c>
      <c r="C3596">
        <v>5</v>
      </c>
      <c r="D3596">
        <v>0</v>
      </c>
      <c r="E3596">
        <v>133</v>
      </c>
      <c r="F3596">
        <v>1366</v>
      </c>
      <c r="G3596" s="3">
        <f t="shared" si="168"/>
        <v>0</v>
      </c>
      <c r="H3596" s="4">
        <f t="shared" si="169"/>
        <v>0</v>
      </c>
      <c r="I3596" s="1">
        <f t="shared" si="170"/>
        <v>0</v>
      </c>
    </row>
    <row r="3597" spans="1:9" hidden="1" x14ac:dyDescent="0.2">
      <c r="A3597" s="6">
        <v>44014.708333333336</v>
      </c>
      <c r="B3597" s="1" t="s">
        <v>20</v>
      </c>
      <c r="C3597">
        <v>7</v>
      </c>
      <c r="D3597">
        <v>0</v>
      </c>
      <c r="E3597">
        <v>133</v>
      </c>
      <c r="F3597">
        <v>1368</v>
      </c>
      <c r="G3597" s="3">
        <f t="shared" si="168"/>
        <v>2</v>
      </c>
      <c r="H3597" s="4">
        <f t="shared" si="169"/>
        <v>1.4619883040936088E-3</v>
      </c>
      <c r="I3597" s="1">
        <f t="shared" si="170"/>
        <v>0</v>
      </c>
    </row>
    <row r="3598" spans="1:9" hidden="1" x14ac:dyDescent="0.2">
      <c r="A3598" s="6">
        <v>44015.708333333336</v>
      </c>
      <c r="B3598" s="1" t="s">
        <v>20</v>
      </c>
      <c r="C3598">
        <v>6</v>
      </c>
      <c r="D3598">
        <v>0</v>
      </c>
      <c r="E3598">
        <v>133</v>
      </c>
      <c r="F3598">
        <v>1369</v>
      </c>
      <c r="G3598" s="3">
        <f t="shared" si="168"/>
        <v>1</v>
      </c>
      <c r="H3598" s="4">
        <f t="shared" si="169"/>
        <v>7.3046018991962391E-4</v>
      </c>
      <c r="I3598" s="1">
        <f t="shared" si="170"/>
        <v>0</v>
      </c>
    </row>
    <row r="3599" spans="1:9" hidden="1" x14ac:dyDescent="0.2">
      <c r="A3599" s="6">
        <v>44016.708333333336</v>
      </c>
      <c r="B3599" s="1" t="s">
        <v>20</v>
      </c>
      <c r="C3599">
        <v>6</v>
      </c>
      <c r="D3599">
        <v>0</v>
      </c>
      <c r="E3599">
        <v>133</v>
      </c>
      <c r="F3599">
        <v>1369</v>
      </c>
      <c r="G3599" s="3">
        <f t="shared" si="168"/>
        <v>0</v>
      </c>
      <c r="H3599" s="4">
        <f t="shared" si="169"/>
        <v>0</v>
      </c>
      <c r="I3599" s="1">
        <f t="shared" si="170"/>
        <v>0</v>
      </c>
    </row>
    <row r="3600" spans="1:9" hidden="1" x14ac:dyDescent="0.2">
      <c r="A3600" s="6">
        <v>44017.708333333336</v>
      </c>
      <c r="B3600" s="1" t="s">
        <v>20</v>
      </c>
      <c r="C3600">
        <v>4</v>
      </c>
      <c r="D3600">
        <v>0</v>
      </c>
      <c r="E3600">
        <v>133</v>
      </c>
      <c r="F3600">
        <v>1370</v>
      </c>
      <c r="G3600" s="3">
        <f t="shared" si="168"/>
        <v>1</v>
      </c>
      <c r="H3600" s="4">
        <f t="shared" si="169"/>
        <v>7.2992700729923587E-4</v>
      </c>
      <c r="I3600" s="1">
        <f t="shared" si="170"/>
        <v>0</v>
      </c>
    </row>
    <row r="3601" spans="1:9" hidden="1" x14ac:dyDescent="0.2">
      <c r="A3601" s="6">
        <v>44018.708333333336</v>
      </c>
      <c r="B3601" s="1" t="s">
        <v>20</v>
      </c>
      <c r="C3601">
        <v>3</v>
      </c>
      <c r="D3601">
        <v>0</v>
      </c>
      <c r="E3601">
        <v>134</v>
      </c>
      <c r="F3601">
        <v>1371</v>
      </c>
      <c r="G3601" s="3">
        <f t="shared" si="168"/>
        <v>1</v>
      </c>
      <c r="H3601" s="4">
        <f t="shared" si="169"/>
        <v>7.2939460247989363E-4</v>
      </c>
      <c r="I3601" s="1">
        <f t="shared" si="170"/>
        <v>1</v>
      </c>
    </row>
    <row r="3602" spans="1:9" hidden="1" x14ac:dyDescent="0.2">
      <c r="A3602" s="6">
        <v>44019.708333333336</v>
      </c>
      <c r="B3602" s="1" t="s">
        <v>20</v>
      </c>
      <c r="C3602">
        <v>5</v>
      </c>
      <c r="D3602">
        <v>0</v>
      </c>
      <c r="E3602">
        <v>134</v>
      </c>
      <c r="F3602">
        <v>1371</v>
      </c>
      <c r="G3602" s="3">
        <f t="shared" si="168"/>
        <v>0</v>
      </c>
      <c r="H3602" s="4">
        <f t="shared" si="169"/>
        <v>0</v>
      </c>
      <c r="I3602" s="1">
        <f t="shared" si="170"/>
        <v>0</v>
      </c>
    </row>
    <row r="3603" spans="1:9" hidden="1" x14ac:dyDescent="0.2">
      <c r="A3603" s="6">
        <v>44020.708333333336</v>
      </c>
      <c r="B3603" s="1" t="s">
        <v>20</v>
      </c>
      <c r="C3603">
        <v>3</v>
      </c>
      <c r="D3603">
        <v>0</v>
      </c>
      <c r="E3603">
        <v>134</v>
      </c>
      <c r="F3603">
        <v>1371</v>
      </c>
      <c r="G3603" s="3">
        <f t="shared" si="168"/>
        <v>0</v>
      </c>
      <c r="H3603" s="4">
        <f t="shared" si="169"/>
        <v>0</v>
      </c>
      <c r="I3603" s="1">
        <f t="shared" si="170"/>
        <v>0</v>
      </c>
    </row>
    <row r="3604" spans="1:9" hidden="1" x14ac:dyDescent="0.2">
      <c r="A3604" s="6">
        <v>44021.708333333336</v>
      </c>
      <c r="B3604" s="1" t="s">
        <v>20</v>
      </c>
      <c r="C3604">
        <v>3</v>
      </c>
      <c r="D3604">
        <v>0</v>
      </c>
      <c r="E3604">
        <v>134</v>
      </c>
      <c r="F3604">
        <v>1371</v>
      </c>
      <c r="G3604" s="3">
        <f t="shared" si="168"/>
        <v>0</v>
      </c>
      <c r="H3604" s="4">
        <f t="shared" si="169"/>
        <v>0</v>
      </c>
      <c r="I3604" s="1">
        <f t="shared" si="170"/>
        <v>0</v>
      </c>
    </row>
    <row r="3605" spans="1:9" hidden="1" x14ac:dyDescent="0.2">
      <c r="A3605" s="6">
        <v>44022.708333333336</v>
      </c>
      <c r="B3605" s="1" t="s">
        <v>20</v>
      </c>
      <c r="C3605">
        <v>3</v>
      </c>
      <c r="D3605">
        <v>0</v>
      </c>
      <c r="E3605">
        <v>134</v>
      </c>
      <c r="F3605">
        <v>1372</v>
      </c>
      <c r="G3605" s="3">
        <f t="shared" si="168"/>
        <v>1</v>
      </c>
      <c r="H3605" s="4">
        <f t="shared" si="169"/>
        <v>7.2886297376095754E-4</v>
      </c>
      <c r="I3605" s="1">
        <f t="shared" si="170"/>
        <v>0</v>
      </c>
    </row>
    <row r="3606" spans="1:9" hidden="1" x14ac:dyDescent="0.2">
      <c r="A3606" s="6">
        <v>44023.708333333336</v>
      </c>
      <c r="B3606" s="1" t="s">
        <v>20</v>
      </c>
      <c r="C3606">
        <v>3</v>
      </c>
      <c r="D3606">
        <v>0</v>
      </c>
      <c r="E3606">
        <v>134</v>
      </c>
      <c r="F3606">
        <v>1372</v>
      </c>
      <c r="G3606" s="3">
        <f t="shared" si="168"/>
        <v>0</v>
      </c>
      <c r="H3606" s="4">
        <f t="shared" si="169"/>
        <v>0</v>
      </c>
      <c r="I3606" s="1">
        <f t="shared" si="170"/>
        <v>0</v>
      </c>
    </row>
    <row r="3607" spans="1:9" hidden="1" x14ac:dyDescent="0.2">
      <c r="A3607" s="6">
        <v>44024.708333333336</v>
      </c>
      <c r="B3607" s="1" t="s">
        <v>20</v>
      </c>
      <c r="C3607">
        <v>3</v>
      </c>
      <c r="D3607">
        <v>0</v>
      </c>
      <c r="E3607">
        <v>134</v>
      </c>
      <c r="F3607">
        <v>1372</v>
      </c>
      <c r="G3607" s="3">
        <f t="shared" si="168"/>
        <v>0</v>
      </c>
      <c r="H3607" s="4">
        <f t="shared" si="169"/>
        <v>0</v>
      </c>
      <c r="I3607" s="1">
        <f t="shared" si="170"/>
        <v>0</v>
      </c>
    </row>
    <row r="3608" spans="1:9" hidden="1" x14ac:dyDescent="0.2">
      <c r="A3608" s="6">
        <v>44025.708333333336</v>
      </c>
      <c r="B3608" s="1" t="s">
        <v>20</v>
      </c>
      <c r="C3608">
        <v>3</v>
      </c>
      <c r="D3608">
        <v>0</v>
      </c>
      <c r="E3608">
        <v>134</v>
      </c>
      <c r="F3608">
        <v>1373</v>
      </c>
      <c r="G3608" s="3">
        <f t="shared" si="168"/>
        <v>1</v>
      </c>
      <c r="H3608" s="4">
        <f t="shared" si="169"/>
        <v>7.2833211944645093E-4</v>
      </c>
      <c r="I3608" s="1">
        <f t="shared" si="170"/>
        <v>0</v>
      </c>
    </row>
    <row r="3609" spans="1:9" hidden="1" x14ac:dyDescent="0.2">
      <c r="A3609" s="6">
        <v>44026.708333333336</v>
      </c>
      <c r="B3609" s="1" t="s">
        <v>20</v>
      </c>
      <c r="C3609">
        <v>4</v>
      </c>
      <c r="D3609">
        <v>0</v>
      </c>
      <c r="E3609">
        <v>134</v>
      </c>
      <c r="F3609">
        <v>1374</v>
      </c>
      <c r="G3609" s="3">
        <f t="shared" si="168"/>
        <v>1</v>
      </c>
      <c r="H3609" s="4">
        <f t="shared" si="169"/>
        <v>7.2780203784572617E-4</v>
      </c>
      <c r="I3609" s="1">
        <f t="shared" si="170"/>
        <v>0</v>
      </c>
    </row>
    <row r="3610" spans="1:9" hidden="1" x14ac:dyDescent="0.2">
      <c r="A3610" s="6">
        <v>44027.708333333336</v>
      </c>
      <c r="B3610" s="1" t="s">
        <v>20</v>
      </c>
      <c r="C3610">
        <v>4</v>
      </c>
      <c r="D3610">
        <v>0</v>
      </c>
      <c r="E3610">
        <v>134</v>
      </c>
      <c r="F3610">
        <v>1376</v>
      </c>
      <c r="G3610" s="3">
        <f t="shared" si="168"/>
        <v>2</v>
      </c>
      <c r="H3610" s="4">
        <f t="shared" si="169"/>
        <v>1.4534883720930258E-3</v>
      </c>
      <c r="I3610" s="1">
        <f t="shared" si="170"/>
        <v>0</v>
      </c>
    </row>
    <row r="3611" spans="1:9" hidden="1" x14ac:dyDescent="0.2">
      <c r="A3611" s="6">
        <v>44028.708333333336</v>
      </c>
      <c r="B3611" s="1" t="s">
        <v>20</v>
      </c>
      <c r="C3611">
        <v>4</v>
      </c>
      <c r="D3611">
        <v>0</v>
      </c>
      <c r="E3611">
        <v>134</v>
      </c>
      <c r="F3611">
        <v>1377</v>
      </c>
      <c r="G3611" s="3">
        <f t="shared" si="168"/>
        <v>1</v>
      </c>
      <c r="H3611" s="4">
        <f t="shared" si="169"/>
        <v>7.2621641249093205E-4</v>
      </c>
      <c r="I3611" s="1">
        <f t="shared" si="170"/>
        <v>0</v>
      </c>
    </row>
    <row r="3612" spans="1:9" hidden="1" x14ac:dyDescent="0.2">
      <c r="A3612" s="6">
        <v>44029.708333333336</v>
      </c>
      <c r="B3612" s="1" t="s">
        <v>20</v>
      </c>
      <c r="C3612">
        <v>5</v>
      </c>
      <c r="D3612">
        <v>0</v>
      </c>
      <c r="E3612">
        <v>134</v>
      </c>
      <c r="F3612">
        <v>1377</v>
      </c>
      <c r="G3612" s="3">
        <f t="shared" si="168"/>
        <v>0</v>
      </c>
      <c r="H3612" s="4">
        <f t="shared" si="169"/>
        <v>0</v>
      </c>
      <c r="I3612" s="1">
        <f t="shared" si="170"/>
        <v>0</v>
      </c>
    </row>
    <row r="3613" spans="1:9" hidden="1" x14ac:dyDescent="0.2">
      <c r="A3613" s="6">
        <v>44030.708333333336</v>
      </c>
      <c r="B3613" s="1" t="s">
        <v>20</v>
      </c>
      <c r="C3613">
        <v>7</v>
      </c>
      <c r="D3613">
        <v>0</v>
      </c>
      <c r="E3613">
        <v>134</v>
      </c>
      <c r="F3613">
        <v>1378</v>
      </c>
      <c r="G3613" s="3">
        <f t="shared" si="168"/>
        <v>1</v>
      </c>
      <c r="H3613" s="4">
        <f t="shared" si="169"/>
        <v>7.2568940493467071E-4</v>
      </c>
      <c r="I3613" s="1">
        <f t="shared" si="170"/>
        <v>0</v>
      </c>
    </row>
    <row r="3614" spans="1:9" hidden="1" x14ac:dyDescent="0.2">
      <c r="A3614" s="6">
        <v>44031.708333333336</v>
      </c>
      <c r="B3614" s="1" t="s">
        <v>20</v>
      </c>
      <c r="C3614">
        <v>7</v>
      </c>
      <c r="D3614">
        <v>0</v>
      </c>
      <c r="E3614">
        <v>134</v>
      </c>
      <c r="F3614">
        <v>1379</v>
      </c>
      <c r="G3614" s="3">
        <f t="shared" si="168"/>
        <v>1</v>
      </c>
      <c r="H3614" s="4">
        <f t="shared" si="169"/>
        <v>7.2516316171133965E-4</v>
      </c>
      <c r="I3614" s="1">
        <f t="shared" si="170"/>
        <v>0</v>
      </c>
    </row>
    <row r="3615" spans="1:9" hidden="1" x14ac:dyDescent="0.2">
      <c r="A3615" s="6">
        <v>44032.708333333336</v>
      </c>
      <c r="B3615" s="1" t="s">
        <v>20</v>
      </c>
      <c r="C3615">
        <v>7</v>
      </c>
      <c r="D3615">
        <v>0</v>
      </c>
      <c r="E3615">
        <v>134</v>
      </c>
      <c r="F3615">
        <v>1379</v>
      </c>
      <c r="G3615" s="3">
        <f t="shared" si="168"/>
        <v>0</v>
      </c>
      <c r="H3615" s="4">
        <f t="shared" si="169"/>
        <v>0</v>
      </c>
      <c r="I3615" s="1">
        <f t="shared" si="170"/>
        <v>0</v>
      </c>
    </row>
    <row r="3616" spans="1:9" hidden="1" x14ac:dyDescent="0.2">
      <c r="A3616" s="6">
        <v>44033.708333333336</v>
      </c>
      <c r="B3616" s="1" t="s">
        <v>20</v>
      </c>
      <c r="C3616">
        <v>7</v>
      </c>
      <c r="D3616">
        <v>0</v>
      </c>
      <c r="E3616">
        <v>134</v>
      </c>
      <c r="F3616">
        <v>1379</v>
      </c>
      <c r="G3616" s="3">
        <f t="shared" si="168"/>
        <v>0</v>
      </c>
      <c r="H3616" s="4">
        <f t="shared" si="169"/>
        <v>0</v>
      </c>
      <c r="I3616" s="1">
        <f t="shared" si="170"/>
        <v>0</v>
      </c>
    </row>
    <row r="3617" spans="1:9" hidden="1" x14ac:dyDescent="0.2">
      <c r="A3617" s="6">
        <v>44034.708333333336</v>
      </c>
      <c r="B3617" s="1" t="s">
        <v>20</v>
      </c>
      <c r="C3617">
        <v>7</v>
      </c>
      <c r="D3617">
        <v>0</v>
      </c>
      <c r="E3617">
        <v>134</v>
      </c>
      <c r="F3617">
        <v>1380</v>
      </c>
      <c r="G3617" s="3">
        <f t="shared" si="168"/>
        <v>1</v>
      </c>
      <c r="H3617" s="4">
        <f t="shared" si="169"/>
        <v>7.246376811593791E-4</v>
      </c>
      <c r="I3617" s="1">
        <f t="shared" si="170"/>
        <v>0</v>
      </c>
    </row>
    <row r="3618" spans="1:9" hidden="1" x14ac:dyDescent="0.2">
      <c r="A3618" s="6">
        <v>44035.708333333336</v>
      </c>
      <c r="B3618" s="1" t="s">
        <v>20</v>
      </c>
      <c r="C3618">
        <v>7</v>
      </c>
      <c r="D3618">
        <v>0</v>
      </c>
      <c r="E3618">
        <v>134</v>
      </c>
      <c r="F3618">
        <v>1382</v>
      </c>
      <c r="G3618" s="3">
        <f t="shared" si="168"/>
        <v>2</v>
      </c>
      <c r="H3618" s="4">
        <f t="shared" si="169"/>
        <v>1.4471780028944004E-3</v>
      </c>
      <c r="I3618" s="1">
        <f t="shared" si="170"/>
        <v>0</v>
      </c>
    </row>
    <row r="3619" spans="1:9" hidden="1" x14ac:dyDescent="0.2">
      <c r="A3619" s="6">
        <v>44036.708333333336</v>
      </c>
      <c r="B3619" s="1" t="s">
        <v>20</v>
      </c>
      <c r="C3619">
        <v>7</v>
      </c>
      <c r="D3619">
        <v>0</v>
      </c>
      <c r="E3619">
        <v>134</v>
      </c>
      <c r="F3619">
        <v>1385</v>
      </c>
      <c r="G3619" s="3">
        <f t="shared" si="168"/>
        <v>3</v>
      </c>
      <c r="H3619" s="4">
        <f t="shared" si="169"/>
        <v>2.1660649819494893E-3</v>
      </c>
      <c r="I3619" s="1">
        <f t="shared" si="170"/>
        <v>0</v>
      </c>
    </row>
    <row r="3620" spans="1:9" hidden="1" x14ac:dyDescent="0.2">
      <c r="A3620" s="6">
        <v>44037.708333333336</v>
      </c>
      <c r="B3620" s="1" t="s">
        <v>20</v>
      </c>
      <c r="C3620">
        <v>6</v>
      </c>
      <c r="D3620">
        <v>0</v>
      </c>
      <c r="E3620">
        <v>134</v>
      </c>
      <c r="F3620">
        <v>1388</v>
      </c>
      <c r="G3620" s="3">
        <f t="shared" si="168"/>
        <v>3</v>
      </c>
      <c r="H3620" s="4">
        <f t="shared" si="169"/>
        <v>2.1613832853025761E-3</v>
      </c>
      <c r="I3620" s="1">
        <f t="shared" si="170"/>
        <v>0</v>
      </c>
    </row>
    <row r="3621" spans="1:9" hidden="1" x14ac:dyDescent="0.2">
      <c r="A3621" s="6">
        <v>44038.708333333336</v>
      </c>
      <c r="B3621" s="1" t="s">
        <v>20</v>
      </c>
      <c r="C3621">
        <v>6</v>
      </c>
      <c r="D3621">
        <v>0</v>
      </c>
      <c r="E3621">
        <v>134</v>
      </c>
      <c r="F3621">
        <v>1388</v>
      </c>
      <c r="G3621" s="3">
        <f t="shared" si="168"/>
        <v>0</v>
      </c>
      <c r="H3621" s="4">
        <f t="shared" si="169"/>
        <v>0</v>
      </c>
      <c r="I3621" s="1">
        <f t="shared" si="170"/>
        <v>0</v>
      </c>
    </row>
    <row r="3622" spans="1:9" hidden="1" x14ac:dyDescent="0.2">
      <c r="A3622" s="6">
        <v>44039.708333333336</v>
      </c>
      <c r="B3622" s="1" t="s">
        <v>20</v>
      </c>
      <c r="C3622">
        <v>5</v>
      </c>
      <c r="D3622">
        <v>0</v>
      </c>
      <c r="E3622">
        <v>135</v>
      </c>
      <c r="F3622">
        <v>1386</v>
      </c>
      <c r="G3622" s="3">
        <f t="shared" si="168"/>
        <v>-2</v>
      </c>
      <c r="H3622" s="4">
        <f t="shared" si="169"/>
        <v>-1.4430014430013571E-3</v>
      </c>
      <c r="I3622" s="1">
        <f t="shared" si="170"/>
        <v>1</v>
      </c>
    </row>
    <row r="3623" spans="1:9" hidden="1" x14ac:dyDescent="0.2">
      <c r="A3623" s="6">
        <v>44040.708333333336</v>
      </c>
      <c r="B3623" s="1" t="s">
        <v>20</v>
      </c>
      <c r="C3623">
        <v>5</v>
      </c>
      <c r="D3623">
        <v>0</v>
      </c>
      <c r="E3623">
        <v>134</v>
      </c>
      <c r="F3623">
        <v>1392</v>
      </c>
      <c r="G3623" s="3">
        <f t="shared" si="168"/>
        <v>6</v>
      </c>
      <c r="H3623" s="4">
        <f t="shared" si="169"/>
        <v>4.3103448275861878E-3</v>
      </c>
      <c r="I3623" s="1">
        <f t="shared" si="170"/>
        <v>-1</v>
      </c>
    </row>
    <row r="3624" spans="1:9" hidden="1" x14ac:dyDescent="0.2">
      <c r="A3624" s="6">
        <v>44041.708333333336</v>
      </c>
      <c r="B3624" s="1" t="s">
        <v>20</v>
      </c>
      <c r="C3624">
        <v>3</v>
      </c>
      <c r="D3624">
        <v>0</v>
      </c>
      <c r="E3624">
        <v>134</v>
      </c>
      <c r="F3624">
        <v>1394</v>
      </c>
      <c r="G3624" s="3">
        <f t="shared" si="168"/>
        <v>2</v>
      </c>
      <c r="H3624" s="4">
        <f t="shared" si="169"/>
        <v>1.4347202295552641E-3</v>
      </c>
      <c r="I3624" s="1">
        <f t="shared" si="170"/>
        <v>0</v>
      </c>
    </row>
    <row r="3625" spans="1:9" hidden="1" x14ac:dyDescent="0.2">
      <c r="A3625" s="6">
        <v>44042.708333333336</v>
      </c>
      <c r="B3625" s="1" t="s">
        <v>20</v>
      </c>
      <c r="C3625">
        <v>3</v>
      </c>
      <c r="D3625">
        <v>0</v>
      </c>
      <c r="E3625">
        <v>134</v>
      </c>
      <c r="F3625">
        <v>1394</v>
      </c>
      <c r="G3625" s="3">
        <f t="shared" si="168"/>
        <v>0</v>
      </c>
      <c r="H3625" s="4">
        <f t="shared" si="169"/>
        <v>0</v>
      </c>
      <c r="I3625" s="1">
        <f t="shared" si="170"/>
        <v>0</v>
      </c>
    </row>
    <row r="3626" spans="1:9" hidden="1" x14ac:dyDescent="0.2">
      <c r="A3626" s="6">
        <v>44043.708333333336</v>
      </c>
      <c r="B3626" s="1" t="s">
        <v>20</v>
      </c>
      <c r="C3626">
        <v>3</v>
      </c>
      <c r="D3626">
        <v>0</v>
      </c>
      <c r="E3626">
        <v>134</v>
      </c>
      <c r="F3626">
        <v>1404</v>
      </c>
      <c r="G3626" s="3">
        <f t="shared" si="168"/>
        <v>10</v>
      </c>
      <c r="H3626" s="4">
        <f t="shared" si="169"/>
        <v>7.1225071225071712E-3</v>
      </c>
      <c r="I3626" s="1">
        <f t="shared" si="170"/>
        <v>0</v>
      </c>
    </row>
    <row r="3627" spans="1:9" hidden="1" x14ac:dyDescent="0.2">
      <c r="A3627" s="6">
        <v>44044.708333333336</v>
      </c>
      <c r="B3627" s="1" t="s">
        <v>20</v>
      </c>
      <c r="C3627">
        <v>4</v>
      </c>
      <c r="D3627">
        <v>0</v>
      </c>
      <c r="E3627">
        <v>134</v>
      </c>
      <c r="F3627">
        <v>1410</v>
      </c>
      <c r="G3627" s="3">
        <f t="shared" si="168"/>
        <v>6</v>
      </c>
      <c r="H3627" s="4">
        <f t="shared" si="169"/>
        <v>4.2553191489361764E-3</v>
      </c>
      <c r="I3627" s="1">
        <f t="shared" si="170"/>
        <v>0</v>
      </c>
    </row>
    <row r="3628" spans="1:9" hidden="1" x14ac:dyDescent="0.2">
      <c r="A3628" s="6">
        <v>44045.708333333336</v>
      </c>
      <c r="B3628" s="1" t="s">
        <v>20</v>
      </c>
      <c r="C3628">
        <v>3</v>
      </c>
      <c r="D3628">
        <v>0</v>
      </c>
      <c r="E3628">
        <v>134</v>
      </c>
      <c r="F3628">
        <v>1414</v>
      </c>
      <c r="G3628" s="3">
        <f t="shared" si="168"/>
        <v>4</v>
      </c>
      <c r="H3628" s="4">
        <f t="shared" si="169"/>
        <v>2.8288543140028155E-3</v>
      </c>
      <c r="I3628" s="1">
        <f t="shared" si="170"/>
        <v>0</v>
      </c>
    </row>
    <row r="3629" spans="1:9" hidden="1" x14ac:dyDescent="0.2">
      <c r="A3629" s="6">
        <v>44046.708333333336</v>
      </c>
      <c r="B3629" s="1" t="s">
        <v>20</v>
      </c>
      <c r="C3629">
        <v>3</v>
      </c>
      <c r="D3629">
        <v>0</v>
      </c>
      <c r="E3629">
        <v>134</v>
      </c>
      <c r="F3629">
        <v>1416</v>
      </c>
      <c r="G3629" s="3">
        <f t="shared" si="168"/>
        <v>2</v>
      </c>
      <c r="H3629" s="4">
        <f t="shared" si="169"/>
        <v>1.4124293785310327E-3</v>
      </c>
      <c r="I3629" s="1">
        <f t="shared" si="170"/>
        <v>0</v>
      </c>
    </row>
    <row r="3630" spans="1:9" hidden="1" x14ac:dyDescent="0.2">
      <c r="A3630" s="6">
        <v>44047.708333333336</v>
      </c>
      <c r="B3630" s="1" t="s">
        <v>20</v>
      </c>
      <c r="C3630">
        <v>3</v>
      </c>
      <c r="D3630">
        <v>0</v>
      </c>
      <c r="E3630">
        <v>134</v>
      </c>
      <c r="F3630">
        <v>1418</v>
      </c>
      <c r="G3630" s="3">
        <f t="shared" si="168"/>
        <v>2</v>
      </c>
      <c r="H3630" s="4">
        <f t="shared" si="169"/>
        <v>1.4104372355430161E-3</v>
      </c>
      <c r="I3630" s="1">
        <f t="shared" si="170"/>
        <v>0</v>
      </c>
    </row>
    <row r="3631" spans="1:9" hidden="1" x14ac:dyDescent="0.2">
      <c r="A3631" s="6">
        <v>44048.708333333336</v>
      </c>
      <c r="B3631" s="1" t="s">
        <v>20</v>
      </c>
      <c r="C3631">
        <v>5</v>
      </c>
      <c r="D3631">
        <v>0</v>
      </c>
      <c r="E3631">
        <v>134</v>
      </c>
      <c r="F3631">
        <v>1427</v>
      </c>
      <c r="G3631" s="3">
        <f t="shared" si="168"/>
        <v>9</v>
      </c>
      <c r="H3631" s="4">
        <f t="shared" si="169"/>
        <v>6.3069376313945602E-3</v>
      </c>
      <c r="I3631" s="1">
        <f t="shared" si="170"/>
        <v>0</v>
      </c>
    </row>
    <row r="3632" spans="1:9" hidden="1" x14ac:dyDescent="0.2">
      <c r="A3632" s="6">
        <v>44049.708333333336</v>
      </c>
      <c r="B3632" s="1" t="s">
        <v>20</v>
      </c>
      <c r="C3632">
        <v>7</v>
      </c>
      <c r="D3632">
        <v>0</v>
      </c>
      <c r="E3632">
        <v>134</v>
      </c>
      <c r="F3632">
        <v>1430</v>
      </c>
      <c r="G3632" s="3">
        <f t="shared" si="168"/>
        <v>3</v>
      </c>
      <c r="H3632" s="4">
        <f t="shared" si="169"/>
        <v>2.0979020979020602E-3</v>
      </c>
      <c r="I3632" s="1">
        <f t="shared" si="170"/>
        <v>0</v>
      </c>
    </row>
    <row r="3633" spans="1:9" hidden="1" x14ac:dyDescent="0.2">
      <c r="A3633" s="6">
        <v>44050.708333333336</v>
      </c>
      <c r="B3633" s="1" t="s">
        <v>20</v>
      </c>
      <c r="C3633">
        <v>8</v>
      </c>
      <c r="D3633">
        <v>0</v>
      </c>
      <c r="E3633">
        <v>134</v>
      </c>
      <c r="F3633">
        <v>1433</v>
      </c>
      <c r="G3633" s="3">
        <f t="shared" si="168"/>
        <v>3</v>
      </c>
      <c r="H3633" s="4">
        <f t="shared" si="169"/>
        <v>2.0935101186322358E-3</v>
      </c>
      <c r="I3633" s="1">
        <f t="shared" si="170"/>
        <v>0</v>
      </c>
    </row>
    <row r="3634" spans="1:9" hidden="1" x14ac:dyDescent="0.2">
      <c r="A3634" s="6">
        <v>44051.708333333336</v>
      </c>
      <c r="B3634" s="1" t="s">
        <v>20</v>
      </c>
      <c r="C3634">
        <v>6</v>
      </c>
      <c r="D3634">
        <v>0</v>
      </c>
      <c r="E3634">
        <v>134</v>
      </c>
      <c r="F3634">
        <v>1433</v>
      </c>
      <c r="G3634" s="3">
        <f t="shared" si="168"/>
        <v>0</v>
      </c>
      <c r="H3634" s="4">
        <f t="shared" si="169"/>
        <v>0</v>
      </c>
      <c r="I3634" s="1">
        <f t="shared" si="170"/>
        <v>0</v>
      </c>
    </row>
    <row r="3635" spans="1:9" hidden="1" x14ac:dyDescent="0.2">
      <c r="A3635" s="6">
        <v>44052.708333333336</v>
      </c>
      <c r="B3635" s="1" t="s">
        <v>20</v>
      </c>
      <c r="C3635">
        <v>6</v>
      </c>
      <c r="D3635">
        <v>0</v>
      </c>
      <c r="E3635">
        <v>134</v>
      </c>
      <c r="F3635">
        <v>1439</v>
      </c>
      <c r="G3635" s="3">
        <f t="shared" si="168"/>
        <v>6</v>
      </c>
      <c r="H3635" s="4">
        <f t="shared" si="169"/>
        <v>4.1695621959694229E-3</v>
      </c>
      <c r="I3635" s="1">
        <f t="shared" si="170"/>
        <v>0</v>
      </c>
    </row>
    <row r="3636" spans="1:9" hidden="1" x14ac:dyDescent="0.2">
      <c r="A3636" s="6">
        <v>44053.708333333336</v>
      </c>
      <c r="B3636" s="1" t="s">
        <v>20</v>
      </c>
      <c r="C3636">
        <v>6</v>
      </c>
      <c r="D3636">
        <v>0</v>
      </c>
      <c r="E3636">
        <v>134</v>
      </c>
      <c r="F3636">
        <v>1441</v>
      </c>
      <c r="G3636" s="3">
        <f t="shared" si="168"/>
        <v>2</v>
      </c>
      <c r="H3636" s="4">
        <f t="shared" si="169"/>
        <v>1.3879250520472119E-3</v>
      </c>
      <c r="I3636" s="1">
        <f t="shared" si="170"/>
        <v>0</v>
      </c>
    </row>
    <row r="3637" spans="1:9" hidden="1" x14ac:dyDescent="0.2">
      <c r="A3637" s="6">
        <v>44054.708333333336</v>
      </c>
      <c r="B3637" s="1" t="s">
        <v>20</v>
      </c>
      <c r="C3637">
        <v>6</v>
      </c>
      <c r="D3637">
        <v>0</v>
      </c>
      <c r="E3637">
        <v>134</v>
      </c>
      <c r="F3637">
        <v>1461</v>
      </c>
      <c r="G3637" s="3">
        <f t="shared" si="168"/>
        <v>20</v>
      </c>
      <c r="H3637" s="4">
        <f t="shared" si="169"/>
        <v>1.3689253935660561E-2</v>
      </c>
      <c r="I3637" s="1">
        <f t="shared" si="170"/>
        <v>0</v>
      </c>
    </row>
    <row r="3638" spans="1:9" hidden="1" x14ac:dyDescent="0.2">
      <c r="A3638" s="6">
        <v>44055.708333333336</v>
      </c>
      <c r="B3638" s="1" t="s">
        <v>20</v>
      </c>
      <c r="C3638">
        <v>6</v>
      </c>
      <c r="D3638">
        <v>0</v>
      </c>
      <c r="E3638">
        <v>134</v>
      </c>
      <c r="F3638">
        <v>1462</v>
      </c>
      <c r="G3638" s="3">
        <f t="shared" si="168"/>
        <v>1</v>
      </c>
      <c r="H3638" s="4">
        <f t="shared" si="169"/>
        <v>6.8399452804379646E-4</v>
      </c>
      <c r="I3638" s="1">
        <f t="shared" si="170"/>
        <v>0</v>
      </c>
    </row>
    <row r="3639" spans="1:9" hidden="1" x14ac:dyDescent="0.2">
      <c r="A3639" s="6">
        <v>44056.708333333336</v>
      </c>
      <c r="B3639" s="1" t="s">
        <v>20</v>
      </c>
      <c r="C3639">
        <v>8</v>
      </c>
      <c r="D3639">
        <v>0</v>
      </c>
      <c r="E3639">
        <v>134</v>
      </c>
      <c r="F3639">
        <v>1479</v>
      </c>
      <c r="G3639" s="3">
        <f t="shared" si="168"/>
        <v>17</v>
      </c>
      <c r="H3639" s="4">
        <f t="shared" si="169"/>
        <v>1.1494252873563204E-2</v>
      </c>
      <c r="I3639" s="1">
        <f t="shared" si="170"/>
        <v>0</v>
      </c>
    </row>
    <row r="3640" spans="1:9" hidden="1" x14ac:dyDescent="0.2">
      <c r="A3640" s="6">
        <v>44057.708333333336</v>
      </c>
      <c r="B3640" s="1" t="s">
        <v>20</v>
      </c>
      <c r="C3640">
        <v>8</v>
      </c>
      <c r="D3640">
        <v>0</v>
      </c>
      <c r="E3640">
        <v>134</v>
      </c>
      <c r="F3640">
        <v>1484</v>
      </c>
      <c r="G3640" s="3">
        <f t="shared" si="168"/>
        <v>5</v>
      </c>
      <c r="H3640" s="4">
        <f t="shared" si="169"/>
        <v>3.369272237196741E-3</v>
      </c>
      <c r="I3640" s="1">
        <f t="shared" si="170"/>
        <v>0</v>
      </c>
    </row>
    <row r="3641" spans="1:9" hidden="1" x14ac:dyDescent="0.2">
      <c r="A3641" s="6">
        <v>44058.708333333336</v>
      </c>
      <c r="B3641" s="1" t="s">
        <v>20</v>
      </c>
      <c r="C3641">
        <v>8</v>
      </c>
      <c r="D3641">
        <v>0</v>
      </c>
      <c r="E3641">
        <v>134</v>
      </c>
      <c r="F3641">
        <v>1489</v>
      </c>
      <c r="G3641" s="3">
        <f t="shared" si="168"/>
        <v>5</v>
      </c>
      <c r="H3641" s="4">
        <f t="shared" si="169"/>
        <v>3.3579583613163599E-3</v>
      </c>
      <c r="I3641" s="1">
        <f t="shared" si="170"/>
        <v>0</v>
      </c>
    </row>
    <row r="3642" spans="1:9" hidden="1" x14ac:dyDescent="0.2">
      <c r="A3642" s="6">
        <v>44059.708333333336</v>
      </c>
      <c r="B3642" s="1" t="s">
        <v>20</v>
      </c>
      <c r="C3642">
        <v>8</v>
      </c>
      <c r="D3642">
        <v>0</v>
      </c>
      <c r="E3642">
        <v>134</v>
      </c>
      <c r="F3642">
        <v>1493</v>
      </c>
      <c r="G3642" s="3">
        <f t="shared" si="168"/>
        <v>4</v>
      </c>
      <c r="H3642" s="4">
        <f t="shared" si="169"/>
        <v>2.6791694574681557E-3</v>
      </c>
      <c r="I3642" s="1">
        <f t="shared" si="170"/>
        <v>0</v>
      </c>
    </row>
    <row r="3643" spans="1:9" hidden="1" x14ac:dyDescent="0.2">
      <c r="A3643" s="6">
        <v>44060.708333333336</v>
      </c>
      <c r="B3643" s="1" t="s">
        <v>20</v>
      </c>
      <c r="C3643">
        <v>9</v>
      </c>
      <c r="D3643">
        <v>0</v>
      </c>
      <c r="E3643">
        <v>134</v>
      </c>
      <c r="F3643">
        <v>1500</v>
      </c>
      <c r="G3643" s="3">
        <f t="shared" si="168"/>
        <v>7</v>
      </c>
      <c r="H3643" s="4">
        <f t="shared" si="169"/>
        <v>4.6666666666667078E-3</v>
      </c>
      <c r="I3643" s="1">
        <f t="shared" si="170"/>
        <v>0</v>
      </c>
    </row>
    <row r="3644" spans="1:9" hidden="1" x14ac:dyDescent="0.2">
      <c r="A3644" s="6">
        <v>44061.708333333336</v>
      </c>
      <c r="B3644" s="1" t="s">
        <v>20</v>
      </c>
      <c r="C3644">
        <v>9</v>
      </c>
      <c r="D3644">
        <v>0</v>
      </c>
      <c r="E3644">
        <v>134</v>
      </c>
      <c r="F3644">
        <v>1512</v>
      </c>
      <c r="G3644" s="3">
        <f t="shared" si="168"/>
        <v>12</v>
      </c>
      <c r="H3644" s="4">
        <f t="shared" si="169"/>
        <v>7.9365079365079083E-3</v>
      </c>
      <c r="I3644" s="1">
        <f t="shared" si="170"/>
        <v>0</v>
      </c>
    </row>
    <row r="3645" spans="1:9" hidden="1" x14ac:dyDescent="0.2">
      <c r="A3645" s="6">
        <v>44062.708333333336</v>
      </c>
      <c r="B3645" s="1" t="s">
        <v>20</v>
      </c>
      <c r="C3645">
        <v>11</v>
      </c>
      <c r="D3645">
        <v>0</v>
      </c>
      <c r="E3645">
        <v>134</v>
      </c>
      <c r="F3645">
        <v>1549</v>
      </c>
      <c r="G3645" s="3">
        <f t="shared" si="168"/>
        <v>37</v>
      </c>
      <c r="H3645" s="4">
        <f t="shared" si="169"/>
        <v>2.3886378308586198E-2</v>
      </c>
      <c r="I3645" s="1">
        <f t="shared" si="170"/>
        <v>0</v>
      </c>
    </row>
    <row r="3646" spans="1:9" hidden="1" x14ac:dyDescent="0.2">
      <c r="A3646" s="6">
        <v>44063.708333333336</v>
      </c>
      <c r="B3646" s="1" t="s">
        <v>20</v>
      </c>
      <c r="C3646">
        <v>12</v>
      </c>
      <c r="D3646">
        <v>0</v>
      </c>
      <c r="E3646">
        <v>134</v>
      </c>
      <c r="F3646">
        <v>1567</v>
      </c>
      <c r="G3646" s="3">
        <f t="shared" si="168"/>
        <v>18</v>
      </c>
      <c r="H3646" s="4">
        <f t="shared" si="169"/>
        <v>1.1486917677089981E-2</v>
      </c>
      <c r="I3646" s="1">
        <f t="shared" si="170"/>
        <v>0</v>
      </c>
    </row>
    <row r="3647" spans="1:9" hidden="1" x14ac:dyDescent="0.2">
      <c r="A3647" s="6">
        <v>44064.708333333336</v>
      </c>
      <c r="B3647" s="1" t="s">
        <v>20</v>
      </c>
      <c r="C3647">
        <v>13</v>
      </c>
      <c r="D3647">
        <v>0</v>
      </c>
      <c r="E3647">
        <v>134</v>
      </c>
      <c r="F3647">
        <v>1609</v>
      </c>
      <c r="G3647" s="3">
        <f t="shared" si="168"/>
        <v>42</v>
      </c>
      <c r="H3647" s="4">
        <f t="shared" si="169"/>
        <v>2.6103169670602888E-2</v>
      </c>
      <c r="I3647" s="1">
        <f t="shared" si="170"/>
        <v>0</v>
      </c>
    </row>
    <row r="3648" spans="1:9" hidden="1" x14ac:dyDescent="0.2">
      <c r="A3648" s="6">
        <v>44065.708333333336</v>
      </c>
      <c r="B3648" s="1" t="s">
        <v>20</v>
      </c>
      <c r="C3648">
        <v>14</v>
      </c>
      <c r="D3648">
        <v>0</v>
      </c>
      <c r="E3648">
        <v>134</v>
      </c>
      <c r="F3648">
        <v>1653</v>
      </c>
      <c r="G3648" s="3">
        <f t="shared" si="168"/>
        <v>44</v>
      </c>
      <c r="H3648" s="4">
        <f t="shared" si="169"/>
        <v>2.6618269812462181E-2</v>
      </c>
      <c r="I3648" s="1">
        <f t="shared" si="170"/>
        <v>0</v>
      </c>
    </row>
    <row r="3649" spans="1:9" hidden="1" x14ac:dyDescent="0.2">
      <c r="A3649" s="6">
        <v>44066.708333333336</v>
      </c>
      <c r="B3649" s="1" t="s">
        <v>20</v>
      </c>
      <c r="C3649">
        <v>18</v>
      </c>
      <c r="D3649">
        <v>0</v>
      </c>
      <c r="E3649">
        <v>134</v>
      </c>
      <c r="F3649">
        <v>1734</v>
      </c>
      <c r="G3649" s="3">
        <f t="shared" si="168"/>
        <v>81</v>
      </c>
      <c r="H3649" s="4">
        <f t="shared" si="169"/>
        <v>4.671280276816614E-2</v>
      </c>
      <c r="I3649" s="1">
        <f t="shared" si="170"/>
        <v>0</v>
      </c>
    </row>
    <row r="3650" spans="1:9" hidden="1" x14ac:dyDescent="0.2">
      <c r="A3650" s="6">
        <v>44067.708333333336</v>
      </c>
      <c r="B3650" s="1" t="s">
        <v>20</v>
      </c>
      <c r="C3650">
        <v>18</v>
      </c>
      <c r="D3650">
        <v>0</v>
      </c>
      <c r="E3650">
        <v>134</v>
      </c>
      <c r="F3650">
        <v>1825</v>
      </c>
      <c r="G3650" s="3">
        <f t="shared" si="168"/>
        <v>91</v>
      </c>
      <c r="H3650" s="4">
        <f t="shared" si="169"/>
        <v>4.986301369863011E-2</v>
      </c>
      <c r="I3650" s="1">
        <f t="shared" si="170"/>
        <v>0</v>
      </c>
    </row>
    <row r="3651" spans="1:9" hidden="1" x14ac:dyDescent="0.2">
      <c r="A3651" s="6">
        <v>44068.708333333336</v>
      </c>
      <c r="B3651" s="1" t="s">
        <v>20</v>
      </c>
      <c r="C3651">
        <v>19</v>
      </c>
      <c r="D3651">
        <v>0</v>
      </c>
      <c r="E3651">
        <v>134</v>
      </c>
      <c r="F3651">
        <v>1859</v>
      </c>
      <c r="G3651" s="3">
        <f t="shared" ref="G3651:G3714" si="171">IF(AND(F3651&gt;0,AND(B3651=B3650,F3651&gt;0)),F3651-F3650,0)</f>
        <v>34</v>
      </c>
      <c r="H3651" s="4">
        <f t="shared" ref="H3651:H3714" si="172">IF(AND(F3650&gt;0,AND(B3651=B3650,F3650&gt;0)),1-(F3650/F3651),0)</f>
        <v>1.8289402904787533E-2</v>
      </c>
      <c r="I3651" s="1">
        <f t="shared" ref="I3651:I3714" si="173">IF(AND(E3651&gt;0,AND(B3651=B3650,E3651&gt;0)),E3651-E3650,0)</f>
        <v>0</v>
      </c>
    </row>
    <row r="3652" spans="1:9" hidden="1" x14ac:dyDescent="0.2">
      <c r="A3652" s="6">
        <v>44069.708333333336</v>
      </c>
      <c r="B3652" s="1" t="s">
        <v>20</v>
      </c>
      <c r="C3652">
        <v>20</v>
      </c>
      <c r="D3652">
        <v>1</v>
      </c>
      <c r="E3652">
        <v>134</v>
      </c>
      <c r="F3652">
        <v>1912</v>
      </c>
      <c r="G3652" s="3">
        <f t="shared" si="171"/>
        <v>53</v>
      </c>
      <c r="H3652" s="4">
        <f t="shared" si="172"/>
        <v>2.7719665271966565E-2</v>
      </c>
      <c r="I3652" s="1">
        <f t="shared" si="173"/>
        <v>0</v>
      </c>
    </row>
    <row r="3653" spans="1:9" hidden="1" x14ac:dyDescent="0.2">
      <c r="A3653" s="6">
        <v>44070.708333333336</v>
      </c>
      <c r="B3653" s="1" t="s">
        <v>20</v>
      </c>
      <c r="C3653">
        <v>24</v>
      </c>
      <c r="D3653">
        <v>2</v>
      </c>
      <c r="E3653">
        <v>134</v>
      </c>
      <c r="F3653">
        <v>1967</v>
      </c>
      <c r="G3653" s="3">
        <f t="shared" si="171"/>
        <v>55</v>
      </c>
      <c r="H3653" s="4">
        <f t="shared" si="172"/>
        <v>2.7961362480935392E-2</v>
      </c>
      <c r="I3653" s="1">
        <f t="shared" si="173"/>
        <v>0</v>
      </c>
    </row>
    <row r="3654" spans="1:9" hidden="1" x14ac:dyDescent="0.2">
      <c r="A3654" s="6">
        <v>44071.708333333336</v>
      </c>
      <c r="B3654" s="1" t="s">
        <v>20</v>
      </c>
      <c r="C3654">
        <v>23</v>
      </c>
      <c r="D3654">
        <v>2</v>
      </c>
      <c r="E3654">
        <v>134</v>
      </c>
      <c r="F3654">
        <v>2022</v>
      </c>
      <c r="G3654" s="3">
        <f t="shared" si="171"/>
        <v>55</v>
      </c>
      <c r="H3654" s="4">
        <f t="shared" si="172"/>
        <v>2.7200791295746818E-2</v>
      </c>
      <c r="I3654" s="1">
        <f t="shared" si="173"/>
        <v>0</v>
      </c>
    </row>
    <row r="3655" spans="1:9" hidden="1" x14ac:dyDescent="0.2">
      <c r="A3655" s="6">
        <v>44072.708333333336</v>
      </c>
      <c r="B3655" s="1" t="s">
        <v>20</v>
      </c>
      <c r="C3655">
        <v>24</v>
      </c>
      <c r="D3655">
        <v>2</v>
      </c>
      <c r="E3655">
        <v>134</v>
      </c>
      <c r="F3655">
        <v>2092</v>
      </c>
      <c r="G3655" s="3">
        <f t="shared" si="171"/>
        <v>70</v>
      </c>
      <c r="H3655" s="4">
        <f t="shared" si="172"/>
        <v>3.3460803059273458E-2</v>
      </c>
      <c r="I3655" s="1">
        <f t="shared" si="173"/>
        <v>0</v>
      </c>
    </row>
    <row r="3656" spans="1:9" hidden="1" x14ac:dyDescent="0.2">
      <c r="A3656" s="6">
        <v>44073.708333333336</v>
      </c>
      <c r="B3656" s="1" t="s">
        <v>20</v>
      </c>
      <c r="C3656">
        <v>28</v>
      </c>
      <c r="D3656">
        <v>3</v>
      </c>
      <c r="E3656">
        <v>134</v>
      </c>
      <c r="F3656">
        <v>2114</v>
      </c>
      <c r="G3656" s="3">
        <f t="shared" si="171"/>
        <v>22</v>
      </c>
      <c r="H3656" s="4">
        <f t="shared" si="172"/>
        <v>1.040681173131508E-2</v>
      </c>
      <c r="I3656" s="1">
        <f t="shared" si="173"/>
        <v>0</v>
      </c>
    </row>
    <row r="3657" spans="1:9" hidden="1" x14ac:dyDescent="0.2">
      <c r="A3657" s="6">
        <v>44074.708333333336</v>
      </c>
      <c r="B3657" s="1" t="s">
        <v>20</v>
      </c>
      <c r="C3657">
        <v>28</v>
      </c>
      <c r="D3657">
        <v>4</v>
      </c>
      <c r="E3657">
        <v>134</v>
      </c>
      <c r="F3657">
        <v>2193</v>
      </c>
      <c r="G3657" s="3">
        <f t="shared" si="171"/>
        <v>79</v>
      </c>
      <c r="H3657" s="4">
        <f t="shared" si="172"/>
        <v>3.6023711810305503E-2</v>
      </c>
      <c r="I3657" s="1">
        <f t="shared" si="173"/>
        <v>0</v>
      </c>
    </row>
    <row r="3658" spans="1:9" hidden="1" x14ac:dyDescent="0.2">
      <c r="A3658" s="6">
        <v>44075.708333333336</v>
      </c>
      <c r="B3658" s="1" t="s">
        <v>20</v>
      </c>
      <c r="C3658">
        <v>31</v>
      </c>
      <c r="D3658">
        <v>6</v>
      </c>
      <c r="E3658">
        <v>134</v>
      </c>
      <c r="F3658">
        <v>2243</v>
      </c>
      <c r="G3658" s="3">
        <f t="shared" si="171"/>
        <v>50</v>
      </c>
      <c r="H3658" s="4">
        <f t="shared" si="172"/>
        <v>2.2291573785109264E-2</v>
      </c>
      <c r="I3658" s="1">
        <f t="shared" si="173"/>
        <v>0</v>
      </c>
    </row>
    <row r="3659" spans="1:9" hidden="1" x14ac:dyDescent="0.2">
      <c r="A3659" s="6">
        <v>44076.708333333336</v>
      </c>
      <c r="B3659" s="1" t="s">
        <v>20</v>
      </c>
      <c r="C3659">
        <v>32</v>
      </c>
      <c r="D3659">
        <v>5</v>
      </c>
      <c r="E3659">
        <v>135</v>
      </c>
      <c r="F3659">
        <v>2316</v>
      </c>
      <c r="G3659" s="3">
        <f t="shared" si="171"/>
        <v>73</v>
      </c>
      <c r="H3659" s="4">
        <f t="shared" si="172"/>
        <v>3.1519861830742624E-2</v>
      </c>
      <c r="I3659" s="1">
        <f t="shared" si="173"/>
        <v>1</v>
      </c>
    </row>
    <row r="3660" spans="1:9" hidden="1" x14ac:dyDescent="0.2">
      <c r="A3660" s="6">
        <v>44077.708333333336</v>
      </c>
      <c r="B3660" s="1" t="s">
        <v>20</v>
      </c>
      <c r="C3660">
        <v>35</v>
      </c>
      <c r="D3660">
        <v>6</v>
      </c>
      <c r="E3660">
        <v>135</v>
      </c>
      <c r="F3660">
        <v>2355</v>
      </c>
      <c r="G3660" s="3">
        <f t="shared" si="171"/>
        <v>39</v>
      </c>
      <c r="H3660" s="4">
        <f t="shared" si="172"/>
        <v>1.6560509554140124E-2</v>
      </c>
      <c r="I3660" s="1">
        <f t="shared" si="173"/>
        <v>0</v>
      </c>
    </row>
    <row r="3661" spans="1:9" hidden="1" x14ac:dyDescent="0.2">
      <c r="A3661" s="6">
        <v>44078.708333333336</v>
      </c>
      <c r="B3661" s="1" t="s">
        <v>20</v>
      </c>
      <c r="C3661">
        <v>41</v>
      </c>
      <c r="D3661">
        <v>6</v>
      </c>
      <c r="E3661">
        <v>135</v>
      </c>
      <c r="F3661">
        <v>2421</v>
      </c>
      <c r="G3661" s="3">
        <f t="shared" si="171"/>
        <v>66</v>
      </c>
      <c r="H3661" s="4">
        <f t="shared" si="172"/>
        <v>2.7261462205700138E-2</v>
      </c>
      <c r="I3661" s="1">
        <f t="shared" si="173"/>
        <v>0</v>
      </c>
    </row>
    <row r="3662" spans="1:9" hidden="1" x14ac:dyDescent="0.2">
      <c r="A3662" s="6">
        <v>44079.708333333336</v>
      </c>
      <c r="B3662" s="1" t="s">
        <v>20</v>
      </c>
      <c r="C3662">
        <v>44</v>
      </c>
      <c r="D3662">
        <v>8</v>
      </c>
      <c r="E3662">
        <v>136</v>
      </c>
      <c r="F3662">
        <v>2486</v>
      </c>
      <c r="G3662" s="3">
        <f t="shared" si="171"/>
        <v>65</v>
      </c>
      <c r="H3662" s="4">
        <f t="shared" si="172"/>
        <v>2.6146419951729727E-2</v>
      </c>
      <c r="I3662" s="1">
        <f t="shared" si="173"/>
        <v>1</v>
      </c>
    </row>
    <row r="3663" spans="1:9" hidden="1" x14ac:dyDescent="0.2">
      <c r="A3663" s="6">
        <v>44080.708333333336</v>
      </c>
      <c r="B3663" s="1" t="s">
        <v>20</v>
      </c>
      <c r="C3663">
        <v>45</v>
      </c>
      <c r="D3663">
        <v>8</v>
      </c>
      <c r="E3663">
        <v>136</v>
      </c>
      <c r="F3663">
        <v>2505</v>
      </c>
      <c r="G3663" s="3">
        <f t="shared" si="171"/>
        <v>19</v>
      </c>
      <c r="H3663" s="4">
        <f t="shared" si="172"/>
        <v>7.5848303393213357E-3</v>
      </c>
      <c r="I3663" s="1">
        <f t="shared" si="173"/>
        <v>0</v>
      </c>
    </row>
    <row r="3664" spans="1:9" hidden="1" x14ac:dyDescent="0.2">
      <c r="A3664" s="6">
        <v>44081.708333333336</v>
      </c>
      <c r="B3664" s="1" t="s">
        <v>20</v>
      </c>
      <c r="C3664">
        <v>46</v>
      </c>
      <c r="D3664">
        <v>10</v>
      </c>
      <c r="E3664">
        <v>136</v>
      </c>
      <c r="F3664">
        <v>2564</v>
      </c>
      <c r="G3664" s="3">
        <f t="shared" si="171"/>
        <v>59</v>
      </c>
      <c r="H3664" s="4">
        <f t="shared" si="172"/>
        <v>2.3010920436817517E-2</v>
      </c>
      <c r="I3664" s="1">
        <f t="shared" si="173"/>
        <v>0</v>
      </c>
    </row>
    <row r="3665" spans="1:9" hidden="1" x14ac:dyDescent="0.2">
      <c r="A3665" s="6">
        <v>44082.708333333336</v>
      </c>
      <c r="B3665" s="1" t="s">
        <v>20</v>
      </c>
      <c r="C3665">
        <v>48</v>
      </c>
      <c r="D3665">
        <v>10</v>
      </c>
      <c r="E3665">
        <v>136</v>
      </c>
      <c r="F3665">
        <v>2615</v>
      </c>
      <c r="G3665" s="3">
        <f t="shared" si="171"/>
        <v>51</v>
      </c>
      <c r="H3665" s="4">
        <f t="shared" si="172"/>
        <v>1.9502868068833612E-2</v>
      </c>
      <c r="I3665" s="1">
        <f t="shared" si="173"/>
        <v>0</v>
      </c>
    </row>
    <row r="3666" spans="1:9" hidden="1" x14ac:dyDescent="0.2">
      <c r="A3666" s="6">
        <v>44083.708333333336</v>
      </c>
      <c r="B3666" s="1" t="s">
        <v>20</v>
      </c>
      <c r="C3666">
        <v>51</v>
      </c>
      <c r="D3666">
        <v>12</v>
      </c>
      <c r="E3666">
        <v>138</v>
      </c>
      <c r="F3666">
        <v>2662</v>
      </c>
      <c r="G3666" s="3">
        <f t="shared" si="171"/>
        <v>47</v>
      </c>
      <c r="H3666" s="4">
        <f t="shared" si="172"/>
        <v>1.7655897821187039E-2</v>
      </c>
      <c r="I3666" s="1">
        <f t="shared" si="173"/>
        <v>2</v>
      </c>
    </row>
    <row r="3667" spans="1:9" hidden="1" x14ac:dyDescent="0.2">
      <c r="A3667" s="6">
        <v>44084.708333333336</v>
      </c>
      <c r="B3667" s="1" t="s">
        <v>20</v>
      </c>
      <c r="C3667">
        <v>57</v>
      </c>
      <c r="D3667">
        <v>12</v>
      </c>
      <c r="E3667">
        <v>139</v>
      </c>
      <c r="F3667">
        <v>2725</v>
      </c>
      <c r="G3667" s="3">
        <f t="shared" si="171"/>
        <v>63</v>
      </c>
      <c r="H3667" s="4">
        <f t="shared" si="172"/>
        <v>2.3119266055045884E-2</v>
      </c>
      <c r="I3667" s="1">
        <f t="shared" si="173"/>
        <v>1</v>
      </c>
    </row>
    <row r="3668" spans="1:9" hidden="1" x14ac:dyDescent="0.2">
      <c r="A3668" s="6">
        <v>44085.708333333336</v>
      </c>
      <c r="B3668" s="1" t="s">
        <v>20</v>
      </c>
      <c r="C3668">
        <v>61</v>
      </c>
      <c r="D3668">
        <v>12</v>
      </c>
      <c r="E3668">
        <v>139</v>
      </c>
      <c r="F3668">
        <v>2790</v>
      </c>
      <c r="G3668" s="3">
        <f t="shared" si="171"/>
        <v>65</v>
      </c>
      <c r="H3668" s="4">
        <f t="shared" si="172"/>
        <v>2.3297491039426577E-2</v>
      </c>
      <c r="I3668" s="1">
        <f t="shared" si="173"/>
        <v>0</v>
      </c>
    </row>
    <row r="3669" spans="1:9" hidden="1" x14ac:dyDescent="0.2">
      <c r="A3669" s="6">
        <v>44086.708333333336</v>
      </c>
      <c r="B3669" s="1" t="s">
        <v>20</v>
      </c>
      <c r="C3669">
        <v>62</v>
      </c>
      <c r="D3669">
        <v>14</v>
      </c>
      <c r="E3669">
        <v>140</v>
      </c>
      <c r="F3669">
        <v>2841</v>
      </c>
      <c r="G3669" s="3">
        <f t="shared" si="171"/>
        <v>51</v>
      </c>
      <c r="H3669" s="4">
        <f t="shared" si="172"/>
        <v>1.7951425554382228E-2</v>
      </c>
      <c r="I3669" s="1">
        <f t="shared" si="173"/>
        <v>1</v>
      </c>
    </row>
    <row r="3670" spans="1:9" hidden="1" x14ac:dyDescent="0.2">
      <c r="A3670" s="6">
        <v>44087.708333333336</v>
      </c>
      <c r="B3670" s="1" t="s">
        <v>20</v>
      </c>
      <c r="C3670">
        <v>80</v>
      </c>
      <c r="D3670">
        <v>14</v>
      </c>
      <c r="E3670">
        <v>140</v>
      </c>
      <c r="F3670">
        <v>2874</v>
      </c>
      <c r="G3670" s="3">
        <f t="shared" si="171"/>
        <v>33</v>
      </c>
      <c r="H3670" s="4">
        <f t="shared" si="172"/>
        <v>1.1482254697286032E-2</v>
      </c>
      <c r="I3670" s="1">
        <f t="shared" si="173"/>
        <v>0</v>
      </c>
    </row>
    <row r="3671" spans="1:9" hidden="1" x14ac:dyDescent="0.2">
      <c r="A3671" s="6">
        <v>44088.708333333336</v>
      </c>
      <c r="B3671" s="1" t="s">
        <v>20</v>
      </c>
      <c r="C3671">
        <v>85</v>
      </c>
      <c r="D3671">
        <v>16</v>
      </c>
      <c r="E3671">
        <v>140</v>
      </c>
      <c r="F3671">
        <v>2928</v>
      </c>
      <c r="G3671" s="3">
        <f t="shared" si="171"/>
        <v>54</v>
      </c>
      <c r="H3671" s="4">
        <f t="shared" si="172"/>
        <v>1.8442622950819665E-2</v>
      </c>
      <c r="I3671" s="1">
        <f t="shared" si="173"/>
        <v>0</v>
      </c>
    </row>
    <row r="3672" spans="1:9" hidden="1" x14ac:dyDescent="0.2">
      <c r="A3672" s="6">
        <v>44089.708333333336</v>
      </c>
      <c r="B3672" s="1" t="s">
        <v>20</v>
      </c>
      <c r="C3672">
        <v>86</v>
      </c>
      <c r="D3672">
        <v>18</v>
      </c>
      <c r="E3672">
        <v>140</v>
      </c>
      <c r="F3672">
        <v>2964</v>
      </c>
      <c r="G3672" s="3">
        <f t="shared" si="171"/>
        <v>36</v>
      </c>
      <c r="H3672" s="4">
        <f t="shared" si="172"/>
        <v>1.2145748987854255E-2</v>
      </c>
      <c r="I3672" s="1">
        <f t="shared" si="173"/>
        <v>0</v>
      </c>
    </row>
    <row r="3673" spans="1:9" hidden="1" x14ac:dyDescent="0.2">
      <c r="A3673" s="6">
        <v>44090.708333333336</v>
      </c>
      <c r="B3673" s="1" t="s">
        <v>20</v>
      </c>
      <c r="C3673">
        <v>88</v>
      </c>
      <c r="D3673">
        <v>17</v>
      </c>
      <c r="E3673">
        <v>140</v>
      </c>
      <c r="F3673">
        <v>2991</v>
      </c>
      <c r="G3673" s="3">
        <f t="shared" si="171"/>
        <v>27</v>
      </c>
      <c r="H3673" s="4">
        <f t="shared" si="172"/>
        <v>9.0270812437311942E-3</v>
      </c>
      <c r="I3673" s="1">
        <f t="shared" si="173"/>
        <v>0</v>
      </c>
    </row>
    <row r="3674" spans="1:9" hidden="1" x14ac:dyDescent="0.2">
      <c r="A3674" s="6">
        <v>44091.708333333336</v>
      </c>
      <c r="B3674" s="1" t="s">
        <v>20</v>
      </c>
      <c r="C3674">
        <v>84</v>
      </c>
      <c r="D3674">
        <v>17</v>
      </c>
      <c r="E3674">
        <v>140</v>
      </c>
      <c r="F3674">
        <v>3042</v>
      </c>
      <c r="G3674" s="3">
        <f t="shared" si="171"/>
        <v>51</v>
      </c>
      <c r="H3674" s="4">
        <f t="shared" si="172"/>
        <v>1.6765285996055201E-2</v>
      </c>
      <c r="I3674" s="1">
        <f t="shared" si="173"/>
        <v>0</v>
      </c>
    </row>
    <row r="3675" spans="1:9" hidden="1" x14ac:dyDescent="0.2">
      <c r="A3675" s="6">
        <v>44092.708333333336</v>
      </c>
      <c r="B3675" s="1" t="s">
        <v>20</v>
      </c>
      <c r="C3675">
        <v>89</v>
      </c>
      <c r="D3675">
        <v>17</v>
      </c>
      <c r="E3675">
        <v>141</v>
      </c>
      <c r="F3675">
        <v>3108</v>
      </c>
      <c r="G3675" s="3">
        <f t="shared" si="171"/>
        <v>66</v>
      </c>
      <c r="H3675" s="4">
        <f t="shared" si="172"/>
        <v>2.1235521235521193E-2</v>
      </c>
      <c r="I3675" s="1">
        <f t="shared" si="173"/>
        <v>1</v>
      </c>
    </row>
    <row r="3676" spans="1:9" hidden="1" x14ac:dyDescent="0.2">
      <c r="A3676" s="6">
        <v>44093.708333333336</v>
      </c>
      <c r="B3676" s="1" t="s">
        <v>20</v>
      </c>
      <c r="C3676">
        <v>91</v>
      </c>
      <c r="D3676">
        <v>18</v>
      </c>
      <c r="E3676">
        <v>141</v>
      </c>
      <c r="F3676">
        <v>3167</v>
      </c>
      <c r="G3676" s="3">
        <f t="shared" si="171"/>
        <v>59</v>
      </c>
      <c r="H3676" s="4">
        <f t="shared" si="172"/>
        <v>1.8629617934954212E-2</v>
      </c>
      <c r="I3676" s="1">
        <f t="shared" si="173"/>
        <v>0</v>
      </c>
    </row>
    <row r="3677" spans="1:9" hidden="1" x14ac:dyDescent="0.2">
      <c r="A3677" s="6">
        <v>44094.708333333336</v>
      </c>
      <c r="B3677" s="1" t="s">
        <v>20</v>
      </c>
      <c r="C3677">
        <v>96</v>
      </c>
      <c r="D3677">
        <v>18</v>
      </c>
      <c r="E3677">
        <v>141</v>
      </c>
      <c r="F3677">
        <v>3239</v>
      </c>
      <c r="G3677" s="3">
        <f t="shared" si="171"/>
        <v>72</v>
      </c>
      <c r="H3677" s="4">
        <f t="shared" si="172"/>
        <v>2.2229083050324228E-2</v>
      </c>
      <c r="I3677" s="1">
        <f t="shared" si="173"/>
        <v>0</v>
      </c>
    </row>
    <row r="3678" spans="1:9" hidden="1" x14ac:dyDescent="0.2">
      <c r="A3678" s="6">
        <v>44095.708333333336</v>
      </c>
      <c r="B3678" s="1" t="s">
        <v>20</v>
      </c>
      <c r="C3678">
        <v>98</v>
      </c>
      <c r="D3678">
        <v>20</v>
      </c>
      <c r="E3678">
        <v>143</v>
      </c>
      <c r="F3678">
        <v>3303</v>
      </c>
      <c r="G3678" s="3">
        <f t="shared" si="171"/>
        <v>64</v>
      </c>
      <c r="H3678" s="4">
        <f t="shared" si="172"/>
        <v>1.9376324553436297E-2</v>
      </c>
      <c r="I3678" s="1">
        <f t="shared" si="173"/>
        <v>2</v>
      </c>
    </row>
    <row r="3679" spans="1:9" hidden="1" x14ac:dyDescent="0.2">
      <c r="A3679" s="6">
        <v>44096.708333333336</v>
      </c>
      <c r="B3679" s="1" t="s">
        <v>20</v>
      </c>
      <c r="C3679">
        <v>96</v>
      </c>
      <c r="D3679">
        <v>21</v>
      </c>
      <c r="E3679">
        <v>143</v>
      </c>
      <c r="F3679">
        <v>3356</v>
      </c>
      <c r="G3679" s="3">
        <f t="shared" si="171"/>
        <v>53</v>
      </c>
      <c r="H3679" s="4">
        <f t="shared" si="172"/>
        <v>1.5792610250297989E-2</v>
      </c>
      <c r="I3679" s="1">
        <f t="shared" si="173"/>
        <v>0</v>
      </c>
    </row>
    <row r="3680" spans="1:9" hidden="1" x14ac:dyDescent="0.2">
      <c r="A3680" s="6">
        <v>44097.708333333336</v>
      </c>
      <c r="B3680" s="1" t="s">
        <v>20</v>
      </c>
      <c r="C3680">
        <v>100</v>
      </c>
      <c r="D3680">
        <v>21</v>
      </c>
      <c r="E3680">
        <v>145</v>
      </c>
      <c r="F3680">
        <v>3405</v>
      </c>
      <c r="G3680" s="3">
        <f t="shared" si="171"/>
        <v>49</v>
      </c>
      <c r="H3680" s="4">
        <f t="shared" si="172"/>
        <v>1.4390602055800339E-2</v>
      </c>
      <c r="I3680" s="1">
        <f t="shared" si="173"/>
        <v>2</v>
      </c>
    </row>
    <row r="3681" spans="1:9" hidden="1" x14ac:dyDescent="0.2">
      <c r="A3681" s="6">
        <v>44098.708333333336</v>
      </c>
      <c r="B3681" s="1" t="s">
        <v>20</v>
      </c>
      <c r="C3681">
        <v>112</v>
      </c>
      <c r="D3681">
        <v>18</v>
      </c>
      <c r="E3681">
        <v>148</v>
      </c>
      <c r="F3681">
        <v>3471</v>
      </c>
      <c r="G3681" s="3">
        <f t="shared" si="171"/>
        <v>66</v>
      </c>
      <c r="H3681" s="4">
        <f t="shared" si="172"/>
        <v>1.9014693171996555E-2</v>
      </c>
      <c r="I3681" s="1">
        <f t="shared" si="173"/>
        <v>3</v>
      </c>
    </row>
    <row r="3682" spans="1:9" hidden="1" x14ac:dyDescent="0.2">
      <c r="A3682" s="6">
        <v>44099.708333333336</v>
      </c>
      <c r="B3682" s="1" t="s">
        <v>20</v>
      </c>
      <c r="C3682">
        <v>112</v>
      </c>
      <c r="D3682">
        <v>19</v>
      </c>
      <c r="E3682">
        <v>148</v>
      </c>
      <c r="F3682">
        <v>3528</v>
      </c>
      <c r="G3682" s="3">
        <f t="shared" si="171"/>
        <v>57</v>
      </c>
      <c r="H3682" s="4">
        <f t="shared" si="172"/>
        <v>1.6156462585034004E-2</v>
      </c>
      <c r="I3682" s="1">
        <f t="shared" si="173"/>
        <v>0</v>
      </c>
    </row>
    <row r="3683" spans="1:9" hidden="1" x14ac:dyDescent="0.2">
      <c r="A3683" s="6">
        <v>44100.708333333336</v>
      </c>
      <c r="B3683" s="1" t="s">
        <v>20</v>
      </c>
      <c r="C3683">
        <v>109</v>
      </c>
      <c r="D3683">
        <v>18</v>
      </c>
      <c r="E3683">
        <v>148</v>
      </c>
      <c r="F3683">
        <v>3591</v>
      </c>
      <c r="G3683" s="3">
        <f t="shared" si="171"/>
        <v>63</v>
      </c>
      <c r="H3683" s="4">
        <f t="shared" si="172"/>
        <v>1.7543859649122862E-2</v>
      </c>
      <c r="I3683" s="1">
        <f t="shared" si="173"/>
        <v>0</v>
      </c>
    </row>
    <row r="3684" spans="1:9" hidden="1" x14ac:dyDescent="0.2">
      <c r="A3684" s="6">
        <v>44101.708333333336</v>
      </c>
      <c r="B3684" s="1" t="s">
        <v>20</v>
      </c>
      <c r="C3684">
        <v>110</v>
      </c>
      <c r="D3684">
        <v>18</v>
      </c>
      <c r="E3684">
        <v>149</v>
      </c>
      <c r="F3684">
        <v>3730</v>
      </c>
      <c r="G3684" s="3">
        <f t="shared" si="171"/>
        <v>139</v>
      </c>
      <c r="H3684" s="4">
        <f t="shared" si="172"/>
        <v>3.7265415549597836E-2</v>
      </c>
      <c r="I3684" s="1">
        <f t="shared" si="173"/>
        <v>1</v>
      </c>
    </row>
    <row r="3685" spans="1:9" hidden="1" x14ac:dyDescent="0.2">
      <c r="A3685" s="6">
        <v>44102.708333333336</v>
      </c>
      <c r="B3685" s="1" t="s">
        <v>20</v>
      </c>
      <c r="C3685">
        <v>109</v>
      </c>
      <c r="D3685">
        <v>17</v>
      </c>
      <c r="E3685">
        <v>150</v>
      </c>
      <c r="F3685">
        <v>3767</v>
      </c>
      <c r="G3685" s="3">
        <f t="shared" si="171"/>
        <v>37</v>
      </c>
      <c r="H3685" s="4">
        <f t="shared" si="172"/>
        <v>9.8221396336607425E-3</v>
      </c>
      <c r="I3685" s="1">
        <f t="shared" si="173"/>
        <v>1</v>
      </c>
    </row>
    <row r="3686" spans="1:9" hidden="1" x14ac:dyDescent="0.2">
      <c r="A3686" s="6">
        <v>44103.708333333336</v>
      </c>
      <c r="B3686" s="1" t="s">
        <v>20</v>
      </c>
      <c r="C3686">
        <v>102</v>
      </c>
      <c r="D3686">
        <v>19</v>
      </c>
      <c r="E3686">
        <v>151</v>
      </c>
      <c r="F3686">
        <v>3849</v>
      </c>
      <c r="G3686" s="3">
        <f t="shared" si="171"/>
        <v>82</v>
      </c>
      <c r="H3686" s="4">
        <f t="shared" si="172"/>
        <v>2.1304234866199034E-2</v>
      </c>
      <c r="I3686" s="1">
        <f t="shared" si="173"/>
        <v>1</v>
      </c>
    </row>
    <row r="3687" spans="1:9" hidden="1" x14ac:dyDescent="0.2">
      <c r="A3687" s="6">
        <v>44104.708333333336</v>
      </c>
      <c r="B3687" s="1" t="s">
        <v>20</v>
      </c>
      <c r="C3687">
        <v>101</v>
      </c>
      <c r="D3687">
        <v>19</v>
      </c>
      <c r="E3687">
        <v>154</v>
      </c>
      <c r="F3687">
        <v>3900</v>
      </c>
      <c r="G3687" s="3">
        <f t="shared" si="171"/>
        <v>51</v>
      </c>
      <c r="H3687" s="4">
        <f t="shared" si="172"/>
        <v>1.3076923076923097E-2</v>
      </c>
      <c r="I3687" s="1">
        <f t="shared" si="173"/>
        <v>3</v>
      </c>
    </row>
    <row r="3688" spans="1:9" hidden="1" x14ac:dyDescent="0.2">
      <c r="A3688" s="6">
        <v>44105.708333333336</v>
      </c>
      <c r="B3688" s="1" t="s">
        <v>20</v>
      </c>
      <c r="C3688">
        <v>110</v>
      </c>
      <c r="D3688">
        <v>20</v>
      </c>
      <c r="E3688">
        <v>155</v>
      </c>
      <c r="F3688">
        <v>3996</v>
      </c>
      <c r="G3688" s="3">
        <f t="shared" si="171"/>
        <v>96</v>
      </c>
      <c r="H3688" s="4">
        <f t="shared" si="172"/>
        <v>2.4024024024024038E-2</v>
      </c>
      <c r="I3688" s="1">
        <f t="shared" si="173"/>
        <v>1</v>
      </c>
    </row>
    <row r="3689" spans="1:9" hidden="1" x14ac:dyDescent="0.2">
      <c r="A3689" s="6">
        <v>44106.708333333336</v>
      </c>
      <c r="B3689" s="1" t="s">
        <v>20</v>
      </c>
      <c r="C3689">
        <v>106</v>
      </c>
      <c r="D3689">
        <v>21</v>
      </c>
      <c r="E3689">
        <v>155</v>
      </c>
      <c r="F3689">
        <v>4056</v>
      </c>
      <c r="G3689" s="3">
        <f t="shared" si="171"/>
        <v>60</v>
      </c>
      <c r="H3689" s="4">
        <f t="shared" si="172"/>
        <v>1.4792899408283988E-2</v>
      </c>
      <c r="I3689" s="1">
        <f t="shared" si="173"/>
        <v>0</v>
      </c>
    </row>
    <row r="3690" spans="1:9" hidden="1" x14ac:dyDescent="0.2">
      <c r="A3690" s="6">
        <v>44107.708333333336</v>
      </c>
      <c r="B3690" s="1" t="s">
        <v>20</v>
      </c>
      <c r="C3690">
        <v>113</v>
      </c>
      <c r="D3690">
        <v>21</v>
      </c>
      <c r="E3690">
        <v>155</v>
      </c>
      <c r="F3690">
        <v>4118</v>
      </c>
      <c r="G3690" s="3">
        <f t="shared" si="171"/>
        <v>62</v>
      </c>
      <c r="H3690" s="4">
        <f t="shared" si="172"/>
        <v>1.5055852355512434E-2</v>
      </c>
      <c r="I3690" s="1">
        <f t="shared" si="173"/>
        <v>0</v>
      </c>
    </row>
    <row r="3691" spans="1:9" hidden="1" x14ac:dyDescent="0.2">
      <c r="A3691" s="6">
        <v>44108.708333333336</v>
      </c>
      <c r="B3691" s="1" t="s">
        <v>20</v>
      </c>
      <c r="C3691">
        <v>114</v>
      </c>
      <c r="D3691">
        <v>20</v>
      </c>
      <c r="E3691">
        <v>156</v>
      </c>
      <c r="F3691">
        <v>4229</v>
      </c>
      <c r="G3691" s="3">
        <f t="shared" si="171"/>
        <v>111</v>
      </c>
      <c r="H3691" s="4">
        <f t="shared" si="172"/>
        <v>2.6247339796642177E-2</v>
      </c>
      <c r="I3691" s="1">
        <f t="shared" si="173"/>
        <v>1</v>
      </c>
    </row>
    <row r="3692" spans="1:9" hidden="1" x14ac:dyDescent="0.2">
      <c r="A3692" s="6">
        <v>44109.708333333336</v>
      </c>
      <c r="B3692" s="1" t="s">
        <v>20</v>
      </c>
      <c r="C3692">
        <v>116</v>
      </c>
      <c r="D3692">
        <v>19</v>
      </c>
      <c r="E3692">
        <v>156</v>
      </c>
      <c r="F3692">
        <v>4317</v>
      </c>
      <c r="G3692" s="3">
        <f t="shared" si="171"/>
        <v>88</v>
      </c>
      <c r="H3692" s="4">
        <f t="shared" si="172"/>
        <v>2.038452629140608E-2</v>
      </c>
      <c r="I3692" s="1">
        <f t="shared" si="173"/>
        <v>0</v>
      </c>
    </row>
    <row r="3693" spans="1:9" hidden="1" x14ac:dyDescent="0.2">
      <c r="A3693" s="6">
        <v>44110.708333333336</v>
      </c>
      <c r="B3693" s="1" t="s">
        <v>20</v>
      </c>
      <c r="C3693">
        <v>125</v>
      </c>
      <c r="D3693">
        <v>19</v>
      </c>
      <c r="E3693">
        <v>157</v>
      </c>
      <c r="F3693">
        <v>4380</v>
      </c>
      <c r="G3693" s="3">
        <f t="shared" si="171"/>
        <v>63</v>
      </c>
      <c r="H3693" s="4">
        <f t="shared" si="172"/>
        <v>1.4383561643835585E-2</v>
      </c>
      <c r="I3693" s="1">
        <f t="shared" si="173"/>
        <v>1</v>
      </c>
    </row>
    <row r="3694" spans="1:9" hidden="1" x14ac:dyDescent="0.2">
      <c r="A3694" s="6">
        <v>44111.708333333336</v>
      </c>
      <c r="B3694" s="1" t="s">
        <v>20</v>
      </c>
      <c r="C3694">
        <v>128</v>
      </c>
      <c r="D3694">
        <v>19</v>
      </c>
      <c r="E3694">
        <v>160</v>
      </c>
      <c r="F3694">
        <v>4481</v>
      </c>
      <c r="G3694" s="3">
        <f t="shared" si="171"/>
        <v>101</v>
      </c>
      <c r="H3694" s="4">
        <f t="shared" si="172"/>
        <v>2.2539611693818351E-2</v>
      </c>
      <c r="I3694" s="1">
        <f t="shared" si="173"/>
        <v>3</v>
      </c>
    </row>
    <row r="3695" spans="1:9" hidden="1" x14ac:dyDescent="0.2">
      <c r="A3695" s="6">
        <v>44112.708333333336</v>
      </c>
      <c r="B3695" s="1" t="s">
        <v>20</v>
      </c>
      <c r="C3695">
        <v>129</v>
      </c>
      <c r="D3695">
        <v>19</v>
      </c>
      <c r="E3695">
        <v>161</v>
      </c>
      <c r="F3695">
        <v>4608</v>
      </c>
      <c r="G3695" s="3">
        <f t="shared" si="171"/>
        <v>127</v>
      </c>
      <c r="H3695" s="4">
        <f t="shared" si="172"/>
        <v>2.756076388888884E-2</v>
      </c>
      <c r="I3695" s="1">
        <f t="shared" si="173"/>
        <v>1</v>
      </c>
    </row>
    <row r="3696" spans="1:9" hidden="1" x14ac:dyDescent="0.2">
      <c r="A3696" s="6">
        <v>44113.708333333336</v>
      </c>
      <c r="B3696" s="1" t="s">
        <v>20</v>
      </c>
      <c r="C3696">
        <v>133</v>
      </c>
      <c r="D3696">
        <v>23</v>
      </c>
      <c r="E3696">
        <v>161</v>
      </c>
      <c r="F3696">
        <v>4742</v>
      </c>
      <c r="G3696" s="3">
        <f t="shared" si="171"/>
        <v>134</v>
      </c>
      <c r="H3696" s="4">
        <f t="shared" si="172"/>
        <v>2.825811893715735E-2</v>
      </c>
      <c r="I3696" s="1">
        <f t="shared" si="173"/>
        <v>0</v>
      </c>
    </row>
    <row r="3697" spans="1:9" hidden="1" x14ac:dyDescent="0.2">
      <c r="A3697" s="6">
        <v>44114.708333333336</v>
      </c>
      <c r="B3697" s="1" t="s">
        <v>20</v>
      </c>
      <c r="C3697">
        <v>140</v>
      </c>
      <c r="D3697">
        <v>25</v>
      </c>
      <c r="E3697">
        <v>161</v>
      </c>
      <c r="F3697">
        <v>4866</v>
      </c>
      <c r="G3697" s="3">
        <f t="shared" si="171"/>
        <v>124</v>
      </c>
      <c r="H3697" s="4">
        <f t="shared" si="172"/>
        <v>2.5482942868886194E-2</v>
      </c>
      <c r="I3697" s="1">
        <f t="shared" si="173"/>
        <v>0</v>
      </c>
    </row>
    <row r="3698" spans="1:9" hidden="1" x14ac:dyDescent="0.2">
      <c r="A3698" s="6">
        <v>44115.708333333336</v>
      </c>
      <c r="B3698" s="1" t="s">
        <v>20</v>
      </c>
      <c r="C3698">
        <v>140</v>
      </c>
      <c r="D3698">
        <v>22</v>
      </c>
      <c r="E3698">
        <v>165</v>
      </c>
      <c r="F3698">
        <v>5009</v>
      </c>
      <c r="G3698" s="3">
        <f t="shared" si="171"/>
        <v>143</v>
      </c>
      <c r="H3698" s="4">
        <f t="shared" si="172"/>
        <v>2.8548612497504511E-2</v>
      </c>
      <c r="I3698" s="1">
        <f t="shared" si="173"/>
        <v>4</v>
      </c>
    </row>
    <row r="3699" spans="1:9" hidden="1" x14ac:dyDescent="0.2">
      <c r="A3699" s="6">
        <v>43885.75</v>
      </c>
      <c r="B3699" s="1" t="s">
        <v>21</v>
      </c>
      <c r="C3699">
        <v>0</v>
      </c>
      <c r="D3699">
        <v>0</v>
      </c>
      <c r="E3699">
        <v>0</v>
      </c>
      <c r="F3699">
        <v>0</v>
      </c>
      <c r="G3699" s="3">
        <f t="shared" si="171"/>
        <v>0</v>
      </c>
      <c r="H3699" s="4">
        <f t="shared" si="172"/>
        <v>0</v>
      </c>
      <c r="I3699" s="1">
        <f t="shared" si="173"/>
        <v>0</v>
      </c>
    </row>
    <row r="3700" spans="1:9" hidden="1" x14ac:dyDescent="0.2">
      <c r="A3700" s="6">
        <v>43886.75</v>
      </c>
      <c r="B3700" s="1" t="s">
        <v>21</v>
      </c>
      <c r="C3700">
        <v>1</v>
      </c>
      <c r="D3700">
        <v>0</v>
      </c>
      <c r="E3700">
        <v>0</v>
      </c>
      <c r="F3700">
        <v>3</v>
      </c>
      <c r="G3700" s="3">
        <f t="shared" si="171"/>
        <v>3</v>
      </c>
      <c r="H3700" s="4">
        <f t="shared" si="172"/>
        <v>0</v>
      </c>
      <c r="I3700" s="1">
        <f t="shared" si="173"/>
        <v>0</v>
      </c>
    </row>
    <row r="3701" spans="1:9" hidden="1" x14ac:dyDescent="0.2">
      <c r="A3701" s="6">
        <v>43887.75</v>
      </c>
      <c r="B3701" s="1" t="s">
        <v>21</v>
      </c>
      <c r="C3701">
        <v>1</v>
      </c>
      <c r="D3701">
        <v>0</v>
      </c>
      <c r="E3701">
        <v>0</v>
      </c>
      <c r="F3701">
        <v>3</v>
      </c>
      <c r="G3701" s="3">
        <f t="shared" si="171"/>
        <v>0</v>
      </c>
      <c r="H3701" s="4">
        <f t="shared" si="172"/>
        <v>0</v>
      </c>
      <c r="I3701" s="1">
        <f t="shared" si="173"/>
        <v>0</v>
      </c>
    </row>
    <row r="3702" spans="1:9" hidden="1" x14ac:dyDescent="0.2">
      <c r="A3702" s="6">
        <v>43888.75</v>
      </c>
      <c r="B3702" s="1" t="s">
        <v>21</v>
      </c>
      <c r="C3702">
        <v>1</v>
      </c>
      <c r="D3702">
        <v>0</v>
      </c>
      <c r="E3702">
        <v>0</v>
      </c>
      <c r="F3702">
        <v>4</v>
      </c>
      <c r="G3702" s="3">
        <f t="shared" si="171"/>
        <v>1</v>
      </c>
      <c r="H3702" s="4">
        <f t="shared" si="172"/>
        <v>0.25</v>
      </c>
      <c r="I3702" s="1">
        <f t="shared" si="173"/>
        <v>0</v>
      </c>
    </row>
    <row r="3703" spans="1:9" hidden="1" x14ac:dyDescent="0.2">
      <c r="A3703" s="6">
        <v>43889.75</v>
      </c>
      <c r="B3703" s="1" t="s">
        <v>21</v>
      </c>
      <c r="C3703">
        <v>1</v>
      </c>
      <c r="D3703">
        <v>0</v>
      </c>
      <c r="E3703">
        <v>0</v>
      </c>
      <c r="F3703">
        <v>4</v>
      </c>
      <c r="G3703" s="3">
        <f t="shared" si="171"/>
        <v>0</v>
      </c>
      <c r="H3703" s="4">
        <f t="shared" si="172"/>
        <v>0</v>
      </c>
      <c r="I3703" s="1">
        <f t="shared" si="173"/>
        <v>0</v>
      </c>
    </row>
    <row r="3704" spans="1:9" hidden="1" x14ac:dyDescent="0.2">
      <c r="A3704" s="6">
        <v>43890.708333333336</v>
      </c>
      <c r="B3704" s="1" t="s">
        <v>21</v>
      </c>
      <c r="C3704">
        <v>1</v>
      </c>
      <c r="D3704">
        <v>0</v>
      </c>
      <c r="E3704">
        <v>0</v>
      </c>
      <c r="F3704">
        <v>4</v>
      </c>
      <c r="G3704" s="3">
        <f t="shared" si="171"/>
        <v>0</v>
      </c>
      <c r="H3704" s="4">
        <f t="shared" si="172"/>
        <v>0</v>
      </c>
      <c r="I3704" s="1">
        <f t="shared" si="173"/>
        <v>0</v>
      </c>
    </row>
    <row r="3705" spans="1:9" hidden="1" x14ac:dyDescent="0.2">
      <c r="A3705" s="6">
        <v>43891.708333333336</v>
      </c>
      <c r="B3705" s="1" t="s">
        <v>21</v>
      </c>
      <c r="C3705">
        <v>1</v>
      </c>
      <c r="D3705">
        <v>0</v>
      </c>
      <c r="E3705">
        <v>0</v>
      </c>
      <c r="F3705">
        <v>9</v>
      </c>
      <c r="G3705" s="3">
        <f t="shared" si="171"/>
        <v>5</v>
      </c>
      <c r="H3705" s="4">
        <f t="shared" si="172"/>
        <v>0.55555555555555558</v>
      </c>
      <c r="I3705" s="1">
        <f t="shared" si="173"/>
        <v>0</v>
      </c>
    </row>
    <row r="3706" spans="1:9" hidden="1" x14ac:dyDescent="0.2">
      <c r="A3706" s="6">
        <v>43892.75</v>
      </c>
      <c r="B3706" s="1" t="s">
        <v>21</v>
      </c>
      <c r="C3706">
        <v>2</v>
      </c>
      <c r="D3706">
        <v>0</v>
      </c>
      <c r="E3706">
        <v>0</v>
      </c>
      <c r="F3706">
        <v>7</v>
      </c>
      <c r="G3706" s="3">
        <f t="shared" si="171"/>
        <v>-2</v>
      </c>
      <c r="H3706" s="4">
        <f t="shared" si="172"/>
        <v>-0.28571428571428581</v>
      </c>
      <c r="I3706" s="1">
        <f t="shared" si="173"/>
        <v>0</v>
      </c>
    </row>
    <row r="3707" spans="1:9" hidden="1" x14ac:dyDescent="0.2">
      <c r="A3707" s="6">
        <v>43893.75</v>
      </c>
      <c r="B3707" s="1" t="s">
        <v>21</v>
      </c>
      <c r="C3707">
        <v>2</v>
      </c>
      <c r="D3707">
        <v>0</v>
      </c>
      <c r="E3707">
        <v>0</v>
      </c>
      <c r="F3707">
        <v>7</v>
      </c>
      <c r="G3707" s="3">
        <f t="shared" si="171"/>
        <v>0</v>
      </c>
      <c r="H3707" s="4">
        <f t="shared" si="172"/>
        <v>0</v>
      </c>
      <c r="I3707" s="1">
        <f t="shared" si="173"/>
        <v>0</v>
      </c>
    </row>
    <row r="3708" spans="1:9" hidden="1" x14ac:dyDescent="0.2">
      <c r="A3708" s="6">
        <v>43894.708333333336</v>
      </c>
      <c r="B3708" s="1" t="s">
        <v>21</v>
      </c>
      <c r="C3708">
        <v>5</v>
      </c>
      <c r="D3708">
        <v>0</v>
      </c>
      <c r="E3708">
        <v>0</v>
      </c>
      <c r="F3708">
        <v>18</v>
      </c>
      <c r="G3708" s="3">
        <f t="shared" si="171"/>
        <v>11</v>
      </c>
      <c r="H3708" s="4">
        <f t="shared" si="172"/>
        <v>0.61111111111111116</v>
      </c>
      <c r="I3708" s="1">
        <f t="shared" si="173"/>
        <v>0</v>
      </c>
    </row>
    <row r="3709" spans="1:9" hidden="1" x14ac:dyDescent="0.2">
      <c r="A3709" s="6">
        <v>43895.708333333336</v>
      </c>
      <c r="B3709" s="1" t="s">
        <v>21</v>
      </c>
      <c r="C3709">
        <v>5</v>
      </c>
      <c r="D3709">
        <v>0</v>
      </c>
      <c r="E3709">
        <v>0</v>
      </c>
      <c r="F3709">
        <v>18</v>
      </c>
      <c r="G3709" s="3">
        <f t="shared" si="171"/>
        <v>0</v>
      </c>
      <c r="H3709" s="4">
        <f t="shared" si="172"/>
        <v>0</v>
      </c>
      <c r="I3709" s="1">
        <f t="shared" si="173"/>
        <v>0</v>
      </c>
    </row>
    <row r="3710" spans="1:9" hidden="1" x14ac:dyDescent="0.2">
      <c r="A3710" s="6">
        <v>43896.708333333336</v>
      </c>
      <c r="B3710" s="1" t="s">
        <v>21</v>
      </c>
      <c r="C3710">
        <v>7</v>
      </c>
      <c r="D3710">
        <v>0</v>
      </c>
      <c r="E3710">
        <v>0</v>
      </c>
      <c r="F3710">
        <v>24</v>
      </c>
      <c r="G3710" s="3">
        <f t="shared" si="171"/>
        <v>6</v>
      </c>
      <c r="H3710" s="4">
        <f t="shared" si="172"/>
        <v>0.25</v>
      </c>
      <c r="I3710" s="1">
        <f t="shared" si="173"/>
        <v>0</v>
      </c>
    </row>
    <row r="3711" spans="1:9" hidden="1" x14ac:dyDescent="0.2">
      <c r="A3711" s="6">
        <v>43897.75</v>
      </c>
      <c r="B3711" s="1" t="s">
        <v>21</v>
      </c>
      <c r="C3711">
        <v>8</v>
      </c>
      <c r="D3711">
        <v>0</v>
      </c>
      <c r="E3711">
        <v>0</v>
      </c>
      <c r="F3711">
        <v>35</v>
      </c>
      <c r="G3711" s="3">
        <f t="shared" si="171"/>
        <v>11</v>
      </c>
      <c r="H3711" s="4">
        <f t="shared" si="172"/>
        <v>0.31428571428571428</v>
      </c>
      <c r="I3711" s="1">
        <f t="shared" si="173"/>
        <v>0</v>
      </c>
    </row>
    <row r="3712" spans="1:9" hidden="1" x14ac:dyDescent="0.2">
      <c r="A3712" s="6">
        <v>43898.75</v>
      </c>
      <c r="B3712" s="1" t="s">
        <v>21</v>
      </c>
      <c r="C3712">
        <v>18</v>
      </c>
      <c r="D3712">
        <v>0</v>
      </c>
      <c r="E3712">
        <v>0</v>
      </c>
      <c r="F3712">
        <v>53</v>
      </c>
      <c r="G3712" s="3">
        <f t="shared" si="171"/>
        <v>18</v>
      </c>
      <c r="H3712" s="4">
        <f t="shared" si="172"/>
        <v>0.339622641509434</v>
      </c>
      <c r="I3712" s="1">
        <f t="shared" si="173"/>
        <v>0</v>
      </c>
    </row>
    <row r="3713" spans="1:9" hidden="1" x14ac:dyDescent="0.2">
      <c r="A3713" s="6">
        <v>43899.75</v>
      </c>
      <c r="B3713" s="1" t="s">
        <v>21</v>
      </c>
      <c r="C3713">
        <v>19</v>
      </c>
      <c r="D3713">
        <v>0</v>
      </c>
      <c r="E3713">
        <v>0</v>
      </c>
      <c r="F3713">
        <v>54</v>
      </c>
      <c r="G3713" s="3">
        <f t="shared" si="171"/>
        <v>1</v>
      </c>
      <c r="H3713" s="4">
        <f t="shared" si="172"/>
        <v>1.851851851851849E-2</v>
      </c>
      <c r="I3713" s="1">
        <f t="shared" si="173"/>
        <v>0</v>
      </c>
    </row>
    <row r="3714" spans="1:9" hidden="1" x14ac:dyDescent="0.2">
      <c r="A3714" s="6">
        <v>43900.75</v>
      </c>
      <c r="B3714" s="1" t="s">
        <v>21</v>
      </c>
      <c r="C3714">
        <v>17</v>
      </c>
      <c r="D3714">
        <v>2</v>
      </c>
      <c r="E3714">
        <v>0</v>
      </c>
      <c r="F3714">
        <v>62</v>
      </c>
      <c r="G3714" s="3">
        <f t="shared" si="171"/>
        <v>8</v>
      </c>
      <c r="H3714" s="4">
        <f t="shared" si="172"/>
        <v>0.12903225806451613</v>
      </c>
      <c r="I3714" s="1">
        <f t="shared" si="173"/>
        <v>0</v>
      </c>
    </row>
    <row r="3715" spans="1:9" hidden="1" x14ac:dyDescent="0.2">
      <c r="A3715" s="6">
        <v>43901.708333333336</v>
      </c>
      <c r="B3715" s="1" t="s">
        <v>21</v>
      </c>
      <c r="C3715">
        <v>23</v>
      </c>
      <c r="D3715">
        <v>1</v>
      </c>
      <c r="E3715">
        <v>0</v>
      </c>
      <c r="F3715">
        <v>83</v>
      </c>
      <c r="G3715" s="3">
        <f t="shared" ref="G3715:G3778" si="174">IF(AND(F3715&gt;0,AND(B3715=B3714,F3715&gt;0)),F3715-F3714,0)</f>
        <v>21</v>
      </c>
      <c r="H3715" s="4">
        <f t="shared" ref="H3715:H3778" si="175">IF(AND(F3714&gt;0,AND(B3715=B3714,F3714&gt;0)),1-(F3714/F3715),0)</f>
        <v>0.25301204819277112</v>
      </c>
      <c r="I3715" s="1">
        <f t="shared" ref="I3715:I3778" si="176">IF(AND(E3715&gt;0,AND(B3715=B3714,E3715&gt;0)),E3715-E3714,0)</f>
        <v>0</v>
      </c>
    </row>
    <row r="3716" spans="1:9" hidden="1" x14ac:dyDescent="0.2">
      <c r="A3716" s="6">
        <v>43902.708333333336</v>
      </c>
      <c r="B3716" s="1" t="s">
        <v>21</v>
      </c>
      <c r="C3716">
        <v>28</v>
      </c>
      <c r="D3716">
        <v>5</v>
      </c>
      <c r="E3716">
        <v>2</v>
      </c>
      <c r="F3716">
        <v>115</v>
      </c>
      <c r="G3716" s="3">
        <f t="shared" si="174"/>
        <v>32</v>
      </c>
      <c r="H3716" s="4">
        <f t="shared" si="175"/>
        <v>0.27826086956521734</v>
      </c>
      <c r="I3716" s="1">
        <f t="shared" si="176"/>
        <v>2</v>
      </c>
    </row>
    <row r="3717" spans="1:9" hidden="1" x14ac:dyDescent="0.2">
      <c r="A3717" s="6">
        <v>43903.708333333336</v>
      </c>
      <c r="B3717" s="1" t="s">
        <v>21</v>
      </c>
      <c r="C3717">
        <v>37</v>
      </c>
      <c r="D3717">
        <v>7</v>
      </c>
      <c r="E3717">
        <v>2</v>
      </c>
      <c r="F3717">
        <v>130</v>
      </c>
      <c r="G3717" s="3">
        <f t="shared" si="174"/>
        <v>15</v>
      </c>
      <c r="H3717" s="4">
        <f t="shared" si="175"/>
        <v>0.11538461538461542</v>
      </c>
      <c r="I3717" s="1">
        <f t="shared" si="176"/>
        <v>0</v>
      </c>
    </row>
    <row r="3718" spans="1:9" hidden="1" x14ac:dyDescent="0.2">
      <c r="A3718" s="6">
        <v>43904.708333333336</v>
      </c>
      <c r="B3718" s="1" t="s">
        <v>21</v>
      </c>
      <c r="C3718">
        <v>42</v>
      </c>
      <c r="D3718">
        <v>11</v>
      </c>
      <c r="E3718">
        <v>2</v>
      </c>
      <c r="F3718">
        <v>156</v>
      </c>
      <c r="G3718" s="3">
        <f t="shared" si="174"/>
        <v>26</v>
      </c>
      <c r="H3718" s="4">
        <f t="shared" si="175"/>
        <v>0.16666666666666663</v>
      </c>
      <c r="I3718" s="1">
        <f t="shared" si="176"/>
        <v>0</v>
      </c>
    </row>
    <row r="3719" spans="1:9" hidden="1" x14ac:dyDescent="0.2">
      <c r="A3719" s="6">
        <v>43905.708333333336</v>
      </c>
      <c r="B3719" s="1" t="s">
        <v>21</v>
      </c>
      <c r="C3719">
        <v>56</v>
      </c>
      <c r="D3719">
        <v>15</v>
      </c>
      <c r="E3719">
        <v>2</v>
      </c>
      <c r="F3719">
        <v>188</v>
      </c>
      <c r="G3719" s="3">
        <f t="shared" si="174"/>
        <v>32</v>
      </c>
      <c r="H3719" s="4">
        <f t="shared" si="175"/>
        <v>0.17021276595744683</v>
      </c>
      <c r="I3719" s="1">
        <f t="shared" si="176"/>
        <v>0</v>
      </c>
    </row>
    <row r="3720" spans="1:9" hidden="1" x14ac:dyDescent="0.2">
      <c r="A3720" s="6">
        <v>43906.708333333336</v>
      </c>
      <c r="B3720" s="1" t="s">
        <v>21</v>
      </c>
      <c r="C3720">
        <v>75</v>
      </c>
      <c r="D3720">
        <v>20</v>
      </c>
      <c r="E3720">
        <v>2</v>
      </c>
      <c r="F3720">
        <v>213</v>
      </c>
      <c r="G3720" s="3">
        <f t="shared" si="174"/>
        <v>25</v>
      </c>
      <c r="H3720" s="4">
        <f t="shared" si="175"/>
        <v>0.11737089201877937</v>
      </c>
      <c r="I3720" s="1">
        <f t="shared" si="176"/>
        <v>0</v>
      </c>
    </row>
    <row r="3721" spans="1:9" hidden="1" x14ac:dyDescent="0.2">
      <c r="A3721" s="6">
        <v>43907.708333333336</v>
      </c>
      <c r="B3721" s="1" t="s">
        <v>21</v>
      </c>
      <c r="C3721">
        <v>86</v>
      </c>
      <c r="D3721">
        <v>28</v>
      </c>
      <c r="E3721">
        <v>3</v>
      </c>
      <c r="F3721">
        <v>237</v>
      </c>
      <c r="G3721" s="3">
        <f t="shared" si="174"/>
        <v>24</v>
      </c>
      <c r="H3721" s="4">
        <f t="shared" si="175"/>
        <v>0.10126582278481011</v>
      </c>
      <c r="I3721" s="1">
        <f t="shared" si="176"/>
        <v>1</v>
      </c>
    </row>
    <row r="3722" spans="1:9" hidden="1" x14ac:dyDescent="0.2">
      <c r="A3722" s="6">
        <v>43908.708333333336</v>
      </c>
      <c r="B3722" s="1" t="s">
        <v>21</v>
      </c>
      <c r="C3722">
        <v>100</v>
      </c>
      <c r="D3722">
        <v>29</v>
      </c>
      <c r="E3722">
        <v>3</v>
      </c>
      <c r="F3722">
        <v>282</v>
      </c>
      <c r="G3722" s="3">
        <f t="shared" si="174"/>
        <v>45</v>
      </c>
      <c r="H3722" s="4">
        <f t="shared" si="175"/>
        <v>0.15957446808510634</v>
      </c>
      <c r="I3722" s="1">
        <f t="shared" si="176"/>
        <v>0</v>
      </c>
    </row>
    <row r="3723" spans="1:9" hidden="1" x14ac:dyDescent="0.2">
      <c r="A3723" s="6">
        <v>43909.708333333336</v>
      </c>
      <c r="B3723" s="1" t="s">
        <v>21</v>
      </c>
      <c r="C3723">
        <v>143</v>
      </c>
      <c r="D3723">
        <v>36</v>
      </c>
      <c r="E3723">
        <v>4</v>
      </c>
      <c r="F3723">
        <v>340</v>
      </c>
      <c r="G3723" s="3">
        <f t="shared" si="174"/>
        <v>58</v>
      </c>
      <c r="H3723" s="4">
        <f t="shared" si="175"/>
        <v>0.1705882352941176</v>
      </c>
      <c r="I3723" s="1">
        <f t="shared" si="176"/>
        <v>1</v>
      </c>
    </row>
    <row r="3724" spans="1:9" hidden="1" x14ac:dyDescent="0.2">
      <c r="A3724" s="6">
        <v>43910.708333333336</v>
      </c>
      <c r="B3724" s="1" t="s">
        <v>21</v>
      </c>
      <c r="C3724">
        <v>168</v>
      </c>
      <c r="D3724">
        <v>42</v>
      </c>
      <c r="E3724">
        <v>4</v>
      </c>
      <c r="F3724">
        <v>408</v>
      </c>
      <c r="G3724" s="3">
        <f t="shared" si="174"/>
        <v>68</v>
      </c>
      <c r="H3724" s="4">
        <f t="shared" si="175"/>
        <v>0.16666666666666663</v>
      </c>
      <c r="I3724" s="1">
        <f t="shared" si="176"/>
        <v>0</v>
      </c>
    </row>
    <row r="3725" spans="1:9" hidden="1" x14ac:dyDescent="0.2">
      <c r="A3725" s="6">
        <v>43911.708333333336</v>
      </c>
      <c r="B3725" s="1" t="s">
        <v>21</v>
      </c>
      <c r="C3725">
        <v>206</v>
      </c>
      <c r="D3725">
        <v>48</v>
      </c>
      <c r="E3725">
        <v>6</v>
      </c>
      <c r="F3725">
        <v>490</v>
      </c>
      <c r="G3725" s="3">
        <f t="shared" si="174"/>
        <v>82</v>
      </c>
      <c r="H3725" s="4">
        <f t="shared" si="175"/>
        <v>0.16734693877551021</v>
      </c>
      <c r="I3725" s="1">
        <f t="shared" si="176"/>
        <v>2</v>
      </c>
    </row>
    <row r="3726" spans="1:9" hidden="1" x14ac:dyDescent="0.2">
      <c r="A3726" s="6">
        <v>43912.708333333336</v>
      </c>
      <c r="B3726" s="1" t="s">
        <v>21</v>
      </c>
      <c r="C3726">
        <v>220</v>
      </c>
      <c r="D3726">
        <v>55</v>
      </c>
      <c r="E3726">
        <v>8</v>
      </c>
      <c r="F3726">
        <v>630</v>
      </c>
      <c r="G3726" s="3">
        <f t="shared" si="174"/>
        <v>140</v>
      </c>
      <c r="H3726" s="4">
        <f t="shared" si="175"/>
        <v>0.22222222222222221</v>
      </c>
      <c r="I3726" s="1">
        <f t="shared" si="176"/>
        <v>2</v>
      </c>
    </row>
    <row r="3727" spans="1:9" hidden="1" x14ac:dyDescent="0.2">
      <c r="A3727" s="6">
        <v>43913.708333333336</v>
      </c>
      <c r="B3727" s="1" t="s">
        <v>21</v>
      </c>
      <c r="C3727">
        <v>250</v>
      </c>
      <c r="D3727">
        <v>60</v>
      </c>
      <c r="E3727">
        <v>13</v>
      </c>
      <c r="F3727">
        <v>721</v>
      </c>
      <c r="G3727" s="3">
        <f t="shared" si="174"/>
        <v>91</v>
      </c>
      <c r="H3727" s="4">
        <f t="shared" si="175"/>
        <v>0.12621359223300976</v>
      </c>
      <c r="I3727" s="1">
        <f t="shared" si="176"/>
        <v>5</v>
      </c>
    </row>
    <row r="3728" spans="1:9" hidden="1" x14ac:dyDescent="0.2">
      <c r="A3728" s="6">
        <v>43914.708333333336</v>
      </c>
      <c r="B3728" s="1" t="s">
        <v>21</v>
      </c>
      <c r="C3728">
        <v>250</v>
      </c>
      <c r="D3728">
        <v>60</v>
      </c>
      <c r="E3728">
        <v>20</v>
      </c>
      <c r="F3728">
        <v>846</v>
      </c>
      <c r="G3728" s="3">
        <f t="shared" si="174"/>
        <v>125</v>
      </c>
      <c r="H3728" s="4">
        <f t="shared" si="175"/>
        <v>0.14775413711583929</v>
      </c>
      <c r="I3728" s="1">
        <f t="shared" si="176"/>
        <v>7</v>
      </c>
    </row>
    <row r="3729" spans="1:9" hidden="1" x14ac:dyDescent="0.2">
      <c r="A3729" s="6">
        <v>43915.708333333336</v>
      </c>
      <c r="B3729" s="1" t="s">
        <v>21</v>
      </c>
      <c r="C3729">
        <v>259</v>
      </c>
      <c r="D3729">
        <v>80</v>
      </c>
      <c r="E3729">
        <v>25</v>
      </c>
      <c r="F3729">
        <v>994</v>
      </c>
      <c r="G3729" s="3">
        <f t="shared" si="174"/>
        <v>148</v>
      </c>
      <c r="H3729" s="4">
        <f t="shared" si="175"/>
        <v>0.14889336016096577</v>
      </c>
      <c r="I3729" s="1">
        <f t="shared" si="176"/>
        <v>5</v>
      </c>
    </row>
    <row r="3730" spans="1:9" hidden="1" x14ac:dyDescent="0.2">
      <c r="A3730" s="6">
        <v>43916.708333333336</v>
      </c>
      <c r="B3730" s="1" t="s">
        <v>21</v>
      </c>
      <c r="C3730">
        <v>346</v>
      </c>
      <c r="D3730">
        <v>68</v>
      </c>
      <c r="E3730">
        <v>33</v>
      </c>
      <c r="F3730">
        <v>1164</v>
      </c>
      <c r="G3730" s="3">
        <f t="shared" si="174"/>
        <v>170</v>
      </c>
      <c r="H3730" s="4">
        <f t="shared" si="175"/>
        <v>0.14604810996563578</v>
      </c>
      <c r="I3730" s="1">
        <f t="shared" si="176"/>
        <v>8</v>
      </c>
    </row>
    <row r="3731" spans="1:9" hidden="1" x14ac:dyDescent="0.2">
      <c r="A3731" s="6">
        <v>43917.708333333336</v>
      </c>
      <c r="B3731" s="1" t="s">
        <v>21</v>
      </c>
      <c r="C3731">
        <v>425</v>
      </c>
      <c r="D3731">
        <v>75</v>
      </c>
      <c r="E3731">
        <v>39</v>
      </c>
      <c r="F3731">
        <v>1250</v>
      </c>
      <c r="G3731" s="3">
        <f t="shared" si="174"/>
        <v>86</v>
      </c>
      <c r="H3731" s="4">
        <f t="shared" si="175"/>
        <v>6.8799999999999972E-2</v>
      </c>
      <c r="I3731" s="1">
        <f t="shared" si="176"/>
        <v>6</v>
      </c>
    </row>
    <row r="3732" spans="1:9" hidden="1" x14ac:dyDescent="0.2">
      <c r="A3732" s="6">
        <v>43918.708333333336</v>
      </c>
      <c r="B3732" s="1" t="s">
        <v>21</v>
      </c>
      <c r="C3732">
        <v>441</v>
      </c>
      <c r="D3732">
        <v>71</v>
      </c>
      <c r="E3732">
        <v>57</v>
      </c>
      <c r="F3732">
        <v>1359</v>
      </c>
      <c r="G3732" s="3">
        <f t="shared" si="174"/>
        <v>109</v>
      </c>
      <c r="H3732" s="4">
        <f t="shared" si="175"/>
        <v>8.0206033848417957E-2</v>
      </c>
      <c r="I3732" s="1">
        <f t="shared" si="176"/>
        <v>18</v>
      </c>
    </row>
    <row r="3733" spans="1:9" hidden="1" x14ac:dyDescent="0.2">
      <c r="A3733" s="6">
        <v>43919.708333333336</v>
      </c>
      <c r="B3733" s="1" t="s">
        <v>21</v>
      </c>
      <c r="C3733">
        <v>451</v>
      </c>
      <c r="D3733">
        <v>71</v>
      </c>
      <c r="E3733">
        <v>65</v>
      </c>
      <c r="F3733">
        <v>1460</v>
      </c>
      <c r="G3733" s="3">
        <f t="shared" si="174"/>
        <v>101</v>
      </c>
      <c r="H3733" s="4">
        <f t="shared" si="175"/>
        <v>6.9178082191780788E-2</v>
      </c>
      <c r="I3733" s="1">
        <f t="shared" si="176"/>
        <v>8</v>
      </c>
    </row>
    <row r="3734" spans="1:9" hidden="1" x14ac:dyDescent="0.2">
      <c r="A3734" s="6">
        <v>43920.708333333336</v>
      </c>
      <c r="B3734" s="1" t="s">
        <v>21</v>
      </c>
      <c r="C3734">
        <v>484</v>
      </c>
      <c r="D3734">
        <v>75</v>
      </c>
      <c r="E3734">
        <v>76</v>
      </c>
      <c r="F3734">
        <v>1555</v>
      </c>
      <c r="G3734" s="3">
        <f t="shared" si="174"/>
        <v>95</v>
      </c>
      <c r="H3734" s="4">
        <f t="shared" si="175"/>
        <v>6.1093247588424382E-2</v>
      </c>
      <c r="I3734" s="1">
        <f t="shared" si="176"/>
        <v>11</v>
      </c>
    </row>
    <row r="3735" spans="1:9" hidden="1" x14ac:dyDescent="0.2">
      <c r="A3735" s="6">
        <v>43921.708333333336</v>
      </c>
      <c r="B3735" s="1" t="s">
        <v>21</v>
      </c>
      <c r="C3735">
        <v>503</v>
      </c>
      <c r="D3735">
        <v>72</v>
      </c>
      <c r="E3735">
        <v>81</v>
      </c>
      <c r="F3735">
        <v>1647</v>
      </c>
      <c r="G3735" s="3">
        <f t="shared" si="174"/>
        <v>92</v>
      </c>
      <c r="H3735" s="4">
        <f t="shared" si="175"/>
        <v>5.5859137826350991E-2</v>
      </c>
      <c r="I3735" s="1">
        <f t="shared" si="176"/>
        <v>5</v>
      </c>
    </row>
    <row r="3736" spans="1:9" hidden="1" x14ac:dyDescent="0.2">
      <c r="A3736" s="6">
        <v>43922.708333333336</v>
      </c>
      <c r="B3736" s="1" t="s">
        <v>21</v>
      </c>
      <c r="C3736">
        <v>496</v>
      </c>
      <c r="D3736">
        <v>72</v>
      </c>
      <c r="E3736">
        <v>88</v>
      </c>
      <c r="F3736">
        <v>1718</v>
      </c>
      <c r="G3736" s="3">
        <f t="shared" si="174"/>
        <v>71</v>
      </c>
      <c r="H3736" s="4">
        <f t="shared" si="175"/>
        <v>4.1327124563445894E-2</v>
      </c>
      <c r="I3736" s="1">
        <f t="shared" si="176"/>
        <v>7</v>
      </c>
    </row>
    <row r="3737" spans="1:9" hidden="1" x14ac:dyDescent="0.2">
      <c r="A3737" s="6">
        <v>43923.708333333336</v>
      </c>
      <c r="B3737" s="1" t="s">
        <v>21</v>
      </c>
      <c r="C3737">
        <v>503</v>
      </c>
      <c r="D3737">
        <v>73</v>
      </c>
      <c r="E3737">
        <v>93</v>
      </c>
      <c r="F3737">
        <v>1791</v>
      </c>
      <c r="G3737" s="3">
        <f t="shared" si="174"/>
        <v>73</v>
      </c>
      <c r="H3737" s="4">
        <f t="shared" si="175"/>
        <v>4.0759352317141229E-2</v>
      </c>
      <c r="I3737" s="1">
        <f t="shared" si="176"/>
        <v>5</v>
      </c>
    </row>
    <row r="3738" spans="1:9" hidden="1" x14ac:dyDescent="0.2">
      <c r="A3738" s="6">
        <v>43924.708333333336</v>
      </c>
      <c r="B3738" s="1" t="s">
        <v>21</v>
      </c>
      <c r="C3738">
        <v>535</v>
      </c>
      <c r="D3738">
        <v>73</v>
      </c>
      <c r="E3738">
        <v>101</v>
      </c>
      <c r="F3738">
        <v>1859</v>
      </c>
      <c r="G3738" s="3">
        <f t="shared" si="174"/>
        <v>68</v>
      </c>
      <c r="H3738" s="4">
        <f t="shared" si="175"/>
        <v>3.6578805809575066E-2</v>
      </c>
      <c r="I3738" s="1">
        <f t="shared" si="176"/>
        <v>8</v>
      </c>
    </row>
    <row r="3739" spans="1:9" hidden="1" x14ac:dyDescent="0.2">
      <c r="A3739" s="6">
        <v>43925.708333333336</v>
      </c>
      <c r="B3739" s="1" t="s">
        <v>21</v>
      </c>
      <c r="C3739">
        <v>553</v>
      </c>
      <c r="D3739">
        <v>74</v>
      </c>
      <c r="E3739">
        <v>111</v>
      </c>
      <c r="F3739">
        <v>1932</v>
      </c>
      <c r="G3739" s="3">
        <f t="shared" si="174"/>
        <v>73</v>
      </c>
      <c r="H3739" s="4">
        <f t="shared" si="175"/>
        <v>3.778467908902694E-2</v>
      </c>
      <c r="I3739" s="1">
        <f t="shared" si="176"/>
        <v>10</v>
      </c>
    </row>
    <row r="3740" spans="1:9" hidden="1" x14ac:dyDescent="0.2">
      <c r="A3740" s="6">
        <v>43926.708333333336</v>
      </c>
      <c r="B3740" s="1" t="s">
        <v>21</v>
      </c>
      <c r="C3740">
        <v>556</v>
      </c>
      <c r="D3740">
        <v>76</v>
      </c>
      <c r="E3740">
        <v>116</v>
      </c>
      <c r="F3740">
        <v>1994</v>
      </c>
      <c r="G3740" s="3">
        <f t="shared" si="174"/>
        <v>62</v>
      </c>
      <c r="H3740" s="4">
        <f t="shared" si="175"/>
        <v>3.1093279839518595E-2</v>
      </c>
      <c r="I3740" s="1">
        <f t="shared" si="176"/>
        <v>5</v>
      </c>
    </row>
    <row r="3741" spans="1:9" hidden="1" x14ac:dyDescent="0.2">
      <c r="A3741" s="6">
        <v>43927.708333333336</v>
      </c>
      <c r="B3741" s="1" t="s">
        <v>21</v>
      </c>
      <c r="C3741">
        <v>563</v>
      </c>
      <c r="D3741">
        <v>74</v>
      </c>
      <c r="E3741">
        <v>123</v>
      </c>
      <c r="F3741">
        <v>2046</v>
      </c>
      <c r="G3741" s="3">
        <f t="shared" si="174"/>
        <v>52</v>
      </c>
      <c r="H3741" s="4">
        <f t="shared" si="175"/>
        <v>2.5415444770283457E-2</v>
      </c>
      <c r="I3741" s="1">
        <f t="shared" si="176"/>
        <v>7</v>
      </c>
    </row>
    <row r="3742" spans="1:9" hidden="1" x14ac:dyDescent="0.2">
      <c r="A3742" s="6">
        <v>43928.708333333336</v>
      </c>
      <c r="B3742" s="1" t="s">
        <v>21</v>
      </c>
      <c r="C3742">
        <v>562</v>
      </c>
      <c r="D3742">
        <v>73</v>
      </c>
      <c r="E3742">
        <v>125</v>
      </c>
      <c r="F3742">
        <v>2097</v>
      </c>
      <c r="G3742" s="3">
        <f t="shared" si="174"/>
        <v>51</v>
      </c>
      <c r="H3742" s="4">
        <f t="shared" si="175"/>
        <v>2.4320457796852657E-2</v>
      </c>
      <c r="I3742" s="1">
        <f t="shared" si="176"/>
        <v>2</v>
      </c>
    </row>
    <row r="3743" spans="1:9" hidden="1" x14ac:dyDescent="0.2">
      <c r="A3743" s="6">
        <v>43929.708333333336</v>
      </c>
      <c r="B3743" s="1" t="s">
        <v>21</v>
      </c>
      <c r="C3743">
        <v>563</v>
      </c>
      <c r="D3743">
        <v>65</v>
      </c>
      <c r="E3743">
        <v>133</v>
      </c>
      <c r="F3743">
        <v>2159</v>
      </c>
      <c r="G3743" s="3">
        <f t="shared" si="174"/>
        <v>62</v>
      </c>
      <c r="H3743" s="4">
        <f t="shared" si="175"/>
        <v>2.8716998610467837E-2</v>
      </c>
      <c r="I3743" s="1">
        <f t="shared" si="176"/>
        <v>8</v>
      </c>
    </row>
    <row r="3744" spans="1:9" hidden="1" x14ac:dyDescent="0.2">
      <c r="A3744" s="6">
        <v>43930.708333333336</v>
      </c>
      <c r="B3744" s="1" t="s">
        <v>21</v>
      </c>
      <c r="C3744">
        <v>566</v>
      </c>
      <c r="D3744">
        <v>63</v>
      </c>
      <c r="E3744">
        <v>138</v>
      </c>
      <c r="F3744">
        <v>2232</v>
      </c>
      <c r="G3744" s="3">
        <f t="shared" si="174"/>
        <v>73</v>
      </c>
      <c r="H3744" s="4">
        <f t="shared" si="175"/>
        <v>3.2706093189964203E-2</v>
      </c>
      <c r="I3744" s="1">
        <f t="shared" si="176"/>
        <v>5</v>
      </c>
    </row>
    <row r="3745" spans="1:9" hidden="1" x14ac:dyDescent="0.2">
      <c r="A3745" s="6">
        <v>43931.708333333336</v>
      </c>
      <c r="B3745" s="1" t="s">
        <v>21</v>
      </c>
      <c r="C3745">
        <v>568</v>
      </c>
      <c r="D3745">
        <v>62</v>
      </c>
      <c r="E3745">
        <v>148</v>
      </c>
      <c r="F3745">
        <v>2302</v>
      </c>
      <c r="G3745" s="3">
        <f t="shared" si="174"/>
        <v>70</v>
      </c>
      <c r="H3745" s="4">
        <f t="shared" si="175"/>
        <v>3.0408340573414461E-2</v>
      </c>
      <c r="I3745" s="1">
        <f t="shared" si="176"/>
        <v>10</v>
      </c>
    </row>
    <row r="3746" spans="1:9" hidden="1" x14ac:dyDescent="0.2">
      <c r="A3746" s="6">
        <v>43932.708333333336</v>
      </c>
      <c r="B3746" s="1" t="s">
        <v>21</v>
      </c>
      <c r="C3746">
        <v>562</v>
      </c>
      <c r="D3746">
        <v>58</v>
      </c>
      <c r="E3746">
        <v>154</v>
      </c>
      <c r="F3746">
        <v>2364</v>
      </c>
      <c r="G3746" s="3">
        <f t="shared" si="174"/>
        <v>62</v>
      </c>
      <c r="H3746" s="4">
        <f t="shared" si="175"/>
        <v>2.6226734348561709E-2</v>
      </c>
      <c r="I3746" s="1">
        <f t="shared" si="176"/>
        <v>6</v>
      </c>
    </row>
    <row r="3747" spans="1:9" hidden="1" x14ac:dyDescent="0.2">
      <c r="A3747" s="6">
        <v>43933.708333333336</v>
      </c>
      <c r="B3747" s="1" t="s">
        <v>21</v>
      </c>
      <c r="C3747">
        <v>552</v>
      </c>
      <c r="D3747">
        <v>53</v>
      </c>
      <c r="E3747">
        <v>163</v>
      </c>
      <c r="F3747">
        <v>2416</v>
      </c>
      <c r="G3747" s="3">
        <f t="shared" si="174"/>
        <v>52</v>
      </c>
      <c r="H3747" s="4">
        <f t="shared" si="175"/>
        <v>2.1523178807947074E-2</v>
      </c>
      <c r="I3747" s="1">
        <f t="shared" si="176"/>
        <v>9</v>
      </c>
    </row>
    <row r="3748" spans="1:9" hidden="1" x14ac:dyDescent="0.2">
      <c r="A3748" s="6">
        <v>43934.708333333336</v>
      </c>
      <c r="B3748" s="1" t="s">
        <v>21</v>
      </c>
      <c r="C3748">
        <v>554</v>
      </c>
      <c r="D3748">
        <v>51</v>
      </c>
      <c r="E3748">
        <v>171</v>
      </c>
      <c r="F3748">
        <v>2458</v>
      </c>
      <c r="G3748" s="3">
        <f t="shared" si="174"/>
        <v>42</v>
      </c>
      <c r="H3748" s="4">
        <f t="shared" si="175"/>
        <v>1.7087062652563101E-2</v>
      </c>
      <c r="I3748" s="1">
        <f t="shared" si="176"/>
        <v>8</v>
      </c>
    </row>
    <row r="3749" spans="1:9" hidden="1" x14ac:dyDescent="0.2">
      <c r="A3749" s="6">
        <v>43935.708333333336</v>
      </c>
      <c r="B3749" s="1" t="s">
        <v>21</v>
      </c>
      <c r="C3749">
        <v>552</v>
      </c>
      <c r="D3749">
        <v>53</v>
      </c>
      <c r="E3749">
        <v>175</v>
      </c>
      <c r="F3749">
        <v>2501</v>
      </c>
      <c r="G3749" s="3">
        <f t="shared" si="174"/>
        <v>43</v>
      </c>
      <c r="H3749" s="4">
        <f t="shared" si="175"/>
        <v>1.7193122750899681E-2</v>
      </c>
      <c r="I3749" s="1">
        <f t="shared" si="176"/>
        <v>4</v>
      </c>
    </row>
    <row r="3750" spans="1:9" hidden="1" x14ac:dyDescent="0.2">
      <c r="A3750" s="6">
        <v>43936.708333333336</v>
      </c>
      <c r="B3750" s="1" t="s">
        <v>21</v>
      </c>
      <c r="C3750">
        <v>541</v>
      </c>
      <c r="D3750">
        <v>49</v>
      </c>
      <c r="E3750">
        <v>181</v>
      </c>
      <c r="F3750">
        <v>2535</v>
      </c>
      <c r="G3750" s="3">
        <f t="shared" si="174"/>
        <v>34</v>
      </c>
      <c r="H3750" s="4">
        <f t="shared" si="175"/>
        <v>1.3412228796844228E-2</v>
      </c>
      <c r="I3750" s="1">
        <f t="shared" si="176"/>
        <v>6</v>
      </c>
    </row>
    <row r="3751" spans="1:9" hidden="1" x14ac:dyDescent="0.2">
      <c r="A3751" s="6">
        <v>43937.708333333336</v>
      </c>
      <c r="B3751" s="1" t="s">
        <v>21</v>
      </c>
      <c r="C3751">
        <v>525</v>
      </c>
      <c r="D3751">
        <v>48</v>
      </c>
      <c r="E3751">
        <v>187</v>
      </c>
      <c r="F3751">
        <v>2579</v>
      </c>
      <c r="G3751" s="3">
        <f t="shared" si="174"/>
        <v>44</v>
      </c>
      <c r="H3751" s="4">
        <f t="shared" si="175"/>
        <v>1.7060876308646722E-2</v>
      </c>
      <c r="I3751" s="1">
        <f t="shared" si="176"/>
        <v>6</v>
      </c>
    </row>
    <row r="3752" spans="1:9" hidden="1" x14ac:dyDescent="0.2">
      <c r="A3752" s="6">
        <v>43938.708333333336</v>
      </c>
      <c r="B3752" s="1" t="s">
        <v>21</v>
      </c>
      <c r="C3752">
        <v>521</v>
      </c>
      <c r="D3752">
        <v>46</v>
      </c>
      <c r="E3752">
        <v>190</v>
      </c>
      <c r="F3752">
        <v>2625</v>
      </c>
      <c r="G3752" s="3">
        <f t="shared" si="174"/>
        <v>46</v>
      </c>
      <c r="H3752" s="4">
        <f t="shared" si="175"/>
        <v>1.7523809523809497E-2</v>
      </c>
      <c r="I3752" s="1">
        <f t="shared" si="176"/>
        <v>3</v>
      </c>
    </row>
    <row r="3753" spans="1:9" hidden="1" x14ac:dyDescent="0.2">
      <c r="A3753" s="6">
        <v>43939.708333333336</v>
      </c>
      <c r="B3753" s="1" t="s">
        <v>21</v>
      </c>
      <c r="C3753">
        <v>526</v>
      </c>
      <c r="D3753">
        <v>42</v>
      </c>
      <c r="E3753">
        <v>196</v>
      </c>
      <c r="F3753">
        <v>2672</v>
      </c>
      <c r="G3753" s="3">
        <f t="shared" si="174"/>
        <v>47</v>
      </c>
      <c r="H3753" s="4">
        <f t="shared" si="175"/>
        <v>1.7589820359281472E-2</v>
      </c>
      <c r="I3753" s="1">
        <f t="shared" si="176"/>
        <v>6</v>
      </c>
    </row>
    <row r="3754" spans="1:9" hidden="1" x14ac:dyDescent="0.2">
      <c r="A3754" s="6">
        <v>43940.708333333336</v>
      </c>
      <c r="B3754" s="1" t="s">
        <v>21</v>
      </c>
      <c r="C3754">
        <v>522</v>
      </c>
      <c r="D3754">
        <v>41</v>
      </c>
      <c r="E3754">
        <v>200</v>
      </c>
      <c r="F3754">
        <v>2717</v>
      </c>
      <c r="G3754" s="3">
        <f t="shared" si="174"/>
        <v>45</v>
      </c>
      <c r="H3754" s="4">
        <f t="shared" si="175"/>
        <v>1.656238498343765E-2</v>
      </c>
      <c r="I3754" s="1">
        <f t="shared" si="176"/>
        <v>4</v>
      </c>
    </row>
    <row r="3755" spans="1:9" hidden="1" x14ac:dyDescent="0.2">
      <c r="A3755" s="6">
        <v>43941.708333333336</v>
      </c>
      <c r="B3755" s="1" t="s">
        <v>21</v>
      </c>
      <c r="C3755">
        <v>526</v>
      </c>
      <c r="D3755">
        <v>39</v>
      </c>
      <c r="E3755">
        <v>203</v>
      </c>
      <c r="F3755">
        <v>2759</v>
      </c>
      <c r="G3755" s="3">
        <f t="shared" si="174"/>
        <v>42</v>
      </c>
      <c r="H3755" s="4">
        <f t="shared" si="175"/>
        <v>1.5222906850308138E-2</v>
      </c>
      <c r="I3755" s="1">
        <f t="shared" si="176"/>
        <v>3</v>
      </c>
    </row>
    <row r="3756" spans="1:9" hidden="1" x14ac:dyDescent="0.2">
      <c r="A3756" s="6">
        <v>43942.708333333336</v>
      </c>
      <c r="B3756" s="1" t="s">
        <v>21</v>
      </c>
      <c r="C3756">
        <v>514</v>
      </c>
      <c r="D3756">
        <v>37</v>
      </c>
      <c r="E3756">
        <v>206</v>
      </c>
      <c r="F3756">
        <v>2835</v>
      </c>
      <c r="G3756" s="3">
        <f t="shared" si="174"/>
        <v>76</v>
      </c>
      <c r="H3756" s="4">
        <f t="shared" si="175"/>
        <v>2.6807760141093429E-2</v>
      </c>
      <c r="I3756" s="1">
        <f t="shared" si="176"/>
        <v>3</v>
      </c>
    </row>
    <row r="3757" spans="1:9" hidden="1" x14ac:dyDescent="0.2">
      <c r="A3757" s="6">
        <v>43943.708333333336</v>
      </c>
      <c r="B3757" s="1" t="s">
        <v>21</v>
      </c>
      <c r="C3757">
        <v>500</v>
      </c>
      <c r="D3757">
        <v>35</v>
      </c>
      <c r="E3757">
        <v>208</v>
      </c>
      <c r="F3757">
        <v>2883</v>
      </c>
      <c r="G3757" s="3">
        <f t="shared" si="174"/>
        <v>48</v>
      </c>
      <c r="H3757" s="4">
        <f t="shared" si="175"/>
        <v>1.6649323621227841E-2</v>
      </c>
      <c r="I3757" s="1">
        <f t="shared" si="176"/>
        <v>2</v>
      </c>
    </row>
    <row r="3758" spans="1:9" hidden="1" x14ac:dyDescent="0.2">
      <c r="A3758" s="6">
        <v>43944.708333333336</v>
      </c>
      <c r="B3758" s="1" t="s">
        <v>21</v>
      </c>
      <c r="C3758">
        <v>476</v>
      </c>
      <c r="D3758">
        <v>34</v>
      </c>
      <c r="E3758">
        <v>213</v>
      </c>
      <c r="F3758">
        <v>2926</v>
      </c>
      <c r="G3758" s="3">
        <f t="shared" si="174"/>
        <v>43</v>
      </c>
      <c r="H3758" s="4">
        <f t="shared" si="175"/>
        <v>1.4695830485304207E-2</v>
      </c>
      <c r="I3758" s="1">
        <f t="shared" si="176"/>
        <v>5</v>
      </c>
    </row>
    <row r="3759" spans="1:9" hidden="1" x14ac:dyDescent="0.2">
      <c r="A3759" s="6">
        <v>43945.708333333336</v>
      </c>
      <c r="B3759" s="1" t="s">
        <v>21</v>
      </c>
      <c r="C3759">
        <v>461</v>
      </c>
      <c r="D3759">
        <v>32</v>
      </c>
      <c r="E3759">
        <v>218</v>
      </c>
      <c r="F3759">
        <v>2981</v>
      </c>
      <c r="G3759" s="3">
        <f t="shared" si="174"/>
        <v>55</v>
      </c>
      <c r="H3759" s="4">
        <f t="shared" si="175"/>
        <v>1.8450184501844991E-2</v>
      </c>
      <c r="I3759" s="1">
        <f t="shared" si="176"/>
        <v>5</v>
      </c>
    </row>
    <row r="3760" spans="1:9" hidden="1" x14ac:dyDescent="0.2">
      <c r="A3760" s="6">
        <v>43946.708333333336</v>
      </c>
      <c r="B3760" s="1" t="s">
        <v>21</v>
      </c>
      <c r="C3760">
        <v>452</v>
      </c>
      <c r="D3760">
        <v>33</v>
      </c>
      <c r="E3760">
        <v>224</v>
      </c>
      <c r="F3760">
        <v>3020</v>
      </c>
      <c r="G3760" s="3">
        <f t="shared" si="174"/>
        <v>39</v>
      </c>
      <c r="H3760" s="4">
        <f t="shared" si="175"/>
        <v>1.2913907284768267E-2</v>
      </c>
      <c r="I3760" s="1">
        <f t="shared" si="176"/>
        <v>6</v>
      </c>
    </row>
    <row r="3761" spans="1:9" hidden="1" x14ac:dyDescent="0.2">
      <c r="A3761" s="6">
        <v>43947.708333333336</v>
      </c>
      <c r="B3761" s="1" t="s">
        <v>21</v>
      </c>
      <c r="C3761">
        <v>445</v>
      </c>
      <c r="D3761">
        <v>33</v>
      </c>
      <c r="E3761">
        <v>228</v>
      </c>
      <c r="F3761">
        <v>3055</v>
      </c>
      <c r="G3761" s="3">
        <f t="shared" si="174"/>
        <v>35</v>
      </c>
      <c r="H3761" s="4">
        <f t="shared" si="175"/>
        <v>1.1456628477905073E-2</v>
      </c>
      <c r="I3761" s="1">
        <f t="shared" si="176"/>
        <v>4</v>
      </c>
    </row>
    <row r="3762" spans="1:9" hidden="1" x14ac:dyDescent="0.2">
      <c r="A3762" s="6">
        <v>43948.708333333336</v>
      </c>
      <c r="B3762" s="1" t="s">
        <v>21</v>
      </c>
      <c r="C3762">
        <v>440</v>
      </c>
      <c r="D3762">
        <v>35</v>
      </c>
      <c r="E3762">
        <v>231</v>
      </c>
      <c r="F3762">
        <v>3085</v>
      </c>
      <c r="G3762" s="3">
        <f t="shared" si="174"/>
        <v>30</v>
      </c>
      <c r="H3762" s="4">
        <f t="shared" si="175"/>
        <v>9.7244732576985404E-3</v>
      </c>
      <c r="I3762" s="1">
        <f t="shared" si="176"/>
        <v>3</v>
      </c>
    </row>
    <row r="3763" spans="1:9" hidden="1" x14ac:dyDescent="0.2">
      <c r="A3763" s="6">
        <v>43949.708333333336</v>
      </c>
      <c r="B3763" s="1" t="s">
        <v>21</v>
      </c>
      <c r="C3763">
        <v>428</v>
      </c>
      <c r="D3763">
        <v>34</v>
      </c>
      <c r="E3763">
        <v>232</v>
      </c>
      <c r="F3763">
        <v>3120</v>
      </c>
      <c r="G3763" s="3">
        <f t="shared" si="174"/>
        <v>35</v>
      </c>
      <c r="H3763" s="4">
        <f t="shared" si="175"/>
        <v>1.1217948717948678E-2</v>
      </c>
      <c r="I3763" s="1">
        <f t="shared" si="176"/>
        <v>1</v>
      </c>
    </row>
    <row r="3764" spans="1:9" hidden="1" x14ac:dyDescent="0.2">
      <c r="A3764" s="6">
        <v>43950.708333333336</v>
      </c>
      <c r="B3764" s="1" t="s">
        <v>21</v>
      </c>
      <c r="C3764">
        <v>415</v>
      </c>
      <c r="D3764">
        <v>34</v>
      </c>
      <c r="E3764">
        <v>232</v>
      </c>
      <c r="F3764">
        <v>3140</v>
      </c>
      <c r="G3764" s="3">
        <f t="shared" si="174"/>
        <v>20</v>
      </c>
      <c r="H3764" s="4">
        <f t="shared" si="175"/>
        <v>6.3694267515923553E-3</v>
      </c>
      <c r="I3764" s="1">
        <f t="shared" si="176"/>
        <v>0</v>
      </c>
    </row>
    <row r="3765" spans="1:9" hidden="1" x14ac:dyDescent="0.2">
      <c r="A3765" s="6">
        <v>43951.708333333336</v>
      </c>
      <c r="B3765" s="1" t="s">
        <v>21</v>
      </c>
      <c r="C3765">
        <v>408</v>
      </c>
      <c r="D3765">
        <v>33</v>
      </c>
      <c r="E3765">
        <v>235</v>
      </c>
      <c r="F3765">
        <v>3166</v>
      </c>
      <c r="G3765" s="3">
        <f t="shared" si="174"/>
        <v>26</v>
      </c>
      <c r="H3765" s="4">
        <f t="shared" si="175"/>
        <v>8.2122552116234981E-3</v>
      </c>
      <c r="I3765" s="1">
        <f t="shared" si="176"/>
        <v>3</v>
      </c>
    </row>
    <row r="3766" spans="1:9" hidden="1" x14ac:dyDescent="0.2">
      <c r="A3766" s="6">
        <v>43952.708333333336</v>
      </c>
      <c r="B3766" s="1" t="s">
        <v>21</v>
      </c>
      <c r="C3766">
        <v>399</v>
      </c>
      <c r="D3766">
        <v>30</v>
      </c>
      <c r="E3766">
        <v>237</v>
      </c>
      <c r="F3766">
        <v>3194</v>
      </c>
      <c r="G3766" s="3">
        <f t="shared" si="174"/>
        <v>28</v>
      </c>
      <c r="H3766" s="4">
        <f t="shared" si="175"/>
        <v>8.7664370695053062E-3</v>
      </c>
      <c r="I3766" s="1">
        <f t="shared" si="176"/>
        <v>2</v>
      </c>
    </row>
    <row r="3767" spans="1:9" hidden="1" x14ac:dyDescent="0.2">
      <c r="A3767" s="6">
        <v>43953.708333333336</v>
      </c>
      <c r="B3767" s="1" t="s">
        <v>21</v>
      </c>
      <c r="C3767">
        <v>396</v>
      </c>
      <c r="D3767">
        <v>30</v>
      </c>
      <c r="E3767">
        <v>240</v>
      </c>
      <c r="F3767">
        <v>3213</v>
      </c>
      <c r="G3767" s="3">
        <f t="shared" si="174"/>
        <v>19</v>
      </c>
      <c r="H3767" s="4">
        <f t="shared" si="175"/>
        <v>5.9134765017118118E-3</v>
      </c>
      <c r="I3767" s="1">
        <f t="shared" si="176"/>
        <v>3</v>
      </c>
    </row>
    <row r="3768" spans="1:9" hidden="1" x14ac:dyDescent="0.2">
      <c r="A3768" s="6">
        <v>43954.708333333336</v>
      </c>
      <c r="B3768" s="1" t="s">
        <v>21</v>
      </c>
      <c r="C3768">
        <v>383</v>
      </c>
      <c r="D3768">
        <v>29</v>
      </c>
      <c r="E3768">
        <v>242</v>
      </c>
      <c r="F3768">
        <v>3240</v>
      </c>
      <c r="G3768" s="3">
        <f t="shared" si="174"/>
        <v>27</v>
      </c>
      <c r="H3768" s="4">
        <f t="shared" si="175"/>
        <v>8.3333333333333037E-3</v>
      </c>
      <c r="I3768" s="1">
        <f t="shared" si="176"/>
        <v>2</v>
      </c>
    </row>
    <row r="3769" spans="1:9" hidden="1" x14ac:dyDescent="0.2">
      <c r="A3769" s="6">
        <v>43955.708333333336</v>
      </c>
      <c r="B3769" s="1" t="s">
        <v>21</v>
      </c>
      <c r="C3769">
        <v>376</v>
      </c>
      <c r="D3769">
        <v>27</v>
      </c>
      <c r="E3769">
        <v>244</v>
      </c>
      <c r="F3769">
        <v>3255</v>
      </c>
      <c r="G3769" s="3">
        <f t="shared" si="174"/>
        <v>15</v>
      </c>
      <c r="H3769" s="4">
        <f t="shared" si="175"/>
        <v>4.6082949308755561E-3</v>
      </c>
      <c r="I3769" s="1">
        <f t="shared" si="176"/>
        <v>2</v>
      </c>
    </row>
    <row r="3770" spans="1:9" hidden="1" x14ac:dyDescent="0.2">
      <c r="A3770" s="6">
        <v>43956.708333333336</v>
      </c>
      <c r="B3770" s="1" t="s">
        <v>21</v>
      </c>
      <c r="C3770">
        <v>367</v>
      </c>
      <c r="D3770">
        <v>26</v>
      </c>
      <c r="E3770">
        <v>247</v>
      </c>
      <c r="F3770">
        <v>3267</v>
      </c>
      <c r="G3770" s="3">
        <f t="shared" si="174"/>
        <v>12</v>
      </c>
      <c r="H3770" s="4">
        <f t="shared" si="175"/>
        <v>3.6730945821854544E-3</v>
      </c>
      <c r="I3770" s="1">
        <f t="shared" si="176"/>
        <v>3</v>
      </c>
    </row>
    <row r="3771" spans="1:9" hidden="1" x14ac:dyDescent="0.2">
      <c r="A3771" s="6">
        <v>43957.708333333336</v>
      </c>
      <c r="B3771" s="1" t="s">
        <v>21</v>
      </c>
      <c r="C3771">
        <v>359</v>
      </c>
      <c r="D3771">
        <v>25</v>
      </c>
      <c r="E3771">
        <v>250</v>
      </c>
      <c r="F3771">
        <v>3281</v>
      </c>
      <c r="G3771" s="3">
        <f t="shared" si="174"/>
        <v>14</v>
      </c>
      <c r="H3771" s="4">
        <f t="shared" si="175"/>
        <v>4.266991770801587E-3</v>
      </c>
      <c r="I3771" s="1">
        <f t="shared" si="176"/>
        <v>3</v>
      </c>
    </row>
    <row r="3772" spans="1:9" hidden="1" x14ac:dyDescent="0.2">
      <c r="A3772" s="6">
        <v>43958.708333333336</v>
      </c>
      <c r="B3772" s="1" t="s">
        <v>21</v>
      </c>
      <c r="C3772">
        <v>349</v>
      </c>
      <c r="D3772">
        <v>21</v>
      </c>
      <c r="E3772">
        <v>251</v>
      </c>
      <c r="F3772">
        <v>3288</v>
      </c>
      <c r="G3772" s="3">
        <f t="shared" si="174"/>
        <v>7</v>
      </c>
      <c r="H3772" s="4">
        <f t="shared" si="175"/>
        <v>2.1289537712895212E-3</v>
      </c>
      <c r="I3772" s="1">
        <f t="shared" si="176"/>
        <v>1</v>
      </c>
    </row>
    <row r="3773" spans="1:9" hidden="1" x14ac:dyDescent="0.2">
      <c r="A3773" s="6">
        <v>43959.708333333336</v>
      </c>
      <c r="B3773" s="1" t="s">
        <v>21</v>
      </c>
      <c r="C3773">
        <v>310</v>
      </c>
      <c r="D3773">
        <v>19</v>
      </c>
      <c r="E3773">
        <v>253</v>
      </c>
      <c r="F3773">
        <v>3301</v>
      </c>
      <c r="G3773" s="3">
        <f t="shared" si="174"/>
        <v>13</v>
      </c>
      <c r="H3773" s="4">
        <f t="shared" si="175"/>
        <v>3.938200545289261E-3</v>
      </c>
      <c r="I3773" s="1">
        <f t="shared" si="176"/>
        <v>2</v>
      </c>
    </row>
    <row r="3774" spans="1:9" hidden="1" x14ac:dyDescent="0.2">
      <c r="A3774" s="6">
        <v>43960.708333333336</v>
      </c>
      <c r="B3774" s="1" t="s">
        <v>21</v>
      </c>
      <c r="C3774">
        <v>277</v>
      </c>
      <c r="D3774">
        <v>17</v>
      </c>
      <c r="E3774">
        <v>256</v>
      </c>
      <c r="F3774">
        <v>3313</v>
      </c>
      <c r="G3774" s="3">
        <f t="shared" si="174"/>
        <v>12</v>
      </c>
      <c r="H3774" s="4">
        <f t="shared" si="175"/>
        <v>3.6220947781466784E-3</v>
      </c>
      <c r="I3774" s="1">
        <f t="shared" si="176"/>
        <v>3</v>
      </c>
    </row>
    <row r="3775" spans="1:9" hidden="1" x14ac:dyDescent="0.2">
      <c r="A3775" s="6">
        <v>43961.708333333336</v>
      </c>
      <c r="B3775" s="1" t="s">
        <v>21</v>
      </c>
      <c r="C3775">
        <v>273</v>
      </c>
      <c r="D3775">
        <v>16</v>
      </c>
      <c r="E3775">
        <v>256</v>
      </c>
      <c r="F3775">
        <v>3327</v>
      </c>
      <c r="G3775" s="3">
        <f t="shared" si="174"/>
        <v>14</v>
      </c>
      <c r="H3775" s="4">
        <f t="shared" si="175"/>
        <v>4.2079951908626789E-3</v>
      </c>
      <c r="I3775" s="1">
        <f t="shared" si="176"/>
        <v>0</v>
      </c>
    </row>
    <row r="3776" spans="1:9" hidden="1" x14ac:dyDescent="0.2">
      <c r="A3776" s="6">
        <v>43962.708333333336</v>
      </c>
      <c r="B3776" s="1" t="s">
        <v>21</v>
      </c>
      <c r="C3776">
        <v>271</v>
      </c>
      <c r="D3776">
        <v>16</v>
      </c>
      <c r="E3776">
        <v>257</v>
      </c>
      <c r="F3776">
        <v>3339</v>
      </c>
      <c r="G3776" s="3">
        <f t="shared" si="174"/>
        <v>12</v>
      </c>
      <c r="H3776" s="4">
        <f t="shared" si="175"/>
        <v>3.5938903863431682E-3</v>
      </c>
      <c r="I3776" s="1">
        <f t="shared" si="176"/>
        <v>1</v>
      </c>
    </row>
    <row r="3777" spans="1:9" hidden="1" x14ac:dyDescent="0.2">
      <c r="A3777" s="6">
        <v>43963.708333333336</v>
      </c>
      <c r="B3777" s="1" t="s">
        <v>21</v>
      </c>
      <c r="C3777">
        <v>234</v>
      </c>
      <c r="D3777">
        <v>15</v>
      </c>
      <c r="E3777">
        <v>261</v>
      </c>
      <c r="F3777">
        <v>3343</v>
      </c>
      <c r="G3777" s="3">
        <f t="shared" si="174"/>
        <v>4</v>
      </c>
      <c r="H3777" s="4">
        <f t="shared" si="175"/>
        <v>1.1965300628178355E-3</v>
      </c>
      <c r="I3777" s="1">
        <f t="shared" si="176"/>
        <v>4</v>
      </c>
    </row>
    <row r="3778" spans="1:9" hidden="1" x14ac:dyDescent="0.2">
      <c r="A3778" s="6">
        <v>43964.708333333336</v>
      </c>
      <c r="B3778" s="1" t="s">
        <v>21</v>
      </c>
      <c r="C3778">
        <v>212</v>
      </c>
      <c r="D3778">
        <v>13</v>
      </c>
      <c r="E3778">
        <v>262</v>
      </c>
      <c r="F3778">
        <v>3354</v>
      </c>
      <c r="G3778" s="3">
        <f t="shared" si="174"/>
        <v>11</v>
      </c>
      <c r="H3778" s="4">
        <f t="shared" si="175"/>
        <v>3.2796660703637848E-3</v>
      </c>
      <c r="I3778" s="1">
        <f t="shared" si="176"/>
        <v>1</v>
      </c>
    </row>
    <row r="3779" spans="1:9" hidden="1" x14ac:dyDescent="0.2">
      <c r="A3779" s="6">
        <v>43965.708333333336</v>
      </c>
      <c r="B3779" s="1" t="s">
        <v>21</v>
      </c>
      <c r="C3779">
        <v>203</v>
      </c>
      <c r="D3779">
        <v>12</v>
      </c>
      <c r="E3779">
        <v>263</v>
      </c>
      <c r="F3779">
        <v>3366</v>
      </c>
      <c r="G3779" s="3">
        <f t="shared" ref="G3779:G3842" si="177">IF(AND(F3779&gt;0,AND(B3779=B3778,F3779&gt;0)),F3779-F3778,0)</f>
        <v>12</v>
      </c>
      <c r="H3779" s="4">
        <f t="shared" ref="H3779:H3842" si="178">IF(AND(F3778&gt;0,AND(B3779=B3778,F3778&gt;0)),1-(F3778/F3779),0)</f>
        <v>3.5650623885917776E-3</v>
      </c>
      <c r="I3779" s="1">
        <f t="shared" ref="I3779:I3842" si="179">IF(AND(E3779&gt;0,AND(B3779=B3778,E3779&gt;0)),E3779-E3778,0)</f>
        <v>1</v>
      </c>
    </row>
    <row r="3780" spans="1:9" hidden="1" x14ac:dyDescent="0.2">
      <c r="A3780" s="6">
        <v>43966.708333333336</v>
      </c>
      <c r="B3780" s="1" t="s">
        <v>21</v>
      </c>
      <c r="C3780">
        <v>198</v>
      </c>
      <c r="D3780">
        <v>11</v>
      </c>
      <c r="E3780">
        <v>263</v>
      </c>
      <c r="F3780">
        <v>3374</v>
      </c>
      <c r="G3780" s="3">
        <f t="shared" si="177"/>
        <v>8</v>
      </c>
      <c r="H3780" s="4">
        <f t="shared" si="178"/>
        <v>2.3710729104919892E-3</v>
      </c>
      <c r="I3780" s="1">
        <f t="shared" si="179"/>
        <v>0</v>
      </c>
    </row>
    <row r="3781" spans="1:9" hidden="1" x14ac:dyDescent="0.2">
      <c r="A3781" s="6">
        <v>43967.708333333336</v>
      </c>
      <c r="B3781" s="1" t="s">
        <v>21</v>
      </c>
      <c r="C3781">
        <v>159</v>
      </c>
      <c r="D3781">
        <v>12</v>
      </c>
      <c r="E3781">
        <v>265</v>
      </c>
      <c r="F3781">
        <v>3382</v>
      </c>
      <c r="G3781" s="3">
        <f t="shared" si="177"/>
        <v>8</v>
      </c>
      <c r="H3781" s="4">
        <f t="shared" si="178"/>
        <v>2.3654642223536193E-3</v>
      </c>
      <c r="I3781" s="1">
        <f t="shared" si="179"/>
        <v>2</v>
      </c>
    </row>
    <row r="3782" spans="1:9" hidden="1" x14ac:dyDescent="0.2">
      <c r="A3782" s="6">
        <v>43968.708333333336</v>
      </c>
      <c r="B3782" s="1" t="s">
        <v>21</v>
      </c>
      <c r="C3782">
        <v>145</v>
      </c>
      <c r="D3782">
        <v>13</v>
      </c>
      <c r="E3782">
        <v>267</v>
      </c>
      <c r="F3782">
        <v>3388</v>
      </c>
      <c r="G3782" s="3">
        <f t="shared" si="177"/>
        <v>6</v>
      </c>
      <c r="H3782" s="4">
        <f t="shared" si="178"/>
        <v>1.7709563164108877E-3</v>
      </c>
      <c r="I3782" s="1">
        <f t="shared" si="179"/>
        <v>2</v>
      </c>
    </row>
    <row r="3783" spans="1:9" hidden="1" x14ac:dyDescent="0.2">
      <c r="A3783" s="6">
        <v>43969.708333333336</v>
      </c>
      <c r="B3783" s="1" t="s">
        <v>21</v>
      </c>
      <c r="C3783">
        <v>137</v>
      </c>
      <c r="D3783">
        <v>13</v>
      </c>
      <c r="E3783">
        <v>267</v>
      </c>
      <c r="F3783">
        <v>3395</v>
      </c>
      <c r="G3783" s="3">
        <f t="shared" si="177"/>
        <v>7</v>
      </c>
      <c r="H3783" s="4">
        <f t="shared" si="178"/>
        <v>2.0618556701030855E-3</v>
      </c>
      <c r="I3783" s="1">
        <f t="shared" si="179"/>
        <v>0</v>
      </c>
    </row>
    <row r="3784" spans="1:9" hidden="1" x14ac:dyDescent="0.2">
      <c r="A3784" s="6">
        <v>43970.708333333336</v>
      </c>
      <c r="B3784" s="1" t="s">
        <v>21</v>
      </c>
      <c r="C3784">
        <v>125</v>
      </c>
      <c r="D3784">
        <v>12</v>
      </c>
      <c r="E3784">
        <v>268</v>
      </c>
      <c r="F3784">
        <v>3403</v>
      </c>
      <c r="G3784" s="3">
        <f t="shared" si="177"/>
        <v>8</v>
      </c>
      <c r="H3784" s="4">
        <f t="shared" si="178"/>
        <v>2.3508668821627943E-3</v>
      </c>
      <c r="I3784" s="1">
        <f t="shared" si="179"/>
        <v>1</v>
      </c>
    </row>
    <row r="3785" spans="1:9" hidden="1" x14ac:dyDescent="0.2">
      <c r="A3785" s="6">
        <v>43971.708333333336</v>
      </c>
      <c r="B3785" s="1" t="s">
        <v>21</v>
      </c>
      <c r="C3785">
        <v>118</v>
      </c>
      <c r="D3785">
        <v>11</v>
      </c>
      <c r="E3785">
        <v>268</v>
      </c>
      <c r="F3785">
        <v>3411</v>
      </c>
      <c r="G3785" s="3">
        <f t="shared" si="177"/>
        <v>8</v>
      </c>
      <c r="H3785" s="4">
        <f t="shared" si="178"/>
        <v>2.3453532688361145E-3</v>
      </c>
      <c r="I3785" s="1">
        <f t="shared" si="179"/>
        <v>0</v>
      </c>
    </row>
    <row r="3786" spans="1:9" hidden="1" x14ac:dyDescent="0.2">
      <c r="A3786" s="6">
        <v>43972.708333333336</v>
      </c>
      <c r="B3786" s="1" t="s">
        <v>21</v>
      </c>
      <c r="C3786">
        <v>107</v>
      </c>
      <c r="D3786">
        <v>11</v>
      </c>
      <c r="E3786">
        <v>268</v>
      </c>
      <c r="F3786">
        <v>3417</v>
      </c>
      <c r="G3786" s="3">
        <f t="shared" si="177"/>
        <v>6</v>
      </c>
      <c r="H3786" s="4">
        <f t="shared" si="178"/>
        <v>1.7559262510974394E-3</v>
      </c>
      <c r="I3786" s="1">
        <f t="shared" si="179"/>
        <v>0</v>
      </c>
    </row>
    <row r="3787" spans="1:9" hidden="1" x14ac:dyDescent="0.2">
      <c r="A3787" s="6">
        <v>43973.708333333336</v>
      </c>
      <c r="B3787" s="1" t="s">
        <v>21</v>
      </c>
      <c r="C3787">
        <v>103</v>
      </c>
      <c r="D3787">
        <v>10</v>
      </c>
      <c r="E3787">
        <v>268</v>
      </c>
      <c r="F3787">
        <v>3421</v>
      </c>
      <c r="G3787" s="3">
        <f t="shared" si="177"/>
        <v>4</v>
      </c>
      <c r="H3787" s="4">
        <f t="shared" si="178"/>
        <v>1.1692487576732136E-3</v>
      </c>
      <c r="I3787" s="1">
        <f t="shared" si="179"/>
        <v>0</v>
      </c>
    </row>
    <row r="3788" spans="1:9" hidden="1" x14ac:dyDescent="0.2">
      <c r="A3788" s="6">
        <v>43974.708333333336</v>
      </c>
      <c r="B3788" s="1" t="s">
        <v>21</v>
      </c>
      <c r="C3788">
        <v>95</v>
      </c>
      <c r="D3788">
        <v>9</v>
      </c>
      <c r="E3788">
        <v>269</v>
      </c>
      <c r="F3788">
        <v>3421</v>
      </c>
      <c r="G3788" s="3">
        <f t="shared" si="177"/>
        <v>0</v>
      </c>
      <c r="H3788" s="4">
        <f t="shared" si="178"/>
        <v>0</v>
      </c>
      <c r="I3788" s="1">
        <f t="shared" si="179"/>
        <v>1</v>
      </c>
    </row>
    <row r="3789" spans="1:9" hidden="1" x14ac:dyDescent="0.2">
      <c r="A3789" s="6">
        <v>43975.708333333336</v>
      </c>
      <c r="B3789" s="1" t="s">
        <v>21</v>
      </c>
      <c r="C3789">
        <v>91</v>
      </c>
      <c r="D3789">
        <v>9</v>
      </c>
      <c r="E3789">
        <v>269</v>
      </c>
      <c r="F3789">
        <v>3423</v>
      </c>
      <c r="G3789" s="3">
        <f t="shared" si="177"/>
        <v>2</v>
      </c>
      <c r="H3789" s="4">
        <f t="shared" si="178"/>
        <v>5.8428279287170426E-4</v>
      </c>
      <c r="I3789" s="1">
        <f t="shared" si="179"/>
        <v>0</v>
      </c>
    </row>
    <row r="3790" spans="1:9" hidden="1" x14ac:dyDescent="0.2">
      <c r="A3790" s="6">
        <v>43976.708333333336</v>
      </c>
      <c r="B3790" s="1" t="s">
        <v>21</v>
      </c>
      <c r="C3790">
        <v>89</v>
      </c>
      <c r="D3790">
        <v>9</v>
      </c>
      <c r="E3790">
        <v>270</v>
      </c>
      <c r="F3790">
        <v>3427</v>
      </c>
      <c r="G3790" s="3">
        <f t="shared" si="177"/>
        <v>4</v>
      </c>
      <c r="H3790" s="4">
        <f t="shared" si="178"/>
        <v>1.1672016340822378E-3</v>
      </c>
      <c r="I3790" s="1">
        <f t="shared" si="179"/>
        <v>1</v>
      </c>
    </row>
    <row r="3791" spans="1:9" hidden="1" x14ac:dyDescent="0.2">
      <c r="A3791" s="6">
        <v>43977.708333333336</v>
      </c>
      <c r="B3791" s="1" t="s">
        <v>21</v>
      </c>
      <c r="C3791">
        <v>83</v>
      </c>
      <c r="D3791">
        <v>10</v>
      </c>
      <c r="E3791">
        <v>271</v>
      </c>
      <c r="F3791">
        <v>3430</v>
      </c>
      <c r="G3791" s="3">
        <f t="shared" si="177"/>
        <v>3</v>
      </c>
      <c r="H3791" s="4">
        <f t="shared" si="178"/>
        <v>8.7463556851308244E-4</v>
      </c>
      <c r="I3791" s="1">
        <f t="shared" si="179"/>
        <v>1</v>
      </c>
    </row>
    <row r="3792" spans="1:9" hidden="1" x14ac:dyDescent="0.2">
      <c r="A3792" s="6">
        <v>43978.708333333336</v>
      </c>
      <c r="B3792" s="1" t="s">
        <v>21</v>
      </c>
      <c r="C3792">
        <v>73</v>
      </c>
      <c r="D3792">
        <v>10</v>
      </c>
      <c r="E3792">
        <v>272</v>
      </c>
      <c r="F3792">
        <v>3435</v>
      </c>
      <c r="G3792" s="3">
        <f t="shared" si="177"/>
        <v>5</v>
      </c>
      <c r="H3792" s="4">
        <f t="shared" si="178"/>
        <v>1.4556040756914523E-3</v>
      </c>
      <c r="I3792" s="1">
        <f t="shared" si="179"/>
        <v>1</v>
      </c>
    </row>
    <row r="3793" spans="1:9" hidden="1" x14ac:dyDescent="0.2">
      <c r="A3793" s="6">
        <v>43979.708333333336</v>
      </c>
      <c r="B3793" s="1" t="s">
        <v>21</v>
      </c>
      <c r="C3793">
        <v>72</v>
      </c>
      <c r="D3793">
        <v>8</v>
      </c>
      <c r="E3793">
        <v>272</v>
      </c>
      <c r="F3793">
        <v>3438</v>
      </c>
      <c r="G3793" s="3">
        <f t="shared" si="177"/>
        <v>3</v>
      </c>
      <c r="H3793" s="4">
        <f t="shared" si="178"/>
        <v>8.7260034904013128E-4</v>
      </c>
      <c r="I3793" s="1">
        <f t="shared" si="179"/>
        <v>0</v>
      </c>
    </row>
    <row r="3794" spans="1:9" hidden="1" x14ac:dyDescent="0.2">
      <c r="A3794" s="6">
        <v>43980.708333333336</v>
      </c>
      <c r="B3794" s="1" t="s">
        <v>21</v>
      </c>
      <c r="C3794">
        <v>67</v>
      </c>
      <c r="D3794">
        <v>7</v>
      </c>
      <c r="E3794">
        <v>272</v>
      </c>
      <c r="F3794">
        <v>3440</v>
      </c>
      <c r="G3794" s="3">
        <f t="shared" si="177"/>
        <v>2</v>
      </c>
      <c r="H3794" s="4">
        <f t="shared" si="178"/>
        <v>5.8139534883716593E-4</v>
      </c>
      <c r="I3794" s="1">
        <f t="shared" si="179"/>
        <v>0</v>
      </c>
    </row>
    <row r="3795" spans="1:9" hidden="1" x14ac:dyDescent="0.2">
      <c r="A3795" s="6">
        <v>43981.708333333336</v>
      </c>
      <c r="B3795" s="1" t="s">
        <v>21</v>
      </c>
      <c r="C3795">
        <v>67</v>
      </c>
      <c r="D3795">
        <v>7</v>
      </c>
      <c r="E3795">
        <v>273</v>
      </c>
      <c r="F3795">
        <v>3442</v>
      </c>
      <c r="G3795" s="3">
        <f t="shared" si="177"/>
        <v>2</v>
      </c>
      <c r="H3795" s="4">
        <f t="shared" si="178"/>
        <v>5.8105752469495009E-4</v>
      </c>
      <c r="I3795" s="1">
        <f t="shared" si="179"/>
        <v>1</v>
      </c>
    </row>
    <row r="3796" spans="1:9" hidden="1" x14ac:dyDescent="0.2">
      <c r="A3796" s="6">
        <v>43982.708333333336</v>
      </c>
      <c r="B3796" s="1" t="s">
        <v>21</v>
      </c>
      <c r="C3796">
        <v>65</v>
      </c>
      <c r="D3796">
        <v>7</v>
      </c>
      <c r="E3796">
        <v>274</v>
      </c>
      <c r="F3796">
        <v>3443</v>
      </c>
      <c r="G3796" s="3">
        <f t="shared" si="177"/>
        <v>1</v>
      </c>
      <c r="H3796" s="4">
        <f t="shared" si="178"/>
        <v>2.904443799012224E-4</v>
      </c>
      <c r="I3796" s="1">
        <f t="shared" si="179"/>
        <v>1</v>
      </c>
    </row>
    <row r="3797" spans="1:9" hidden="1" x14ac:dyDescent="0.2">
      <c r="A3797" s="6">
        <v>43983.708333333336</v>
      </c>
      <c r="B3797" s="1" t="s">
        <v>21</v>
      </c>
      <c r="C3797">
        <v>65</v>
      </c>
      <c r="D3797">
        <v>8</v>
      </c>
      <c r="E3797">
        <v>274</v>
      </c>
      <c r="F3797">
        <v>3443</v>
      </c>
      <c r="G3797" s="3">
        <f t="shared" si="177"/>
        <v>0</v>
      </c>
      <c r="H3797" s="4">
        <f t="shared" si="178"/>
        <v>0</v>
      </c>
      <c r="I3797" s="1">
        <f t="shared" si="179"/>
        <v>0</v>
      </c>
    </row>
    <row r="3798" spans="1:9" hidden="1" x14ac:dyDescent="0.2">
      <c r="A3798" s="6">
        <v>43984.708333333336</v>
      </c>
      <c r="B3798" s="1" t="s">
        <v>21</v>
      </c>
      <c r="C3798">
        <v>62</v>
      </c>
      <c r="D3798">
        <v>7</v>
      </c>
      <c r="E3798">
        <v>275</v>
      </c>
      <c r="F3798">
        <v>3447</v>
      </c>
      <c r="G3798" s="3">
        <f t="shared" si="177"/>
        <v>4</v>
      </c>
      <c r="H3798" s="4">
        <f t="shared" si="178"/>
        <v>1.1604293588627357E-3</v>
      </c>
      <c r="I3798" s="1">
        <f t="shared" si="179"/>
        <v>1</v>
      </c>
    </row>
    <row r="3799" spans="1:9" hidden="1" x14ac:dyDescent="0.2">
      <c r="A3799" s="6">
        <v>43985.708333333336</v>
      </c>
      <c r="B3799" s="1" t="s">
        <v>21</v>
      </c>
      <c r="C3799">
        <v>60</v>
      </c>
      <c r="D3799">
        <v>7</v>
      </c>
      <c r="E3799">
        <v>275</v>
      </c>
      <c r="F3799">
        <v>3447</v>
      </c>
      <c r="G3799" s="3">
        <f t="shared" si="177"/>
        <v>0</v>
      </c>
      <c r="H3799" s="4">
        <f t="shared" si="178"/>
        <v>0</v>
      </c>
      <c r="I3799" s="1">
        <f t="shared" si="179"/>
        <v>0</v>
      </c>
    </row>
    <row r="3800" spans="1:9" hidden="1" x14ac:dyDescent="0.2">
      <c r="A3800" s="6">
        <v>43986.708333333336</v>
      </c>
      <c r="B3800" s="1" t="s">
        <v>21</v>
      </c>
      <c r="C3800">
        <v>57</v>
      </c>
      <c r="D3800">
        <v>6</v>
      </c>
      <c r="E3800">
        <v>276</v>
      </c>
      <c r="F3800">
        <v>3447</v>
      </c>
      <c r="G3800" s="3">
        <f t="shared" si="177"/>
        <v>0</v>
      </c>
      <c r="H3800" s="4">
        <f t="shared" si="178"/>
        <v>0</v>
      </c>
      <c r="I3800" s="1">
        <f t="shared" si="179"/>
        <v>1</v>
      </c>
    </row>
    <row r="3801" spans="1:9" hidden="1" x14ac:dyDescent="0.2">
      <c r="A3801" s="6">
        <v>43987.708333333336</v>
      </c>
      <c r="B3801" s="1" t="s">
        <v>21</v>
      </c>
      <c r="C3801">
        <v>54</v>
      </c>
      <c r="D3801">
        <v>6</v>
      </c>
      <c r="E3801">
        <v>276</v>
      </c>
      <c r="F3801">
        <v>3448</v>
      </c>
      <c r="G3801" s="3">
        <f t="shared" si="177"/>
        <v>1</v>
      </c>
      <c r="H3801" s="4">
        <f t="shared" si="178"/>
        <v>2.9002320185611552E-4</v>
      </c>
      <c r="I3801" s="1">
        <f t="shared" si="179"/>
        <v>0</v>
      </c>
    </row>
    <row r="3802" spans="1:9" hidden="1" x14ac:dyDescent="0.2">
      <c r="A3802" s="6">
        <v>43988.708333333336</v>
      </c>
      <c r="B3802" s="1" t="s">
        <v>21</v>
      </c>
      <c r="C3802">
        <v>47</v>
      </c>
      <c r="D3802">
        <v>7</v>
      </c>
      <c r="E3802">
        <v>276</v>
      </c>
      <c r="F3802">
        <v>3450</v>
      </c>
      <c r="G3802" s="3">
        <f t="shared" si="177"/>
        <v>2</v>
      </c>
      <c r="H3802" s="4">
        <f t="shared" si="178"/>
        <v>5.7971014492752548E-4</v>
      </c>
      <c r="I3802" s="1">
        <f t="shared" si="179"/>
        <v>0</v>
      </c>
    </row>
    <row r="3803" spans="1:9" hidden="1" x14ac:dyDescent="0.2">
      <c r="A3803" s="6">
        <v>43989.708333333336</v>
      </c>
      <c r="B3803" s="1" t="s">
        <v>21</v>
      </c>
      <c r="C3803">
        <v>42</v>
      </c>
      <c r="D3803">
        <v>7</v>
      </c>
      <c r="E3803">
        <v>277</v>
      </c>
      <c r="F3803">
        <v>3451</v>
      </c>
      <c r="G3803" s="3">
        <f t="shared" si="177"/>
        <v>1</v>
      </c>
      <c r="H3803" s="4">
        <f t="shared" si="178"/>
        <v>2.8977108084615733E-4</v>
      </c>
      <c r="I3803" s="1">
        <f t="shared" si="179"/>
        <v>1</v>
      </c>
    </row>
    <row r="3804" spans="1:9" hidden="1" x14ac:dyDescent="0.2">
      <c r="A3804" s="6">
        <v>43990.708333333336</v>
      </c>
      <c r="B3804" s="1" t="s">
        <v>21</v>
      </c>
      <c r="C3804">
        <v>40</v>
      </c>
      <c r="D3804">
        <v>7</v>
      </c>
      <c r="E3804">
        <v>278</v>
      </c>
      <c r="F3804">
        <v>3452</v>
      </c>
      <c r="G3804" s="3">
        <f t="shared" si="177"/>
        <v>1</v>
      </c>
      <c r="H3804" s="4">
        <f t="shared" si="178"/>
        <v>2.8968713789112588E-4</v>
      </c>
      <c r="I3804" s="1">
        <f t="shared" si="179"/>
        <v>1</v>
      </c>
    </row>
    <row r="3805" spans="1:9" hidden="1" x14ac:dyDescent="0.2">
      <c r="A3805" s="6">
        <v>43991.708333333336</v>
      </c>
      <c r="B3805" s="1" t="s">
        <v>21</v>
      </c>
      <c r="C3805">
        <v>39</v>
      </c>
      <c r="D3805">
        <v>6</v>
      </c>
      <c r="E3805">
        <v>278</v>
      </c>
      <c r="F3805">
        <v>3454</v>
      </c>
      <c r="G3805" s="3">
        <f t="shared" si="177"/>
        <v>2</v>
      </c>
      <c r="H3805" s="4">
        <f t="shared" si="178"/>
        <v>5.7903879559928484E-4</v>
      </c>
      <c r="I3805" s="1">
        <f t="shared" si="179"/>
        <v>0</v>
      </c>
    </row>
    <row r="3806" spans="1:9" hidden="1" x14ac:dyDescent="0.2">
      <c r="A3806" s="6">
        <v>43992.708333333336</v>
      </c>
      <c r="B3806" s="1" t="s">
        <v>21</v>
      </c>
      <c r="C3806">
        <v>40</v>
      </c>
      <c r="D3806">
        <v>6</v>
      </c>
      <c r="E3806">
        <v>278</v>
      </c>
      <c r="F3806">
        <v>3455</v>
      </c>
      <c r="G3806" s="3">
        <f t="shared" si="177"/>
        <v>1</v>
      </c>
      <c r="H3806" s="4">
        <f t="shared" si="178"/>
        <v>2.8943560057892448E-4</v>
      </c>
      <c r="I3806" s="1">
        <f t="shared" si="179"/>
        <v>0</v>
      </c>
    </row>
    <row r="3807" spans="1:9" hidden="1" x14ac:dyDescent="0.2">
      <c r="A3807" s="6">
        <v>43993.708333333336</v>
      </c>
      <c r="B3807" s="1" t="s">
        <v>21</v>
      </c>
      <c r="C3807">
        <v>37</v>
      </c>
      <c r="D3807">
        <v>5</v>
      </c>
      <c r="E3807">
        <v>279</v>
      </c>
      <c r="F3807">
        <v>3455</v>
      </c>
      <c r="G3807" s="3">
        <f t="shared" si="177"/>
        <v>0</v>
      </c>
      <c r="H3807" s="4">
        <f t="shared" si="178"/>
        <v>0</v>
      </c>
      <c r="I3807" s="1">
        <f t="shared" si="179"/>
        <v>1</v>
      </c>
    </row>
    <row r="3808" spans="1:9" hidden="1" x14ac:dyDescent="0.2">
      <c r="A3808" s="6">
        <v>43994.708333333336</v>
      </c>
      <c r="B3808" s="1" t="s">
        <v>21</v>
      </c>
      <c r="C3808">
        <v>34</v>
      </c>
      <c r="D3808">
        <v>3</v>
      </c>
      <c r="E3808">
        <v>279</v>
      </c>
      <c r="F3808">
        <v>3455</v>
      </c>
      <c r="G3808" s="3">
        <f t="shared" si="177"/>
        <v>0</v>
      </c>
      <c r="H3808" s="4">
        <f t="shared" si="178"/>
        <v>0</v>
      </c>
      <c r="I3808" s="1">
        <f t="shared" si="179"/>
        <v>0</v>
      </c>
    </row>
    <row r="3809" spans="1:9" hidden="1" x14ac:dyDescent="0.2">
      <c r="A3809" s="6">
        <v>43995.708333333336</v>
      </c>
      <c r="B3809" s="1" t="s">
        <v>21</v>
      </c>
      <c r="C3809">
        <v>33</v>
      </c>
      <c r="D3809">
        <v>3</v>
      </c>
      <c r="E3809">
        <v>279</v>
      </c>
      <c r="F3809">
        <v>3456</v>
      </c>
      <c r="G3809" s="3">
        <f t="shared" si="177"/>
        <v>1</v>
      </c>
      <c r="H3809" s="4">
        <f t="shared" si="178"/>
        <v>2.8935185185186008E-4</v>
      </c>
      <c r="I3809" s="1">
        <f t="shared" si="179"/>
        <v>0</v>
      </c>
    </row>
    <row r="3810" spans="1:9" hidden="1" x14ac:dyDescent="0.2">
      <c r="A3810" s="6">
        <v>43996.708333333336</v>
      </c>
      <c r="B3810" s="1" t="s">
        <v>21</v>
      </c>
      <c r="C3810">
        <v>32</v>
      </c>
      <c r="D3810">
        <v>3</v>
      </c>
      <c r="E3810">
        <v>279</v>
      </c>
      <c r="F3810">
        <v>3457</v>
      </c>
      <c r="G3810" s="3">
        <f t="shared" si="177"/>
        <v>1</v>
      </c>
      <c r="H3810" s="4">
        <f t="shared" si="178"/>
        <v>2.8926815157648278E-4</v>
      </c>
      <c r="I3810" s="1">
        <f t="shared" si="179"/>
        <v>0</v>
      </c>
    </row>
    <row r="3811" spans="1:9" hidden="1" x14ac:dyDescent="0.2">
      <c r="A3811" s="6">
        <v>43997.708333333336</v>
      </c>
      <c r="B3811" s="1" t="s">
        <v>21</v>
      </c>
      <c r="C3811">
        <v>30</v>
      </c>
      <c r="D3811">
        <v>4</v>
      </c>
      <c r="E3811">
        <v>280</v>
      </c>
      <c r="F3811">
        <v>3458</v>
      </c>
      <c r="G3811" s="3">
        <f t="shared" si="177"/>
        <v>1</v>
      </c>
      <c r="H3811" s="4">
        <f t="shared" si="178"/>
        <v>2.8918449971082616E-4</v>
      </c>
      <c r="I3811" s="1">
        <f t="shared" si="179"/>
        <v>1</v>
      </c>
    </row>
    <row r="3812" spans="1:9" hidden="1" x14ac:dyDescent="0.2">
      <c r="A3812" s="6">
        <v>43998.708333333336</v>
      </c>
      <c r="B3812" s="1" t="s">
        <v>21</v>
      </c>
      <c r="C3812">
        <v>32</v>
      </c>
      <c r="D3812">
        <v>4</v>
      </c>
      <c r="E3812">
        <v>280</v>
      </c>
      <c r="F3812">
        <v>3460</v>
      </c>
      <c r="G3812" s="3">
        <f t="shared" si="177"/>
        <v>2</v>
      </c>
      <c r="H3812" s="4">
        <f t="shared" si="178"/>
        <v>5.7803468208095232E-4</v>
      </c>
      <c r="I3812" s="1">
        <f t="shared" si="179"/>
        <v>0</v>
      </c>
    </row>
    <row r="3813" spans="1:9" hidden="1" x14ac:dyDescent="0.2">
      <c r="A3813" s="6">
        <v>43999.708333333336</v>
      </c>
      <c r="B3813" s="1" t="s">
        <v>21</v>
      </c>
      <c r="C3813">
        <v>25</v>
      </c>
      <c r="D3813">
        <v>3</v>
      </c>
      <c r="E3813">
        <v>280</v>
      </c>
      <c r="F3813">
        <v>3462</v>
      </c>
      <c r="G3813" s="3">
        <f t="shared" si="177"/>
        <v>2</v>
      </c>
      <c r="H3813" s="4">
        <f t="shared" si="178"/>
        <v>5.7770075101093443E-4</v>
      </c>
      <c r="I3813" s="1">
        <f t="shared" si="179"/>
        <v>0</v>
      </c>
    </row>
    <row r="3814" spans="1:9" hidden="1" x14ac:dyDescent="0.2">
      <c r="A3814" s="6">
        <v>44000.708333333336</v>
      </c>
      <c r="B3814" s="1" t="s">
        <v>21</v>
      </c>
      <c r="C3814">
        <v>24</v>
      </c>
      <c r="D3814">
        <v>3</v>
      </c>
      <c r="E3814">
        <v>280</v>
      </c>
      <c r="F3814">
        <v>3464</v>
      </c>
      <c r="G3814" s="3">
        <f t="shared" si="177"/>
        <v>2</v>
      </c>
      <c r="H3814" s="4">
        <f t="shared" si="178"/>
        <v>5.7736720554268928E-4</v>
      </c>
      <c r="I3814" s="1">
        <f t="shared" si="179"/>
        <v>0</v>
      </c>
    </row>
    <row r="3815" spans="1:9" hidden="1" x14ac:dyDescent="0.2">
      <c r="A3815" s="6">
        <v>44001.708333333336</v>
      </c>
      <c r="B3815" s="1" t="s">
        <v>21</v>
      </c>
      <c r="C3815">
        <v>21</v>
      </c>
      <c r="D3815">
        <v>5</v>
      </c>
      <c r="E3815">
        <v>280</v>
      </c>
      <c r="F3815">
        <v>3070</v>
      </c>
      <c r="G3815" s="3">
        <f t="shared" si="177"/>
        <v>-394</v>
      </c>
      <c r="H3815" s="4">
        <f t="shared" si="178"/>
        <v>-0.12833876221498364</v>
      </c>
      <c r="I3815" s="1">
        <f t="shared" si="179"/>
        <v>0</v>
      </c>
    </row>
    <row r="3816" spans="1:9" hidden="1" x14ac:dyDescent="0.2">
      <c r="A3816" s="6">
        <v>44002.708333333336</v>
      </c>
      <c r="B3816" s="1" t="s">
        <v>21</v>
      </c>
      <c r="C3816">
        <v>21</v>
      </c>
      <c r="D3816">
        <v>5</v>
      </c>
      <c r="E3816">
        <v>280</v>
      </c>
      <c r="F3816">
        <v>3070</v>
      </c>
      <c r="G3816" s="3">
        <f t="shared" si="177"/>
        <v>0</v>
      </c>
      <c r="H3816" s="4">
        <f t="shared" si="178"/>
        <v>0</v>
      </c>
      <c r="I3816" s="1">
        <f t="shared" si="179"/>
        <v>0</v>
      </c>
    </row>
    <row r="3817" spans="1:9" hidden="1" x14ac:dyDescent="0.2">
      <c r="A3817" s="6">
        <v>44003.708333333336</v>
      </c>
      <c r="B3817" s="1" t="s">
        <v>21</v>
      </c>
      <c r="C3817">
        <v>20</v>
      </c>
      <c r="D3817">
        <v>6</v>
      </c>
      <c r="E3817">
        <v>280</v>
      </c>
      <c r="F3817">
        <v>3072</v>
      </c>
      <c r="G3817" s="3">
        <f t="shared" si="177"/>
        <v>2</v>
      </c>
      <c r="H3817" s="4">
        <f t="shared" si="178"/>
        <v>6.5104166666662966E-4</v>
      </c>
      <c r="I3817" s="1">
        <f t="shared" si="179"/>
        <v>0</v>
      </c>
    </row>
    <row r="3818" spans="1:9" hidden="1" x14ac:dyDescent="0.2">
      <c r="A3818" s="6">
        <v>44004.708333333336</v>
      </c>
      <c r="B3818" s="1" t="s">
        <v>21</v>
      </c>
      <c r="C3818">
        <v>20</v>
      </c>
      <c r="D3818">
        <v>6</v>
      </c>
      <c r="E3818">
        <v>280</v>
      </c>
      <c r="F3818">
        <v>3072</v>
      </c>
      <c r="G3818" s="3">
        <f t="shared" si="177"/>
        <v>0</v>
      </c>
      <c r="H3818" s="4">
        <f t="shared" si="178"/>
        <v>0</v>
      </c>
      <c r="I3818" s="1">
        <f t="shared" si="179"/>
        <v>0</v>
      </c>
    </row>
    <row r="3819" spans="1:9" hidden="1" x14ac:dyDescent="0.2">
      <c r="A3819" s="6">
        <v>44005.708333333336</v>
      </c>
      <c r="B3819" s="1" t="s">
        <v>21</v>
      </c>
      <c r="C3819">
        <v>17</v>
      </c>
      <c r="D3819">
        <v>5</v>
      </c>
      <c r="E3819">
        <v>280</v>
      </c>
      <c r="F3819">
        <v>3073</v>
      </c>
      <c r="G3819" s="3">
        <f t="shared" si="177"/>
        <v>1</v>
      </c>
      <c r="H3819" s="4">
        <f t="shared" si="178"/>
        <v>3.2541490400261885E-4</v>
      </c>
      <c r="I3819" s="1">
        <f t="shared" si="179"/>
        <v>0</v>
      </c>
    </row>
    <row r="3820" spans="1:9" hidden="1" x14ac:dyDescent="0.2">
      <c r="A3820" s="6">
        <v>44006.708333333336</v>
      </c>
      <c r="B3820" s="1" t="s">
        <v>21</v>
      </c>
      <c r="C3820">
        <v>17</v>
      </c>
      <c r="D3820">
        <v>5</v>
      </c>
      <c r="E3820">
        <v>280</v>
      </c>
      <c r="F3820">
        <v>3074</v>
      </c>
      <c r="G3820" s="3">
        <f t="shared" si="177"/>
        <v>1</v>
      </c>
      <c r="H3820" s="4">
        <f t="shared" si="178"/>
        <v>3.2530904359140411E-4</v>
      </c>
      <c r="I3820" s="1">
        <f t="shared" si="179"/>
        <v>0</v>
      </c>
    </row>
    <row r="3821" spans="1:9" hidden="1" x14ac:dyDescent="0.2">
      <c r="A3821" s="6">
        <v>44007.708333333336</v>
      </c>
      <c r="B3821" s="1" t="s">
        <v>21</v>
      </c>
      <c r="C3821">
        <v>17</v>
      </c>
      <c r="D3821">
        <v>5</v>
      </c>
      <c r="E3821">
        <v>280</v>
      </c>
      <c r="F3821">
        <v>3076</v>
      </c>
      <c r="G3821" s="3">
        <f t="shared" si="177"/>
        <v>2</v>
      </c>
      <c r="H3821" s="4">
        <f t="shared" si="178"/>
        <v>6.5019505851759973E-4</v>
      </c>
      <c r="I3821" s="1">
        <f t="shared" si="179"/>
        <v>0</v>
      </c>
    </row>
    <row r="3822" spans="1:9" hidden="1" x14ac:dyDescent="0.2">
      <c r="A3822" s="6">
        <v>44008.708333333336</v>
      </c>
      <c r="B3822" s="1" t="s">
        <v>21</v>
      </c>
      <c r="C3822">
        <v>18</v>
      </c>
      <c r="D3822">
        <v>4</v>
      </c>
      <c r="E3822">
        <v>281</v>
      </c>
      <c r="F3822">
        <v>3076</v>
      </c>
      <c r="G3822" s="3">
        <f t="shared" si="177"/>
        <v>0</v>
      </c>
      <c r="H3822" s="4">
        <f t="shared" si="178"/>
        <v>0</v>
      </c>
      <c r="I3822" s="1">
        <f t="shared" si="179"/>
        <v>1</v>
      </c>
    </row>
    <row r="3823" spans="1:9" hidden="1" x14ac:dyDescent="0.2">
      <c r="A3823" s="6">
        <v>44009.708333333336</v>
      </c>
      <c r="B3823" s="1" t="s">
        <v>21</v>
      </c>
      <c r="C3823">
        <v>20</v>
      </c>
      <c r="D3823">
        <v>4</v>
      </c>
      <c r="E3823">
        <v>281</v>
      </c>
      <c r="F3823">
        <v>3077</v>
      </c>
      <c r="G3823" s="3">
        <f t="shared" si="177"/>
        <v>1</v>
      </c>
      <c r="H3823" s="4">
        <f t="shared" si="178"/>
        <v>3.2499187520307338E-4</v>
      </c>
      <c r="I3823" s="1">
        <f t="shared" si="179"/>
        <v>0</v>
      </c>
    </row>
    <row r="3824" spans="1:9" hidden="1" x14ac:dyDescent="0.2">
      <c r="A3824" s="6">
        <v>44010.708333333336</v>
      </c>
      <c r="B3824" s="1" t="s">
        <v>21</v>
      </c>
      <c r="C3824">
        <v>21</v>
      </c>
      <c r="D3824">
        <v>4</v>
      </c>
      <c r="E3824">
        <v>281</v>
      </c>
      <c r="F3824">
        <v>3077</v>
      </c>
      <c r="G3824" s="3">
        <f t="shared" si="177"/>
        <v>0</v>
      </c>
      <c r="H3824" s="4">
        <f t="shared" si="178"/>
        <v>0</v>
      </c>
      <c r="I3824" s="1">
        <f t="shared" si="179"/>
        <v>0</v>
      </c>
    </row>
    <row r="3825" spans="1:9" hidden="1" x14ac:dyDescent="0.2">
      <c r="A3825" s="6">
        <v>44011.708333333336</v>
      </c>
      <c r="B3825" s="1" t="s">
        <v>21</v>
      </c>
      <c r="C3825">
        <v>21</v>
      </c>
      <c r="D3825">
        <v>3</v>
      </c>
      <c r="E3825">
        <v>281</v>
      </c>
      <c r="F3825">
        <v>3078</v>
      </c>
      <c r="G3825" s="3">
        <f t="shared" si="177"/>
        <v>1</v>
      </c>
      <c r="H3825" s="4">
        <f t="shared" si="178"/>
        <v>3.2488628979854273E-4</v>
      </c>
      <c r="I3825" s="1">
        <f t="shared" si="179"/>
        <v>0</v>
      </c>
    </row>
    <row r="3826" spans="1:9" hidden="1" x14ac:dyDescent="0.2">
      <c r="A3826" s="6">
        <v>44012.708333333336</v>
      </c>
      <c r="B3826" s="1" t="s">
        <v>21</v>
      </c>
      <c r="C3826">
        <v>19</v>
      </c>
      <c r="D3826">
        <v>3</v>
      </c>
      <c r="E3826">
        <v>282</v>
      </c>
      <c r="F3826">
        <v>3080</v>
      </c>
      <c r="G3826" s="3">
        <f t="shared" si="177"/>
        <v>2</v>
      </c>
      <c r="H3826" s="4">
        <f t="shared" si="178"/>
        <v>6.4935064935067732E-4</v>
      </c>
      <c r="I3826" s="1">
        <f t="shared" si="179"/>
        <v>1</v>
      </c>
    </row>
    <row r="3827" spans="1:9" hidden="1" x14ac:dyDescent="0.2">
      <c r="A3827" s="6">
        <v>44013.708333333336</v>
      </c>
      <c r="B3827" s="1" t="s">
        <v>21</v>
      </c>
      <c r="C3827">
        <v>18</v>
      </c>
      <c r="D3827">
        <v>3</v>
      </c>
      <c r="E3827">
        <v>282</v>
      </c>
      <c r="F3827">
        <v>3081</v>
      </c>
      <c r="G3827" s="3">
        <f t="shared" si="177"/>
        <v>1</v>
      </c>
      <c r="H3827" s="4">
        <f t="shared" si="178"/>
        <v>3.2456994482310542E-4</v>
      </c>
      <c r="I3827" s="1">
        <f t="shared" si="179"/>
        <v>0</v>
      </c>
    </row>
    <row r="3828" spans="1:9" hidden="1" x14ac:dyDescent="0.2">
      <c r="A3828" s="6">
        <v>44014.708333333336</v>
      </c>
      <c r="B3828" s="1" t="s">
        <v>21</v>
      </c>
      <c r="C3828">
        <v>17</v>
      </c>
      <c r="D3828">
        <v>3</v>
      </c>
      <c r="E3828">
        <v>282</v>
      </c>
      <c r="F3828">
        <v>3090</v>
      </c>
      <c r="G3828" s="3">
        <f t="shared" si="177"/>
        <v>9</v>
      </c>
      <c r="H3828" s="4">
        <f t="shared" si="178"/>
        <v>2.9126213592233219E-3</v>
      </c>
      <c r="I3828" s="1">
        <f t="shared" si="179"/>
        <v>0</v>
      </c>
    </row>
    <row r="3829" spans="1:9" hidden="1" x14ac:dyDescent="0.2">
      <c r="A3829" s="6">
        <v>44015.708333333336</v>
      </c>
      <c r="B3829" s="1" t="s">
        <v>21</v>
      </c>
      <c r="C3829">
        <v>16</v>
      </c>
      <c r="D3829">
        <v>2</v>
      </c>
      <c r="E3829">
        <v>282</v>
      </c>
      <c r="F3829">
        <v>3091</v>
      </c>
      <c r="G3829" s="3">
        <f t="shared" si="177"/>
        <v>1</v>
      </c>
      <c r="H3829" s="4">
        <f t="shared" si="178"/>
        <v>3.235198964736119E-4</v>
      </c>
      <c r="I3829" s="1">
        <f t="shared" si="179"/>
        <v>0</v>
      </c>
    </row>
    <row r="3830" spans="1:9" hidden="1" x14ac:dyDescent="0.2">
      <c r="A3830" s="6">
        <v>44016.708333333336</v>
      </c>
      <c r="B3830" s="1" t="s">
        <v>21</v>
      </c>
      <c r="C3830">
        <v>15</v>
      </c>
      <c r="D3830">
        <v>2</v>
      </c>
      <c r="E3830">
        <v>282</v>
      </c>
      <c r="F3830">
        <v>3094</v>
      </c>
      <c r="G3830" s="3">
        <f t="shared" si="177"/>
        <v>3</v>
      </c>
      <c r="H3830" s="4">
        <f t="shared" si="178"/>
        <v>9.6961861667743676E-4</v>
      </c>
      <c r="I3830" s="1">
        <f t="shared" si="179"/>
        <v>0</v>
      </c>
    </row>
    <row r="3831" spans="1:9" hidden="1" x14ac:dyDescent="0.2">
      <c r="A3831" s="6">
        <v>44017.708333333336</v>
      </c>
      <c r="B3831" s="1" t="s">
        <v>21</v>
      </c>
      <c r="C3831">
        <v>13</v>
      </c>
      <c r="D3831">
        <v>2</v>
      </c>
      <c r="E3831">
        <v>282</v>
      </c>
      <c r="F3831">
        <v>3094</v>
      </c>
      <c r="G3831" s="3">
        <f t="shared" si="177"/>
        <v>0</v>
      </c>
      <c r="H3831" s="4">
        <f t="shared" si="178"/>
        <v>0</v>
      </c>
      <c r="I3831" s="1">
        <f t="shared" si="179"/>
        <v>0</v>
      </c>
    </row>
    <row r="3832" spans="1:9" hidden="1" x14ac:dyDescent="0.2">
      <c r="A3832" s="6">
        <v>44018.708333333336</v>
      </c>
      <c r="B3832" s="1" t="s">
        <v>21</v>
      </c>
      <c r="C3832">
        <v>14</v>
      </c>
      <c r="D3832">
        <v>2</v>
      </c>
      <c r="E3832">
        <v>282</v>
      </c>
      <c r="F3832">
        <v>3095</v>
      </c>
      <c r="G3832" s="3">
        <f t="shared" si="177"/>
        <v>1</v>
      </c>
      <c r="H3832" s="4">
        <f t="shared" si="178"/>
        <v>3.2310177705974219E-4</v>
      </c>
      <c r="I3832" s="1">
        <f t="shared" si="179"/>
        <v>0</v>
      </c>
    </row>
    <row r="3833" spans="1:9" hidden="1" x14ac:dyDescent="0.2">
      <c r="A3833" s="6">
        <v>44019.708333333336</v>
      </c>
      <c r="B3833" s="1" t="s">
        <v>21</v>
      </c>
      <c r="C3833">
        <v>12</v>
      </c>
      <c r="D3833">
        <v>0</v>
      </c>
      <c r="E3833">
        <v>282</v>
      </c>
      <c r="F3833">
        <v>3096</v>
      </c>
      <c r="G3833" s="3">
        <f t="shared" si="177"/>
        <v>1</v>
      </c>
      <c r="H3833" s="4">
        <f t="shared" si="178"/>
        <v>3.2299741602070942E-4</v>
      </c>
      <c r="I3833" s="1">
        <f t="shared" si="179"/>
        <v>0</v>
      </c>
    </row>
    <row r="3834" spans="1:9" hidden="1" x14ac:dyDescent="0.2">
      <c r="A3834" s="6">
        <v>44020.708333333336</v>
      </c>
      <c r="B3834" s="1" t="s">
        <v>21</v>
      </c>
      <c r="C3834">
        <v>7</v>
      </c>
      <c r="D3834">
        <v>0</v>
      </c>
      <c r="E3834">
        <v>283</v>
      </c>
      <c r="F3834">
        <v>3097</v>
      </c>
      <c r="G3834" s="3">
        <f t="shared" si="177"/>
        <v>1</v>
      </c>
      <c r="H3834" s="4">
        <f t="shared" si="178"/>
        <v>3.2289312237654411E-4</v>
      </c>
      <c r="I3834" s="1">
        <f t="shared" si="179"/>
        <v>1</v>
      </c>
    </row>
    <row r="3835" spans="1:9" hidden="1" x14ac:dyDescent="0.2">
      <c r="A3835" s="6">
        <v>44021.708333333336</v>
      </c>
      <c r="B3835" s="1" t="s">
        <v>21</v>
      </c>
      <c r="C3835">
        <v>6</v>
      </c>
      <c r="D3835">
        <v>0</v>
      </c>
      <c r="E3835">
        <v>283</v>
      </c>
      <c r="F3835">
        <v>3098</v>
      </c>
      <c r="G3835" s="3">
        <f t="shared" si="177"/>
        <v>1</v>
      </c>
      <c r="H3835" s="4">
        <f t="shared" si="178"/>
        <v>3.2278889606196515E-4</v>
      </c>
      <c r="I3835" s="1">
        <f t="shared" si="179"/>
        <v>0</v>
      </c>
    </row>
    <row r="3836" spans="1:9" hidden="1" x14ac:dyDescent="0.2">
      <c r="A3836" s="6">
        <v>44022.708333333336</v>
      </c>
      <c r="B3836" s="1" t="s">
        <v>21</v>
      </c>
      <c r="C3836">
        <v>6</v>
      </c>
      <c r="D3836">
        <v>0</v>
      </c>
      <c r="E3836">
        <v>283</v>
      </c>
      <c r="F3836">
        <v>3098</v>
      </c>
      <c r="G3836" s="3">
        <f t="shared" si="177"/>
        <v>0</v>
      </c>
      <c r="H3836" s="4">
        <f t="shared" si="178"/>
        <v>0</v>
      </c>
      <c r="I3836" s="1">
        <f t="shared" si="179"/>
        <v>0</v>
      </c>
    </row>
    <row r="3837" spans="1:9" hidden="1" x14ac:dyDescent="0.2">
      <c r="A3837" s="6">
        <v>44023.708333333336</v>
      </c>
      <c r="B3837" s="1" t="s">
        <v>21</v>
      </c>
      <c r="C3837">
        <v>6</v>
      </c>
      <c r="D3837">
        <v>0</v>
      </c>
      <c r="E3837">
        <v>283</v>
      </c>
      <c r="F3837">
        <v>3099</v>
      </c>
      <c r="G3837" s="3">
        <f t="shared" si="177"/>
        <v>1</v>
      </c>
      <c r="H3837" s="4">
        <f t="shared" si="178"/>
        <v>3.2268473701191347E-4</v>
      </c>
      <c r="I3837" s="1">
        <f t="shared" si="179"/>
        <v>0</v>
      </c>
    </row>
    <row r="3838" spans="1:9" hidden="1" x14ac:dyDescent="0.2">
      <c r="A3838" s="6">
        <v>44024.708333333336</v>
      </c>
      <c r="B3838" s="1" t="s">
        <v>21</v>
      </c>
      <c r="C3838">
        <v>5</v>
      </c>
      <c r="D3838">
        <v>0</v>
      </c>
      <c r="E3838">
        <v>283</v>
      </c>
      <c r="F3838">
        <v>3099</v>
      </c>
      <c r="G3838" s="3">
        <f t="shared" si="177"/>
        <v>0</v>
      </c>
      <c r="H3838" s="4">
        <f t="shared" si="178"/>
        <v>0</v>
      </c>
      <c r="I3838" s="1">
        <f t="shared" si="179"/>
        <v>0</v>
      </c>
    </row>
    <row r="3839" spans="1:9" hidden="1" x14ac:dyDescent="0.2">
      <c r="A3839" s="6">
        <v>44025.708333333336</v>
      </c>
      <c r="B3839" s="1" t="s">
        <v>21</v>
      </c>
      <c r="C3839">
        <v>6</v>
      </c>
      <c r="D3839">
        <v>0</v>
      </c>
      <c r="E3839">
        <v>283</v>
      </c>
      <c r="F3839">
        <v>3100</v>
      </c>
      <c r="G3839" s="3">
        <f t="shared" si="177"/>
        <v>1</v>
      </c>
      <c r="H3839" s="4">
        <f t="shared" si="178"/>
        <v>3.2258064516133E-4</v>
      </c>
      <c r="I3839" s="1">
        <f t="shared" si="179"/>
        <v>0</v>
      </c>
    </row>
    <row r="3840" spans="1:9" hidden="1" x14ac:dyDescent="0.2">
      <c r="A3840" s="6">
        <v>44026.708333333336</v>
      </c>
      <c r="B3840" s="1" t="s">
        <v>21</v>
      </c>
      <c r="C3840">
        <v>4</v>
      </c>
      <c r="D3840">
        <v>0</v>
      </c>
      <c r="E3840">
        <v>283</v>
      </c>
      <c r="F3840">
        <v>3115</v>
      </c>
      <c r="G3840" s="3">
        <f t="shared" si="177"/>
        <v>15</v>
      </c>
      <c r="H3840" s="4">
        <f t="shared" si="178"/>
        <v>4.8154093097912964E-3</v>
      </c>
      <c r="I3840" s="1">
        <f t="shared" si="179"/>
        <v>0</v>
      </c>
    </row>
    <row r="3841" spans="1:9" hidden="1" x14ac:dyDescent="0.2">
      <c r="A3841" s="6">
        <v>44027.708333333336</v>
      </c>
      <c r="B3841" s="1" t="s">
        <v>21</v>
      </c>
      <c r="C3841">
        <v>4</v>
      </c>
      <c r="D3841">
        <v>0</v>
      </c>
      <c r="E3841">
        <v>283</v>
      </c>
      <c r="F3841">
        <v>3115</v>
      </c>
      <c r="G3841" s="3">
        <f t="shared" si="177"/>
        <v>0</v>
      </c>
      <c r="H3841" s="4">
        <f t="shared" si="178"/>
        <v>0</v>
      </c>
      <c r="I3841" s="1">
        <f t="shared" si="179"/>
        <v>0</v>
      </c>
    </row>
    <row r="3842" spans="1:9" hidden="1" x14ac:dyDescent="0.2">
      <c r="A3842" s="6">
        <v>44028.708333333336</v>
      </c>
      <c r="B3842" s="1" t="s">
        <v>21</v>
      </c>
      <c r="C3842">
        <v>6</v>
      </c>
      <c r="D3842">
        <v>0</v>
      </c>
      <c r="E3842">
        <v>283</v>
      </c>
      <c r="F3842">
        <v>3132</v>
      </c>
      <c r="G3842" s="3">
        <f t="shared" si="177"/>
        <v>17</v>
      </c>
      <c r="H3842" s="4">
        <f t="shared" si="178"/>
        <v>5.4278416347381953E-3</v>
      </c>
      <c r="I3842" s="1">
        <f t="shared" si="179"/>
        <v>0</v>
      </c>
    </row>
    <row r="3843" spans="1:9" hidden="1" x14ac:dyDescent="0.2">
      <c r="A3843" s="6">
        <v>44029.708333333336</v>
      </c>
      <c r="B3843" s="1" t="s">
        <v>21</v>
      </c>
      <c r="C3843">
        <v>9</v>
      </c>
      <c r="D3843">
        <v>0</v>
      </c>
      <c r="E3843">
        <v>283</v>
      </c>
      <c r="F3843">
        <v>3136</v>
      </c>
      <c r="G3843" s="3">
        <f t="shared" ref="G3843:G3906" si="180">IF(AND(F3843&gt;0,AND(B3843=B3842,F3843&gt;0)),F3843-F3842,0)</f>
        <v>4</v>
      </c>
      <c r="H3843" s="4">
        <f t="shared" ref="H3843:H3906" si="181">IF(AND(F3842&gt;0,AND(B3843=B3842,F3842&gt;0)),1-(F3842/F3843),0)</f>
        <v>1.2755102040816757E-3</v>
      </c>
      <c r="I3843" s="1">
        <f t="shared" ref="I3843:I3906" si="182">IF(AND(E3843&gt;0,AND(B3843=B3842,E3843&gt;0)),E3843-E3842,0)</f>
        <v>0</v>
      </c>
    </row>
    <row r="3844" spans="1:9" hidden="1" x14ac:dyDescent="0.2">
      <c r="A3844" s="6">
        <v>44030.708333333336</v>
      </c>
      <c r="B3844" s="1" t="s">
        <v>21</v>
      </c>
      <c r="C3844">
        <v>14</v>
      </c>
      <c r="D3844">
        <v>0</v>
      </c>
      <c r="E3844">
        <v>283</v>
      </c>
      <c r="F3844">
        <v>3140</v>
      </c>
      <c r="G3844" s="3">
        <f t="shared" si="180"/>
        <v>4</v>
      </c>
      <c r="H3844" s="4">
        <f t="shared" si="181"/>
        <v>1.2738853503184711E-3</v>
      </c>
      <c r="I3844" s="1">
        <f t="shared" si="182"/>
        <v>0</v>
      </c>
    </row>
    <row r="3845" spans="1:9" hidden="1" x14ac:dyDescent="0.2">
      <c r="A3845" s="6">
        <v>44031.708333333336</v>
      </c>
      <c r="B3845" s="1" t="s">
        <v>21</v>
      </c>
      <c r="C3845">
        <v>11</v>
      </c>
      <c r="D3845">
        <v>1</v>
      </c>
      <c r="E3845">
        <v>283</v>
      </c>
      <c r="F3845">
        <v>3142</v>
      </c>
      <c r="G3845" s="3">
        <f t="shared" si="180"/>
        <v>2</v>
      </c>
      <c r="H3845" s="4">
        <f t="shared" si="181"/>
        <v>6.3653723742840285E-4</v>
      </c>
      <c r="I3845" s="1">
        <f t="shared" si="182"/>
        <v>0</v>
      </c>
    </row>
    <row r="3846" spans="1:9" hidden="1" x14ac:dyDescent="0.2">
      <c r="A3846" s="6">
        <v>44032.708333333336</v>
      </c>
      <c r="B3846" s="1" t="s">
        <v>21</v>
      </c>
      <c r="C3846">
        <v>10</v>
      </c>
      <c r="D3846">
        <v>2</v>
      </c>
      <c r="E3846">
        <v>283</v>
      </c>
      <c r="F3846">
        <v>3144</v>
      </c>
      <c r="G3846" s="3">
        <f t="shared" si="180"/>
        <v>2</v>
      </c>
      <c r="H3846" s="4">
        <f t="shared" si="181"/>
        <v>6.3613231552162031E-4</v>
      </c>
      <c r="I3846" s="1">
        <f t="shared" si="182"/>
        <v>0</v>
      </c>
    </row>
    <row r="3847" spans="1:9" hidden="1" x14ac:dyDescent="0.2">
      <c r="A3847" s="6">
        <v>44033.708333333336</v>
      </c>
      <c r="B3847" s="1" t="s">
        <v>21</v>
      </c>
      <c r="C3847">
        <v>10</v>
      </c>
      <c r="D3847">
        <v>2</v>
      </c>
      <c r="E3847">
        <v>283</v>
      </c>
      <c r="F3847">
        <v>3146</v>
      </c>
      <c r="G3847" s="3">
        <f t="shared" si="180"/>
        <v>2</v>
      </c>
      <c r="H3847" s="4">
        <f t="shared" si="181"/>
        <v>6.3572790845523031E-4</v>
      </c>
      <c r="I3847" s="1">
        <f t="shared" si="182"/>
        <v>0</v>
      </c>
    </row>
    <row r="3848" spans="1:9" hidden="1" x14ac:dyDescent="0.2">
      <c r="A3848" s="6">
        <v>44034.708333333336</v>
      </c>
      <c r="B3848" s="1" t="s">
        <v>21</v>
      </c>
      <c r="C3848">
        <v>10</v>
      </c>
      <c r="D3848">
        <v>3</v>
      </c>
      <c r="E3848">
        <v>283</v>
      </c>
      <c r="F3848">
        <v>3153</v>
      </c>
      <c r="G3848" s="3">
        <f t="shared" si="180"/>
        <v>7</v>
      </c>
      <c r="H3848" s="4">
        <f t="shared" si="181"/>
        <v>2.220107833809104E-3</v>
      </c>
      <c r="I3848" s="1">
        <f t="shared" si="182"/>
        <v>0</v>
      </c>
    </row>
    <row r="3849" spans="1:9" hidden="1" x14ac:dyDescent="0.2">
      <c r="A3849" s="6">
        <v>44035.708333333336</v>
      </c>
      <c r="B3849" s="1" t="s">
        <v>21</v>
      </c>
      <c r="C3849">
        <v>10</v>
      </c>
      <c r="D3849">
        <v>3</v>
      </c>
      <c r="E3849">
        <v>283</v>
      </c>
      <c r="F3849">
        <v>3158</v>
      </c>
      <c r="G3849" s="3">
        <f t="shared" si="180"/>
        <v>5</v>
      </c>
      <c r="H3849" s="4">
        <f t="shared" si="181"/>
        <v>1.5832805573147146E-3</v>
      </c>
      <c r="I3849" s="1">
        <f t="shared" si="182"/>
        <v>0</v>
      </c>
    </row>
    <row r="3850" spans="1:9" hidden="1" x14ac:dyDescent="0.2">
      <c r="A3850" s="6">
        <v>44036.708333333336</v>
      </c>
      <c r="B3850" s="1" t="s">
        <v>21</v>
      </c>
      <c r="C3850">
        <v>11</v>
      </c>
      <c r="D3850">
        <v>2</v>
      </c>
      <c r="E3850">
        <v>283</v>
      </c>
      <c r="F3850">
        <v>3166</v>
      </c>
      <c r="G3850" s="3">
        <f t="shared" si="180"/>
        <v>8</v>
      </c>
      <c r="H3850" s="4">
        <f t="shared" si="181"/>
        <v>2.5268477574226234E-3</v>
      </c>
      <c r="I3850" s="1">
        <f t="shared" si="182"/>
        <v>0</v>
      </c>
    </row>
    <row r="3851" spans="1:9" hidden="1" x14ac:dyDescent="0.2">
      <c r="A3851" s="6">
        <v>44037.708333333336</v>
      </c>
      <c r="B3851" s="1" t="s">
        <v>21</v>
      </c>
      <c r="C3851">
        <v>15</v>
      </c>
      <c r="D3851">
        <v>2</v>
      </c>
      <c r="E3851">
        <v>283</v>
      </c>
      <c r="F3851">
        <v>3179</v>
      </c>
      <c r="G3851" s="3">
        <f t="shared" si="180"/>
        <v>13</v>
      </c>
      <c r="H3851" s="4">
        <f t="shared" si="181"/>
        <v>4.0893362692671076E-3</v>
      </c>
      <c r="I3851" s="1">
        <f t="shared" si="182"/>
        <v>0</v>
      </c>
    </row>
    <row r="3852" spans="1:9" hidden="1" x14ac:dyDescent="0.2">
      <c r="A3852" s="6">
        <v>44038.708333333336</v>
      </c>
      <c r="B3852" s="1" t="s">
        <v>21</v>
      </c>
      <c r="C3852">
        <v>20</v>
      </c>
      <c r="D3852">
        <v>2</v>
      </c>
      <c r="E3852">
        <v>283</v>
      </c>
      <c r="F3852">
        <v>3193</v>
      </c>
      <c r="G3852" s="3">
        <f t="shared" si="180"/>
        <v>14</v>
      </c>
      <c r="H3852" s="4">
        <f t="shared" si="181"/>
        <v>4.3845912934544762E-3</v>
      </c>
      <c r="I3852" s="1">
        <f t="shared" si="182"/>
        <v>0</v>
      </c>
    </row>
    <row r="3853" spans="1:9" hidden="1" x14ac:dyDescent="0.2">
      <c r="A3853" s="6">
        <v>44039.708333333336</v>
      </c>
      <c r="B3853" s="1" t="s">
        <v>21</v>
      </c>
      <c r="C3853">
        <v>22</v>
      </c>
      <c r="D3853">
        <v>4</v>
      </c>
      <c r="E3853">
        <v>283</v>
      </c>
      <c r="F3853">
        <v>3196</v>
      </c>
      <c r="G3853" s="3">
        <f t="shared" si="180"/>
        <v>3</v>
      </c>
      <c r="H3853" s="4">
        <f t="shared" si="181"/>
        <v>9.386733416770765E-4</v>
      </c>
      <c r="I3853" s="1">
        <f t="shared" si="182"/>
        <v>0</v>
      </c>
    </row>
    <row r="3854" spans="1:9" hidden="1" x14ac:dyDescent="0.2">
      <c r="A3854" s="6">
        <v>44040.708333333336</v>
      </c>
      <c r="B3854" s="1" t="s">
        <v>21</v>
      </c>
      <c r="C3854">
        <v>29</v>
      </c>
      <c r="D3854">
        <v>2</v>
      </c>
      <c r="E3854">
        <v>283</v>
      </c>
      <c r="F3854">
        <v>3215</v>
      </c>
      <c r="G3854" s="3">
        <f t="shared" si="180"/>
        <v>19</v>
      </c>
      <c r="H3854" s="4">
        <f t="shared" si="181"/>
        <v>5.9097978227060644E-3</v>
      </c>
      <c r="I3854" s="1">
        <f t="shared" si="182"/>
        <v>0</v>
      </c>
    </row>
    <row r="3855" spans="1:9" hidden="1" x14ac:dyDescent="0.2">
      <c r="A3855" s="6">
        <v>44041.708333333336</v>
      </c>
      <c r="B3855" s="1" t="s">
        <v>21</v>
      </c>
      <c r="C3855">
        <v>29</v>
      </c>
      <c r="D3855">
        <v>2</v>
      </c>
      <c r="E3855">
        <v>283</v>
      </c>
      <c r="F3855">
        <v>3233</v>
      </c>
      <c r="G3855" s="3">
        <f t="shared" si="180"/>
        <v>18</v>
      </c>
      <c r="H3855" s="4">
        <f t="shared" si="181"/>
        <v>5.5675842870398506E-3</v>
      </c>
      <c r="I3855" s="1">
        <f t="shared" si="182"/>
        <v>0</v>
      </c>
    </row>
    <row r="3856" spans="1:9" hidden="1" x14ac:dyDescent="0.2">
      <c r="A3856" s="6">
        <v>44042.708333333336</v>
      </c>
      <c r="B3856" s="1" t="s">
        <v>21</v>
      </c>
      <c r="C3856">
        <v>33</v>
      </c>
      <c r="D3856">
        <v>2</v>
      </c>
      <c r="E3856">
        <v>283</v>
      </c>
      <c r="F3856">
        <v>3272</v>
      </c>
      <c r="G3856" s="3">
        <f t="shared" si="180"/>
        <v>39</v>
      </c>
      <c r="H3856" s="4">
        <f t="shared" si="181"/>
        <v>1.1919315403422948E-2</v>
      </c>
      <c r="I3856" s="1">
        <f t="shared" si="182"/>
        <v>0</v>
      </c>
    </row>
    <row r="3857" spans="1:9" hidden="1" x14ac:dyDescent="0.2">
      <c r="A3857" s="6">
        <v>44043.708333333336</v>
      </c>
      <c r="B3857" s="1" t="s">
        <v>21</v>
      </c>
      <c r="C3857">
        <v>38</v>
      </c>
      <c r="D3857">
        <v>2</v>
      </c>
      <c r="E3857">
        <v>283</v>
      </c>
      <c r="F3857">
        <v>3288</v>
      </c>
      <c r="G3857" s="3">
        <f t="shared" si="180"/>
        <v>16</v>
      </c>
      <c r="H3857" s="4">
        <f t="shared" si="181"/>
        <v>4.8661800486617945E-3</v>
      </c>
      <c r="I3857" s="1">
        <f t="shared" si="182"/>
        <v>0</v>
      </c>
    </row>
    <row r="3858" spans="1:9" hidden="1" x14ac:dyDescent="0.2">
      <c r="A3858" s="6">
        <v>44044.708333333336</v>
      </c>
      <c r="B3858" s="1" t="s">
        <v>21</v>
      </c>
      <c r="C3858">
        <v>36</v>
      </c>
      <c r="D3858">
        <v>3</v>
      </c>
      <c r="E3858">
        <v>283</v>
      </c>
      <c r="F3858">
        <v>3298</v>
      </c>
      <c r="G3858" s="3">
        <f t="shared" si="180"/>
        <v>10</v>
      </c>
      <c r="H3858" s="4">
        <f t="shared" si="181"/>
        <v>3.0321406913280669E-3</v>
      </c>
      <c r="I3858" s="1">
        <f t="shared" si="182"/>
        <v>0</v>
      </c>
    </row>
    <row r="3859" spans="1:9" hidden="1" x14ac:dyDescent="0.2">
      <c r="A3859" s="6">
        <v>44045.708333333336</v>
      </c>
      <c r="B3859" s="1" t="s">
        <v>21</v>
      </c>
      <c r="C3859">
        <v>36</v>
      </c>
      <c r="D3859">
        <v>3</v>
      </c>
      <c r="E3859">
        <v>283</v>
      </c>
      <c r="F3859">
        <v>3305</v>
      </c>
      <c r="G3859" s="3">
        <f t="shared" si="180"/>
        <v>7</v>
      </c>
      <c r="H3859" s="4">
        <f t="shared" si="181"/>
        <v>2.1180030257186289E-3</v>
      </c>
      <c r="I3859" s="1">
        <f t="shared" si="182"/>
        <v>0</v>
      </c>
    </row>
    <row r="3860" spans="1:9" hidden="1" x14ac:dyDescent="0.2">
      <c r="A3860" s="6">
        <v>44046.708333333336</v>
      </c>
      <c r="B3860" s="1" t="s">
        <v>21</v>
      </c>
      <c r="C3860">
        <v>36</v>
      </c>
      <c r="D3860">
        <v>3</v>
      </c>
      <c r="E3860">
        <v>283</v>
      </c>
      <c r="F3860">
        <v>3308</v>
      </c>
      <c r="G3860" s="3">
        <f t="shared" si="180"/>
        <v>3</v>
      </c>
      <c r="H3860" s="4">
        <f t="shared" si="181"/>
        <v>9.0689238210395207E-4</v>
      </c>
      <c r="I3860" s="1">
        <f t="shared" si="182"/>
        <v>0</v>
      </c>
    </row>
    <row r="3861" spans="1:9" hidden="1" x14ac:dyDescent="0.2">
      <c r="A3861" s="6">
        <v>44047.708333333336</v>
      </c>
      <c r="B3861" s="1" t="s">
        <v>21</v>
      </c>
      <c r="C3861">
        <v>34</v>
      </c>
      <c r="D3861">
        <v>3</v>
      </c>
      <c r="E3861">
        <v>284</v>
      </c>
      <c r="F3861">
        <v>3318</v>
      </c>
      <c r="G3861" s="3">
        <f t="shared" si="180"/>
        <v>10</v>
      </c>
      <c r="H3861" s="4">
        <f t="shared" si="181"/>
        <v>3.0138637733574392E-3</v>
      </c>
      <c r="I3861" s="1">
        <f t="shared" si="182"/>
        <v>1</v>
      </c>
    </row>
    <row r="3862" spans="1:9" hidden="1" x14ac:dyDescent="0.2">
      <c r="A3862" s="6">
        <v>44048.708333333336</v>
      </c>
      <c r="B3862" s="1" t="s">
        <v>21</v>
      </c>
      <c r="C3862">
        <v>34</v>
      </c>
      <c r="D3862">
        <v>4</v>
      </c>
      <c r="E3862">
        <v>284</v>
      </c>
      <c r="F3862">
        <v>3339</v>
      </c>
      <c r="G3862" s="3">
        <f t="shared" si="180"/>
        <v>21</v>
      </c>
      <c r="H3862" s="4">
        <f t="shared" si="181"/>
        <v>6.2893081761006275E-3</v>
      </c>
      <c r="I3862" s="1">
        <f t="shared" si="182"/>
        <v>0</v>
      </c>
    </row>
    <row r="3863" spans="1:9" hidden="1" x14ac:dyDescent="0.2">
      <c r="A3863" s="6">
        <v>44049.708333333336</v>
      </c>
      <c r="B3863" s="1" t="s">
        <v>21</v>
      </c>
      <c r="C3863">
        <v>37</v>
      </c>
      <c r="D3863">
        <v>4</v>
      </c>
      <c r="E3863">
        <v>284</v>
      </c>
      <c r="F3863">
        <v>3369</v>
      </c>
      <c r="G3863" s="3">
        <f t="shared" si="180"/>
        <v>30</v>
      </c>
      <c r="H3863" s="4">
        <f t="shared" si="181"/>
        <v>8.9047195013357561E-3</v>
      </c>
      <c r="I3863" s="1">
        <f t="shared" si="182"/>
        <v>0</v>
      </c>
    </row>
    <row r="3864" spans="1:9" hidden="1" x14ac:dyDescent="0.2">
      <c r="A3864" s="6">
        <v>44050.708333333336</v>
      </c>
      <c r="B3864" s="1" t="s">
        <v>21</v>
      </c>
      <c r="C3864">
        <v>37</v>
      </c>
      <c r="D3864">
        <v>4</v>
      </c>
      <c r="E3864">
        <v>284</v>
      </c>
      <c r="F3864">
        <v>3396</v>
      </c>
      <c r="G3864" s="3">
        <f t="shared" si="180"/>
        <v>27</v>
      </c>
      <c r="H3864" s="4">
        <f t="shared" si="181"/>
        <v>7.9505300353356345E-3</v>
      </c>
      <c r="I3864" s="1">
        <f t="shared" si="182"/>
        <v>0</v>
      </c>
    </row>
    <row r="3865" spans="1:9" hidden="1" x14ac:dyDescent="0.2">
      <c r="A3865" s="6">
        <v>44051.708333333336</v>
      </c>
      <c r="B3865" s="1" t="s">
        <v>21</v>
      </c>
      <c r="C3865">
        <v>37</v>
      </c>
      <c r="D3865">
        <v>4</v>
      </c>
      <c r="E3865">
        <v>284</v>
      </c>
      <c r="F3865">
        <v>3424</v>
      </c>
      <c r="G3865" s="3">
        <f t="shared" si="180"/>
        <v>28</v>
      </c>
      <c r="H3865" s="4">
        <f t="shared" si="181"/>
        <v>8.1775700934579865E-3</v>
      </c>
      <c r="I3865" s="1">
        <f t="shared" si="182"/>
        <v>0</v>
      </c>
    </row>
    <row r="3866" spans="1:9" hidden="1" x14ac:dyDescent="0.2">
      <c r="A3866" s="6">
        <v>44052.708333333336</v>
      </c>
      <c r="B3866" s="1" t="s">
        <v>21</v>
      </c>
      <c r="C3866">
        <v>39</v>
      </c>
      <c r="D3866">
        <v>5</v>
      </c>
      <c r="E3866">
        <v>284</v>
      </c>
      <c r="F3866">
        <v>3453</v>
      </c>
      <c r="G3866" s="3">
        <f t="shared" si="180"/>
        <v>29</v>
      </c>
      <c r="H3866" s="4">
        <f t="shared" si="181"/>
        <v>8.3984940631335325E-3</v>
      </c>
      <c r="I3866" s="1">
        <f t="shared" si="182"/>
        <v>0</v>
      </c>
    </row>
    <row r="3867" spans="1:9" hidden="1" x14ac:dyDescent="0.2">
      <c r="A3867" s="6">
        <v>44053.708333333336</v>
      </c>
      <c r="B3867" s="1" t="s">
        <v>21</v>
      </c>
      <c r="C3867">
        <v>45</v>
      </c>
      <c r="D3867">
        <v>6</v>
      </c>
      <c r="E3867">
        <v>284</v>
      </c>
      <c r="F3867">
        <v>3485</v>
      </c>
      <c r="G3867" s="3">
        <f t="shared" si="180"/>
        <v>32</v>
      </c>
      <c r="H3867" s="4">
        <f t="shared" si="181"/>
        <v>9.1822094691534906E-3</v>
      </c>
      <c r="I3867" s="1">
        <f t="shared" si="182"/>
        <v>0</v>
      </c>
    </row>
    <row r="3868" spans="1:9" hidden="1" x14ac:dyDescent="0.2">
      <c r="A3868" s="6">
        <v>44054.708333333336</v>
      </c>
      <c r="B3868" s="1" t="s">
        <v>21</v>
      </c>
      <c r="C3868">
        <v>44</v>
      </c>
      <c r="D3868">
        <v>6</v>
      </c>
      <c r="E3868">
        <v>284</v>
      </c>
      <c r="F3868">
        <v>3574</v>
      </c>
      <c r="G3868" s="3">
        <f t="shared" si="180"/>
        <v>89</v>
      </c>
      <c r="H3868" s="4">
        <f t="shared" si="181"/>
        <v>2.4902070509233321E-2</v>
      </c>
      <c r="I3868" s="1">
        <f t="shared" si="182"/>
        <v>0</v>
      </c>
    </row>
    <row r="3869" spans="1:9" hidden="1" x14ac:dyDescent="0.2">
      <c r="A3869" s="6">
        <v>44055.708333333336</v>
      </c>
      <c r="B3869" s="1" t="s">
        <v>21</v>
      </c>
      <c r="C3869">
        <v>43</v>
      </c>
      <c r="D3869">
        <v>6</v>
      </c>
      <c r="E3869">
        <v>284</v>
      </c>
      <c r="F3869">
        <v>3603</v>
      </c>
      <c r="G3869" s="3">
        <f t="shared" si="180"/>
        <v>29</v>
      </c>
      <c r="H3869" s="4">
        <f t="shared" si="181"/>
        <v>8.0488481820705227E-3</v>
      </c>
      <c r="I3869" s="1">
        <f t="shared" si="182"/>
        <v>0</v>
      </c>
    </row>
    <row r="3870" spans="1:9" hidden="1" x14ac:dyDescent="0.2">
      <c r="A3870" s="6">
        <v>44056.708333333336</v>
      </c>
      <c r="B3870" s="1" t="s">
        <v>21</v>
      </c>
      <c r="C3870">
        <v>42</v>
      </c>
      <c r="D3870">
        <v>6</v>
      </c>
      <c r="E3870">
        <v>284</v>
      </c>
      <c r="F3870">
        <v>3645</v>
      </c>
      <c r="G3870" s="3">
        <f t="shared" si="180"/>
        <v>42</v>
      </c>
      <c r="H3870" s="4">
        <f t="shared" si="181"/>
        <v>1.1522633744855959E-2</v>
      </c>
      <c r="I3870" s="1">
        <f t="shared" si="182"/>
        <v>0</v>
      </c>
    </row>
    <row r="3871" spans="1:9" hidden="1" x14ac:dyDescent="0.2">
      <c r="A3871" s="6">
        <v>44057.708333333336</v>
      </c>
      <c r="B3871" s="1" t="s">
        <v>21</v>
      </c>
      <c r="C3871">
        <v>46</v>
      </c>
      <c r="D3871">
        <v>6</v>
      </c>
      <c r="E3871">
        <v>284</v>
      </c>
      <c r="F3871">
        <v>3681</v>
      </c>
      <c r="G3871" s="3">
        <f t="shared" si="180"/>
        <v>36</v>
      </c>
      <c r="H3871" s="4">
        <f t="shared" si="181"/>
        <v>9.7799511002445438E-3</v>
      </c>
      <c r="I3871" s="1">
        <f t="shared" si="182"/>
        <v>0</v>
      </c>
    </row>
    <row r="3872" spans="1:9" hidden="1" x14ac:dyDescent="0.2">
      <c r="A3872" s="6">
        <v>44058.708333333336</v>
      </c>
      <c r="B3872" s="1" t="s">
        <v>21</v>
      </c>
      <c r="C3872">
        <v>47</v>
      </c>
      <c r="D3872">
        <v>5</v>
      </c>
      <c r="E3872">
        <v>284</v>
      </c>
      <c r="F3872">
        <v>3727</v>
      </c>
      <c r="G3872" s="3">
        <f t="shared" si="180"/>
        <v>46</v>
      </c>
      <c r="H3872" s="4">
        <f t="shared" si="181"/>
        <v>1.234236651462306E-2</v>
      </c>
      <c r="I3872" s="1">
        <f t="shared" si="182"/>
        <v>0</v>
      </c>
    </row>
    <row r="3873" spans="1:9" hidden="1" x14ac:dyDescent="0.2">
      <c r="A3873" s="6">
        <v>44059.708333333336</v>
      </c>
      <c r="B3873" s="1" t="s">
        <v>21</v>
      </c>
      <c r="C3873">
        <v>51</v>
      </c>
      <c r="D3873">
        <v>5</v>
      </c>
      <c r="E3873">
        <v>285</v>
      </c>
      <c r="F3873">
        <v>3766</v>
      </c>
      <c r="G3873" s="3">
        <f t="shared" si="180"/>
        <v>39</v>
      </c>
      <c r="H3873" s="4">
        <f t="shared" si="181"/>
        <v>1.0355815188528905E-2</v>
      </c>
      <c r="I3873" s="1">
        <f t="shared" si="182"/>
        <v>1</v>
      </c>
    </row>
    <row r="3874" spans="1:9" hidden="1" x14ac:dyDescent="0.2">
      <c r="A3874" s="6">
        <v>44060.708333333336</v>
      </c>
      <c r="B3874" s="1" t="s">
        <v>21</v>
      </c>
      <c r="C3874">
        <v>54</v>
      </c>
      <c r="D3874">
        <v>6</v>
      </c>
      <c r="E3874">
        <v>286</v>
      </c>
      <c r="F3874">
        <v>3780</v>
      </c>
      <c r="G3874" s="3">
        <f t="shared" si="180"/>
        <v>14</v>
      </c>
      <c r="H3874" s="4">
        <f t="shared" si="181"/>
        <v>3.7037037037036535E-3</v>
      </c>
      <c r="I3874" s="1">
        <f t="shared" si="182"/>
        <v>1</v>
      </c>
    </row>
    <row r="3875" spans="1:9" hidden="1" x14ac:dyDescent="0.2">
      <c r="A3875" s="6">
        <v>44061.708333333336</v>
      </c>
      <c r="B3875" s="1" t="s">
        <v>21</v>
      </c>
      <c r="C3875">
        <v>54</v>
      </c>
      <c r="D3875">
        <v>6</v>
      </c>
      <c r="E3875">
        <v>286</v>
      </c>
      <c r="F3875">
        <v>3793</v>
      </c>
      <c r="G3875" s="3">
        <f t="shared" si="180"/>
        <v>13</v>
      </c>
      <c r="H3875" s="4">
        <f t="shared" si="181"/>
        <v>3.4273662008963424E-3</v>
      </c>
      <c r="I3875" s="1">
        <f t="shared" si="182"/>
        <v>0</v>
      </c>
    </row>
    <row r="3876" spans="1:9" hidden="1" x14ac:dyDescent="0.2">
      <c r="A3876" s="6">
        <v>44062.708333333336</v>
      </c>
      <c r="B3876" s="1" t="s">
        <v>21</v>
      </c>
      <c r="C3876">
        <v>53</v>
      </c>
      <c r="D3876">
        <v>8</v>
      </c>
      <c r="E3876">
        <v>286</v>
      </c>
      <c r="F3876">
        <v>3838</v>
      </c>
      <c r="G3876" s="3">
        <f t="shared" si="180"/>
        <v>45</v>
      </c>
      <c r="H3876" s="4">
        <f t="shared" si="181"/>
        <v>1.172485669619594E-2</v>
      </c>
      <c r="I3876" s="1">
        <f t="shared" si="182"/>
        <v>0</v>
      </c>
    </row>
    <row r="3877" spans="1:9" hidden="1" x14ac:dyDescent="0.2">
      <c r="A3877" s="6">
        <v>44063.708333333336</v>
      </c>
      <c r="B3877" s="1" t="s">
        <v>21</v>
      </c>
      <c r="C3877">
        <v>41</v>
      </c>
      <c r="D3877">
        <v>8</v>
      </c>
      <c r="E3877">
        <v>286</v>
      </c>
      <c r="F3877">
        <v>3875</v>
      </c>
      <c r="G3877" s="3">
        <f t="shared" si="180"/>
        <v>37</v>
      </c>
      <c r="H3877" s="4">
        <f t="shared" si="181"/>
        <v>9.5483870967741913E-3</v>
      </c>
      <c r="I3877" s="1">
        <f t="shared" si="182"/>
        <v>0</v>
      </c>
    </row>
    <row r="3878" spans="1:9" hidden="1" x14ac:dyDescent="0.2">
      <c r="A3878" s="6">
        <v>44064.708333333336</v>
      </c>
      <c r="B3878" s="1" t="s">
        <v>21</v>
      </c>
      <c r="C3878">
        <v>45</v>
      </c>
      <c r="D3878">
        <v>8</v>
      </c>
      <c r="E3878">
        <v>286</v>
      </c>
      <c r="F3878">
        <v>3919</v>
      </c>
      <c r="G3878" s="3">
        <f t="shared" si="180"/>
        <v>44</v>
      </c>
      <c r="H3878" s="4">
        <f t="shared" si="181"/>
        <v>1.1227353916815508E-2</v>
      </c>
      <c r="I3878" s="1">
        <f t="shared" si="182"/>
        <v>0</v>
      </c>
    </row>
    <row r="3879" spans="1:9" hidden="1" x14ac:dyDescent="0.2">
      <c r="A3879" s="6">
        <v>44065.708333333336</v>
      </c>
      <c r="B3879" s="1" t="s">
        <v>21</v>
      </c>
      <c r="C3879">
        <v>45</v>
      </c>
      <c r="D3879">
        <v>8</v>
      </c>
      <c r="E3879">
        <v>286</v>
      </c>
      <c r="F3879">
        <v>3967</v>
      </c>
      <c r="G3879" s="3">
        <f t="shared" si="180"/>
        <v>48</v>
      </c>
      <c r="H3879" s="4">
        <f t="shared" si="181"/>
        <v>1.2099823544239996E-2</v>
      </c>
      <c r="I3879" s="1">
        <f t="shared" si="182"/>
        <v>0</v>
      </c>
    </row>
    <row r="3880" spans="1:9" hidden="1" x14ac:dyDescent="0.2">
      <c r="A3880" s="6">
        <v>44066.708333333336</v>
      </c>
      <c r="B3880" s="1" t="s">
        <v>21</v>
      </c>
      <c r="C3880">
        <v>50</v>
      </c>
      <c r="D3880">
        <v>10</v>
      </c>
      <c r="E3880">
        <v>286</v>
      </c>
      <c r="F3880">
        <v>4002</v>
      </c>
      <c r="G3880" s="3">
        <f t="shared" si="180"/>
        <v>35</v>
      </c>
      <c r="H3880" s="4">
        <f t="shared" si="181"/>
        <v>8.7456271864068125E-3</v>
      </c>
      <c r="I3880" s="1">
        <f t="shared" si="182"/>
        <v>0</v>
      </c>
    </row>
    <row r="3881" spans="1:9" hidden="1" x14ac:dyDescent="0.2">
      <c r="A3881" s="6">
        <v>44067.708333333336</v>
      </c>
      <c r="B3881" s="1" t="s">
        <v>21</v>
      </c>
      <c r="C3881">
        <v>54</v>
      </c>
      <c r="D3881">
        <v>9</v>
      </c>
      <c r="E3881">
        <v>286</v>
      </c>
      <c r="F3881">
        <v>4067</v>
      </c>
      <c r="G3881" s="3">
        <f t="shared" si="180"/>
        <v>65</v>
      </c>
      <c r="H3881" s="4">
        <f t="shared" si="181"/>
        <v>1.5982296533071039E-2</v>
      </c>
      <c r="I3881" s="1">
        <f t="shared" si="182"/>
        <v>0</v>
      </c>
    </row>
    <row r="3882" spans="1:9" hidden="1" x14ac:dyDescent="0.2">
      <c r="A3882" s="6">
        <v>44068.708333333336</v>
      </c>
      <c r="B3882" s="1" t="s">
        <v>21</v>
      </c>
      <c r="C3882">
        <v>53</v>
      </c>
      <c r="D3882">
        <v>10</v>
      </c>
      <c r="E3882">
        <v>286</v>
      </c>
      <c r="F3882">
        <v>4091</v>
      </c>
      <c r="G3882" s="3">
        <f t="shared" si="180"/>
        <v>24</v>
      </c>
      <c r="H3882" s="4">
        <f t="shared" si="181"/>
        <v>5.8665362991933145E-3</v>
      </c>
      <c r="I3882" s="1">
        <f t="shared" si="182"/>
        <v>0</v>
      </c>
    </row>
    <row r="3883" spans="1:9" hidden="1" x14ac:dyDescent="0.2">
      <c r="A3883" s="6">
        <v>44069.708333333336</v>
      </c>
      <c r="B3883" s="1" t="s">
        <v>21</v>
      </c>
      <c r="C3883">
        <v>59</v>
      </c>
      <c r="D3883">
        <v>10</v>
      </c>
      <c r="E3883">
        <v>286</v>
      </c>
      <c r="F3883">
        <v>4124</v>
      </c>
      <c r="G3883" s="3">
        <f t="shared" si="180"/>
        <v>33</v>
      </c>
      <c r="H3883" s="4">
        <f t="shared" si="181"/>
        <v>8.0019398642094952E-3</v>
      </c>
      <c r="I3883" s="1">
        <f t="shared" si="182"/>
        <v>0</v>
      </c>
    </row>
    <row r="3884" spans="1:9" hidden="1" x14ac:dyDescent="0.2">
      <c r="A3884" s="6">
        <v>44070.708333333336</v>
      </c>
      <c r="B3884" s="1" t="s">
        <v>21</v>
      </c>
      <c r="C3884">
        <v>62</v>
      </c>
      <c r="D3884">
        <v>10</v>
      </c>
      <c r="E3884">
        <v>286</v>
      </c>
      <c r="F3884">
        <v>4174</v>
      </c>
      <c r="G3884" s="3">
        <f t="shared" si="180"/>
        <v>50</v>
      </c>
      <c r="H3884" s="4">
        <f t="shared" si="181"/>
        <v>1.1978917105893605E-2</v>
      </c>
      <c r="I3884" s="1">
        <f t="shared" si="182"/>
        <v>0</v>
      </c>
    </row>
    <row r="3885" spans="1:9" hidden="1" x14ac:dyDescent="0.2">
      <c r="A3885" s="6">
        <v>44071.708333333336</v>
      </c>
      <c r="B3885" s="1" t="s">
        <v>21</v>
      </c>
      <c r="C3885">
        <v>69</v>
      </c>
      <c r="D3885">
        <v>9</v>
      </c>
      <c r="E3885">
        <v>286</v>
      </c>
      <c r="F3885">
        <v>4228</v>
      </c>
      <c r="G3885" s="3">
        <f t="shared" si="180"/>
        <v>54</v>
      </c>
      <c r="H3885" s="4">
        <f t="shared" si="181"/>
        <v>1.2771996215704795E-2</v>
      </c>
      <c r="I3885" s="1">
        <f t="shared" si="182"/>
        <v>0</v>
      </c>
    </row>
    <row r="3886" spans="1:9" hidden="1" x14ac:dyDescent="0.2">
      <c r="A3886" s="6">
        <v>44072.708333333336</v>
      </c>
      <c r="B3886" s="1" t="s">
        <v>21</v>
      </c>
      <c r="C3886">
        <v>70</v>
      </c>
      <c r="D3886">
        <v>10</v>
      </c>
      <c r="E3886">
        <v>286</v>
      </c>
      <c r="F3886">
        <v>4257</v>
      </c>
      <c r="G3886" s="3">
        <f t="shared" si="180"/>
        <v>29</v>
      </c>
      <c r="H3886" s="4">
        <f t="shared" si="181"/>
        <v>6.8123091378905487E-3</v>
      </c>
      <c r="I3886" s="1">
        <f t="shared" si="182"/>
        <v>0</v>
      </c>
    </row>
    <row r="3887" spans="1:9" hidden="1" x14ac:dyDescent="0.2">
      <c r="A3887" s="6">
        <v>44073.708333333336</v>
      </c>
      <c r="B3887" s="1" t="s">
        <v>21</v>
      </c>
      <c r="C3887">
        <v>68</v>
      </c>
      <c r="D3887">
        <v>10</v>
      </c>
      <c r="E3887">
        <v>286</v>
      </c>
      <c r="F3887">
        <v>4291</v>
      </c>
      <c r="G3887" s="3">
        <f t="shared" si="180"/>
        <v>34</v>
      </c>
      <c r="H3887" s="4">
        <f t="shared" si="181"/>
        <v>7.9235609415054808E-3</v>
      </c>
      <c r="I3887" s="1">
        <f t="shared" si="182"/>
        <v>0</v>
      </c>
    </row>
    <row r="3888" spans="1:9" hidden="1" x14ac:dyDescent="0.2">
      <c r="A3888" s="6">
        <v>44074.708333333336</v>
      </c>
      <c r="B3888" s="1" t="s">
        <v>21</v>
      </c>
      <c r="C3888">
        <v>70</v>
      </c>
      <c r="D3888">
        <v>10</v>
      </c>
      <c r="E3888">
        <v>286</v>
      </c>
      <c r="F3888">
        <v>4317</v>
      </c>
      <c r="G3888" s="3">
        <f t="shared" si="180"/>
        <v>26</v>
      </c>
      <c r="H3888" s="4">
        <f t="shared" si="181"/>
        <v>6.0227009497335615E-3</v>
      </c>
      <c r="I3888" s="1">
        <f t="shared" si="182"/>
        <v>0</v>
      </c>
    </row>
    <row r="3889" spans="1:9" hidden="1" x14ac:dyDescent="0.2">
      <c r="A3889" s="6">
        <v>44075.708333333336</v>
      </c>
      <c r="B3889" s="1" t="s">
        <v>21</v>
      </c>
      <c r="C3889">
        <v>71</v>
      </c>
      <c r="D3889">
        <v>10</v>
      </c>
      <c r="E3889">
        <v>287</v>
      </c>
      <c r="F3889">
        <v>4350</v>
      </c>
      <c r="G3889" s="3">
        <f t="shared" si="180"/>
        <v>33</v>
      </c>
      <c r="H3889" s="4">
        <f t="shared" si="181"/>
        <v>7.5862068965517615E-3</v>
      </c>
      <c r="I3889" s="1">
        <f t="shared" si="182"/>
        <v>1</v>
      </c>
    </row>
    <row r="3890" spans="1:9" hidden="1" x14ac:dyDescent="0.2">
      <c r="A3890" s="6">
        <v>44076.708333333336</v>
      </c>
      <c r="B3890" s="1" t="s">
        <v>21</v>
      </c>
      <c r="C3890">
        <v>76</v>
      </c>
      <c r="D3890">
        <v>12</v>
      </c>
      <c r="E3890">
        <v>287</v>
      </c>
      <c r="F3890">
        <v>4433</v>
      </c>
      <c r="G3890" s="3">
        <f t="shared" si="180"/>
        <v>83</v>
      </c>
      <c r="H3890" s="4">
        <f t="shared" si="181"/>
        <v>1.8723212271599343E-2</v>
      </c>
      <c r="I3890" s="1">
        <f t="shared" si="182"/>
        <v>0</v>
      </c>
    </row>
    <row r="3891" spans="1:9" hidden="1" x14ac:dyDescent="0.2">
      <c r="A3891" s="6">
        <v>44077.708333333336</v>
      </c>
      <c r="B3891" s="1" t="s">
        <v>21</v>
      </c>
      <c r="C3891">
        <v>81</v>
      </c>
      <c r="D3891">
        <v>12</v>
      </c>
      <c r="E3891">
        <v>288</v>
      </c>
      <c r="F3891">
        <v>4487</v>
      </c>
      <c r="G3891" s="3">
        <f t="shared" si="180"/>
        <v>54</v>
      </c>
      <c r="H3891" s="4">
        <f t="shared" si="181"/>
        <v>1.2034767104969868E-2</v>
      </c>
      <c r="I3891" s="1">
        <f t="shared" si="182"/>
        <v>1</v>
      </c>
    </row>
    <row r="3892" spans="1:9" hidden="1" x14ac:dyDescent="0.2">
      <c r="A3892" s="6">
        <v>44078.708333333336</v>
      </c>
      <c r="B3892" s="1" t="s">
        <v>21</v>
      </c>
      <c r="C3892">
        <v>87</v>
      </c>
      <c r="D3892">
        <v>11</v>
      </c>
      <c r="E3892">
        <v>288</v>
      </c>
      <c r="F3892">
        <v>4565</v>
      </c>
      <c r="G3892" s="3">
        <f t="shared" si="180"/>
        <v>78</v>
      </c>
      <c r="H3892" s="4">
        <f t="shared" si="181"/>
        <v>1.7086527929901396E-2</v>
      </c>
      <c r="I3892" s="1">
        <f t="shared" si="182"/>
        <v>0</v>
      </c>
    </row>
    <row r="3893" spans="1:9" hidden="1" x14ac:dyDescent="0.2">
      <c r="A3893" s="6">
        <v>44079.708333333336</v>
      </c>
      <c r="B3893" s="1" t="s">
        <v>21</v>
      </c>
      <c r="C3893">
        <v>88</v>
      </c>
      <c r="D3893">
        <v>12</v>
      </c>
      <c r="E3893">
        <v>289</v>
      </c>
      <c r="F3893">
        <v>4679</v>
      </c>
      <c r="G3893" s="3">
        <f t="shared" si="180"/>
        <v>114</v>
      </c>
      <c r="H3893" s="4">
        <f t="shared" si="181"/>
        <v>2.4364180380423206E-2</v>
      </c>
      <c r="I3893" s="1">
        <f t="shared" si="182"/>
        <v>1</v>
      </c>
    </row>
    <row r="3894" spans="1:9" hidden="1" x14ac:dyDescent="0.2">
      <c r="A3894" s="6">
        <v>44080.708333333336</v>
      </c>
      <c r="B3894" s="1" t="s">
        <v>21</v>
      </c>
      <c r="C3894">
        <v>86</v>
      </c>
      <c r="D3894">
        <v>13</v>
      </c>
      <c r="E3894">
        <v>289</v>
      </c>
      <c r="F3894">
        <v>4716</v>
      </c>
      <c r="G3894" s="3">
        <f t="shared" si="180"/>
        <v>37</v>
      </c>
      <c r="H3894" s="4">
        <f t="shared" si="181"/>
        <v>7.8456318914333911E-3</v>
      </c>
      <c r="I3894" s="1">
        <f t="shared" si="182"/>
        <v>0</v>
      </c>
    </row>
    <row r="3895" spans="1:9" hidden="1" x14ac:dyDescent="0.2">
      <c r="A3895" s="6">
        <v>44081.708333333336</v>
      </c>
      <c r="B3895" s="1" t="s">
        <v>21</v>
      </c>
      <c r="C3895">
        <v>101</v>
      </c>
      <c r="D3895">
        <v>13</v>
      </c>
      <c r="E3895">
        <v>289</v>
      </c>
      <c r="F3895">
        <v>4765</v>
      </c>
      <c r="G3895" s="3">
        <f t="shared" si="180"/>
        <v>49</v>
      </c>
      <c r="H3895" s="4">
        <f t="shared" si="181"/>
        <v>1.0283315844700991E-2</v>
      </c>
      <c r="I3895" s="1">
        <f t="shared" si="182"/>
        <v>0</v>
      </c>
    </row>
    <row r="3896" spans="1:9" hidden="1" x14ac:dyDescent="0.2">
      <c r="A3896" s="6">
        <v>44082.708333333336</v>
      </c>
      <c r="B3896" s="1" t="s">
        <v>21</v>
      </c>
      <c r="C3896">
        <v>104</v>
      </c>
      <c r="D3896">
        <v>13</v>
      </c>
      <c r="E3896">
        <v>289</v>
      </c>
      <c r="F3896">
        <v>4849</v>
      </c>
      <c r="G3896" s="3">
        <f t="shared" si="180"/>
        <v>84</v>
      </c>
      <c r="H3896" s="4">
        <f t="shared" si="181"/>
        <v>1.7323159414312284E-2</v>
      </c>
      <c r="I3896" s="1">
        <f t="shared" si="182"/>
        <v>0</v>
      </c>
    </row>
    <row r="3897" spans="1:9" hidden="1" x14ac:dyDescent="0.2">
      <c r="A3897" s="6">
        <v>44083.708333333336</v>
      </c>
      <c r="B3897" s="1" t="s">
        <v>21</v>
      </c>
      <c r="C3897">
        <v>105</v>
      </c>
      <c r="D3897">
        <v>15</v>
      </c>
      <c r="E3897">
        <v>289</v>
      </c>
      <c r="F3897">
        <v>4926</v>
      </c>
      <c r="G3897" s="3">
        <f t="shared" si="180"/>
        <v>77</v>
      </c>
      <c r="H3897" s="4">
        <f t="shared" si="181"/>
        <v>1.5631343889565552E-2</v>
      </c>
      <c r="I3897" s="1">
        <f t="shared" si="182"/>
        <v>0</v>
      </c>
    </row>
    <row r="3898" spans="1:9" hidden="1" x14ac:dyDescent="0.2">
      <c r="A3898" s="6">
        <v>44084.708333333336</v>
      </c>
      <c r="B3898" s="1" t="s">
        <v>21</v>
      </c>
      <c r="C3898">
        <v>108</v>
      </c>
      <c r="D3898">
        <v>18</v>
      </c>
      <c r="E3898">
        <v>289</v>
      </c>
      <c r="F3898">
        <v>5032</v>
      </c>
      <c r="G3898" s="3">
        <f t="shared" si="180"/>
        <v>106</v>
      </c>
      <c r="H3898" s="4">
        <f t="shared" si="181"/>
        <v>2.1065182829888673E-2</v>
      </c>
      <c r="I3898" s="1">
        <f t="shared" si="182"/>
        <v>0</v>
      </c>
    </row>
    <row r="3899" spans="1:9" hidden="1" x14ac:dyDescent="0.2">
      <c r="A3899" s="6">
        <v>44085.708333333336</v>
      </c>
      <c r="B3899" s="1" t="s">
        <v>21</v>
      </c>
      <c r="C3899">
        <v>112</v>
      </c>
      <c r="D3899">
        <v>17</v>
      </c>
      <c r="E3899">
        <v>289</v>
      </c>
      <c r="F3899">
        <v>5136</v>
      </c>
      <c r="G3899" s="3">
        <f t="shared" si="180"/>
        <v>104</v>
      </c>
      <c r="H3899" s="4">
        <f t="shared" si="181"/>
        <v>2.024922118380057E-2</v>
      </c>
      <c r="I3899" s="1">
        <f t="shared" si="182"/>
        <v>0</v>
      </c>
    </row>
    <row r="3900" spans="1:9" hidden="1" x14ac:dyDescent="0.2">
      <c r="A3900" s="6">
        <v>44086.708333333336</v>
      </c>
      <c r="B3900" s="1" t="s">
        <v>21</v>
      </c>
      <c r="C3900">
        <v>116</v>
      </c>
      <c r="D3900">
        <v>18</v>
      </c>
      <c r="E3900">
        <v>289</v>
      </c>
      <c r="F3900">
        <v>5180</v>
      </c>
      <c r="G3900" s="3">
        <f t="shared" si="180"/>
        <v>44</v>
      </c>
      <c r="H3900" s="4">
        <f t="shared" si="181"/>
        <v>8.494208494208455E-3</v>
      </c>
      <c r="I3900" s="1">
        <f t="shared" si="182"/>
        <v>0</v>
      </c>
    </row>
    <row r="3901" spans="1:9" hidden="1" x14ac:dyDescent="0.2">
      <c r="A3901" s="6">
        <v>44087.708333333336</v>
      </c>
      <c r="B3901" s="1" t="s">
        <v>21</v>
      </c>
      <c r="C3901">
        <v>120</v>
      </c>
      <c r="D3901">
        <v>17</v>
      </c>
      <c r="E3901">
        <v>290</v>
      </c>
      <c r="F3901">
        <v>5241</v>
      </c>
      <c r="G3901" s="3">
        <f t="shared" si="180"/>
        <v>61</v>
      </c>
      <c r="H3901" s="4">
        <f t="shared" si="181"/>
        <v>1.1639000190803328E-2</v>
      </c>
      <c r="I3901" s="1">
        <f t="shared" si="182"/>
        <v>1</v>
      </c>
    </row>
    <row r="3902" spans="1:9" hidden="1" x14ac:dyDescent="0.2">
      <c r="A3902" s="6">
        <v>44088.708333333336</v>
      </c>
      <c r="B3902" s="1" t="s">
        <v>21</v>
      </c>
      <c r="C3902">
        <v>136</v>
      </c>
      <c r="D3902">
        <v>16</v>
      </c>
      <c r="E3902">
        <v>292</v>
      </c>
      <c r="F3902">
        <v>5306</v>
      </c>
      <c r="G3902" s="3">
        <f t="shared" si="180"/>
        <v>65</v>
      </c>
      <c r="H3902" s="4">
        <f t="shared" si="181"/>
        <v>1.2250282698831549E-2</v>
      </c>
      <c r="I3902" s="1">
        <f t="shared" si="182"/>
        <v>2</v>
      </c>
    </row>
    <row r="3903" spans="1:9" hidden="1" x14ac:dyDescent="0.2">
      <c r="A3903" s="6">
        <v>44089.708333333336</v>
      </c>
      <c r="B3903" s="1" t="s">
        <v>21</v>
      </c>
      <c r="C3903">
        <v>141</v>
      </c>
      <c r="D3903">
        <v>17</v>
      </c>
      <c r="E3903">
        <v>292</v>
      </c>
      <c r="F3903">
        <v>5383</v>
      </c>
      <c r="G3903" s="3">
        <f t="shared" si="180"/>
        <v>77</v>
      </c>
      <c r="H3903" s="4">
        <f t="shared" si="181"/>
        <v>1.4304291287386195E-2</v>
      </c>
      <c r="I3903" s="1">
        <f t="shared" si="182"/>
        <v>0</v>
      </c>
    </row>
    <row r="3904" spans="1:9" hidden="1" x14ac:dyDescent="0.2">
      <c r="A3904" s="6">
        <v>44090.708333333336</v>
      </c>
      <c r="B3904" s="1" t="s">
        <v>21</v>
      </c>
      <c r="C3904">
        <v>155</v>
      </c>
      <c r="D3904">
        <v>16</v>
      </c>
      <c r="E3904">
        <v>295</v>
      </c>
      <c r="F3904">
        <v>5473</v>
      </c>
      <c r="G3904" s="3">
        <f t="shared" si="180"/>
        <v>90</v>
      </c>
      <c r="H3904" s="4">
        <f t="shared" si="181"/>
        <v>1.6444363237712367E-2</v>
      </c>
      <c r="I3904" s="1">
        <f t="shared" si="182"/>
        <v>3</v>
      </c>
    </row>
    <row r="3905" spans="1:9" hidden="1" x14ac:dyDescent="0.2">
      <c r="A3905" s="6">
        <v>44091.708333333336</v>
      </c>
      <c r="B3905" s="1" t="s">
        <v>21</v>
      </c>
      <c r="C3905">
        <v>173</v>
      </c>
      <c r="D3905">
        <v>14</v>
      </c>
      <c r="E3905">
        <v>295</v>
      </c>
      <c r="F3905">
        <v>5569</v>
      </c>
      <c r="G3905" s="3">
        <f t="shared" si="180"/>
        <v>96</v>
      </c>
      <c r="H3905" s="4">
        <f t="shared" si="181"/>
        <v>1.723828335428268E-2</v>
      </c>
      <c r="I3905" s="1">
        <f t="shared" si="182"/>
        <v>0</v>
      </c>
    </row>
    <row r="3906" spans="1:9" hidden="1" x14ac:dyDescent="0.2">
      <c r="A3906" s="6">
        <v>44092.708333333336</v>
      </c>
      <c r="B3906" s="1" t="s">
        <v>21</v>
      </c>
      <c r="C3906">
        <v>179</v>
      </c>
      <c r="D3906">
        <v>15</v>
      </c>
      <c r="E3906">
        <v>296</v>
      </c>
      <c r="F3906">
        <v>5748</v>
      </c>
      <c r="G3906" s="3">
        <f t="shared" si="180"/>
        <v>179</v>
      </c>
      <c r="H3906" s="4">
        <f t="shared" si="181"/>
        <v>3.1141266527487832E-2</v>
      </c>
      <c r="I3906" s="1">
        <f t="shared" si="182"/>
        <v>1</v>
      </c>
    </row>
    <row r="3907" spans="1:9" hidden="1" x14ac:dyDescent="0.2">
      <c r="A3907" s="6">
        <v>44093.708333333336</v>
      </c>
      <c r="B3907" s="1" t="s">
        <v>21</v>
      </c>
      <c r="C3907">
        <v>191</v>
      </c>
      <c r="D3907">
        <v>13</v>
      </c>
      <c r="E3907">
        <v>296</v>
      </c>
      <c r="F3907">
        <v>5846</v>
      </c>
      <c r="G3907" s="3">
        <f t="shared" ref="G3907:G3970" si="183">IF(AND(F3907&gt;0,AND(B3907=B3906,F3907&gt;0)),F3907-F3906,0)</f>
        <v>98</v>
      </c>
      <c r="H3907" s="4">
        <f t="shared" ref="H3907:H3970" si="184">IF(AND(F3906&gt;0,AND(B3907=B3906,F3906&gt;0)),1-(F3906/F3907),0)</f>
        <v>1.6763599042080024E-2</v>
      </c>
      <c r="I3907" s="1">
        <f t="shared" ref="I3907:I3970" si="185">IF(AND(E3907&gt;0,AND(B3907=B3906,E3907&gt;0)),E3907-E3906,0)</f>
        <v>0</v>
      </c>
    </row>
    <row r="3908" spans="1:9" hidden="1" x14ac:dyDescent="0.2">
      <c r="A3908" s="6">
        <v>44094.708333333336</v>
      </c>
      <c r="B3908" s="1" t="s">
        <v>21</v>
      </c>
      <c r="C3908">
        <v>194</v>
      </c>
      <c r="D3908">
        <v>13</v>
      </c>
      <c r="E3908">
        <v>296</v>
      </c>
      <c r="F3908">
        <v>5962</v>
      </c>
      <c r="G3908" s="3">
        <f t="shared" si="183"/>
        <v>116</v>
      </c>
      <c r="H3908" s="4">
        <f t="shared" si="184"/>
        <v>1.9456558201945695E-2</v>
      </c>
      <c r="I3908" s="1">
        <f t="shared" si="185"/>
        <v>0</v>
      </c>
    </row>
    <row r="3909" spans="1:9" hidden="1" x14ac:dyDescent="0.2">
      <c r="A3909" s="6">
        <v>44095.708333333336</v>
      </c>
      <c r="B3909" s="1" t="s">
        <v>21</v>
      </c>
      <c r="C3909">
        <v>203</v>
      </c>
      <c r="D3909">
        <v>14</v>
      </c>
      <c r="E3909">
        <v>299</v>
      </c>
      <c r="F3909">
        <v>6037</v>
      </c>
      <c r="G3909" s="3">
        <f t="shared" si="183"/>
        <v>75</v>
      </c>
      <c r="H3909" s="4">
        <f t="shared" si="184"/>
        <v>1.2423389100546633E-2</v>
      </c>
      <c r="I3909" s="1">
        <f t="shared" si="185"/>
        <v>3</v>
      </c>
    </row>
    <row r="3910" spans="1:9" hidden="1" x14ac:dyDescent="0.2">
      <c r="A3910" s="6">
        <v>44096.708333333336</v>
      </c>
      <c r="B3910" s="1" t="s">
        <v>21</v>
      </c>
      <c r="C3910">
        <v>224</v>
      </c>
      <c r="D3910">
        <v>15</v>
      </c>
      <c r="E3910">
        <v>300</v>
      </c>
      <c r="F3910">
        <v>6145</v>
      </c>
      <c r="G3910" s="3">
        <f t="shared" si="183"/>
        <v>108</v>
      </c>
      <c r="H3910" s="4">
        <f t="shared" si="184"/>
        <v>1.757526444263624E-2</v>
      </c>
      <c r="I3910" s="1">
        <f t="shared" si="185"/>
        <v>1</v>
      </c>
    </row>
    <row r="3911" spans="1:9" hidden="1" x14ac:dyDescent="0.2">
      <c r="A3911" s="6">
        <v>44097.708333333336</v>
      </c>
      <c r="B3911" s="1" t="s">
        <v>21</v>
      </c>
      <c r="C3911">
        <v>230</v>
      </c>
      <c r="D3911">
        <v>16</v>
      </c>
      <c r="E3911">
        <v>303</v>
      </c>
      <c r="F3911">
        <v>6234</v>
      </c>
      <c r="G3911" s="3">
        <f t="shared" si="183"/>
        <v>89</v>
      </c>
      <c r="H3911" s="4">
        <f t="shared" si="184"/>
        <v>1.4276547962784769E-2</v>
      </c>
      <c r="I3911" s="1">
        <f t="shared" si="185"/>
        <v>3</v>
      </c>
    </row>
    <row r="3912" spans="1:9" hidden="1" x14ac:dyDescent="0.2">
      <c r="A3912" s="6">
        <v>44098.708333333336</v>
      </c>
      <c r="B3912" s="1" t="s">
        <v>21</v>
      </c>
      <c r="C3912">
        <v>237</v>
      </c>
      <c r="D3912">
        <v>16</v>
      </c>
      <c r="E3912">
        <v>304</v>
      </c>
      <c r="F3912">
        <v>6359</v>
      </c>
      <c r="G3912" s="3">
        <f t="shared" si="183"/>
        <v>125</v>
      </c>
      <c r="H3912" s="4">
        <f t="shared" si="184"/>
        <v>1.9657178801698372E-2</v>
      </c>
      <c r="I3912" s="1">
        <f t="shared" si="185"/>
        <v>1</v>
      </c>
    </row>
    <row r="3913" spans="1:9" hidden="1" x14ac:dyDescent="0.2">
      <c r="A3913" s="6">
        <v>44099.708333333336</v>
      </c>
      <c r="B3913" s="1" t="s">
        <v>21</v>
      </c>
      <c r="C3913">
        <v>235</v>
      </c>
      <c r="D3913">
        <v>13</v>
      </c>
      <c r="E3913">
        <v>306</v>
      </c>
      <c r="F3913">
        <v>6466</v>
      </c>
      <c r="G3913" s="3">
        <f t="shared" si="183"/>
        <v>107</v>
      </c>
      <c r="H3913" s="4">
        <f t="shared" si="184"/>
        <v>1.654809774203525E-2</v>
      </c>
      <c r="I3913" s="1">
        <f t="shared" si="185"/>
        <v>2</v>
      </c>
    </row>
    <row r="3914" spans="1:9" hidden="1" x14ac:dyDescent="0.2">
      <c r="A3914" s="6">
        <v>44100.708333333336</v>
      </c>
      <c r="B3914" s="1" t="s">
        <v>21</v>
      </c>
      <c r="C3914">
        <v>255</v>
      </c>
      <c r="D3914">
        <v>13</v>
      </c>
      <c r="E3914">
        <v>306</v>
      </c>
      <c r="F3914">
        <v>6576</v>
      </c>
      <c r="G3914" s="3">
        <f t="shared" si="183"/>
        <v>110</v>
      </c>
      <c r="H3914" s="4">
        <f t="shared" si="184"/>
        <v>1.6727493917274905E-2</v>
      </c>
      <c r="I3914" s="1">
        <f t="shared" si="185"/>
        <v>0</v>
      </c>
    </row>
    <row r="3915" spans="1:9" hidden="1" x14ac:dyDescent="0.2">
      <c r="A3915" s="6">
        <v>44101.708333333336</v>
      </c>
      <c r="B3915" s="1" t="s">
        <v>21</v>
      </c>
      <c r="C3915">
        <v>268</v>
      </c>
      <c r="D3915">
        <v>14</v>
      </c>
      <c r="E3915">
        <v>308</v>
      </c>
      <c r="F3915">
        <v>6683</v>
      </c>
      <c r="G3915" s="3">
        <f t="shared" si="183"/>
        <v>107</v>
      </c>
      <c r="H3915" s="4">
        <f t="shared" si="184"/>
        <v>1.6010773604668516E-2</v>
      </c>
      <c r="I3915" s="1">
        <f t="shared" si="185"/>
        <v>2</v>
      </c>
    </row>
    <row r="3916" spans="1:9" hidden="1" x14ac:dyDescent="0.2">
      <c r="A3916" s="6">
        <v>44102.708333333336</v>
      </c>
      <c r="B3916" s="1" t="s">
        <v>21</v>
      </c>
      <c r="C3916">
        <v>294</v>
      </c>
      <c r="D3916">
        <v>15</v>
      </c>
      <c r="E3916">
        <v>309</v>
      </c>
      <c r="F3916">
        <v>6785</v>
      </c>
      <c r="G3916" s="3">
        <f t="shared" si="183"/>
        <v>102</v>
      </c>
      <c r="H3916" s="4">
        <f t="shared" si="184"/>
        <v>1.5033161385409E-2</v>
      </c>
      <c r="I3916" s="1">
        <f t="shared" si="185"/>
        <v>1</v>
      </c>
    </row>
    <row r="3917" spans="1:9" hidden="1" x14ac:dyDescent="0.2">
      <c r="A3917" s="6">
        <v>44103.708333333336</v>
      </c>
      <c r="B3917" s="1" t="s">
        <v>21</v>
      </c>
      <c r="C3917">
        <v>293</v>
      </c>
      <c r="D3917">
        <v>16</v>
      </c>
      <c r="E3917">
        <v>310</v>
      </c>
      <c r="F3917">
        <v>6948</v>
      </c>
      <c r="G3917" s="3">
        <f t="shared" si="183"/>
        <v>163</v>
      </c>
      <c r="H3917" s="4">
        <f t="shared" si="184"/>
        <v>2.3459988485895256E-2</v>
      </c>
      <c r="I3917" s="1">
        <f t="shared" si="185"/>
        <v>1</v>
      </c>
    </row>
    <row r="3918" spans="1:9" hidden="1" x14ac:dyDescent="0.2">
      <c r="A3918" s="6">
        <v>44104.708333333336</v>
      </c>
      <c r="B3918" s="1" t="s">
        <v>21</v>
      </c>
      <c r="C3918">
        <v>301</v>
      </c>
      <c r="D3918">
        <v>19</v>
      </c>
      <c r="E3918">
        <v>311</v>
      </c>
      <c r="F3918">
        <v>7118</v>
      </c>
      <c r="G3918" s="3">
        <f t="shared" si="183"/>
        <v>170</v>
      </c>
      <c r="H3918" s="4">
        <f t="shared" si="184"/>
        <v>2.3883113234054565E-2</v>
      </c>
      <c r="I3918" s="1">
        <f t="shared" si="185"/>
        <v>1</v>
      </c>
    </row>
    <row r="3919" spans="1:9" hidden="1" x14ac:dyDescent="0.2">
      <c r="A3919" s="6">
        <v>44105.708333333336</v>
      </c>
      <c r="B3919" s="1" t="s">
        <v>21</v>
      </c>
      <c r="C3919">
        <v>307</v>
      </c>
      <c r="D3919">
        <v>20</v>
      </c>
      <c r="E3919">
        <v>312</v>
      </c>
      <c r="F3919">
        <v>7274</v>
      </c>
      <c r="G3919" s="3">
        <f t="shared" si="183"/>
        <v>156</v>
      </c>
      <c r="H3919" s="4">
        <f t="shared" si="184"/>
        <v>2.1446246906791311E-2</v>
      </c>
      <c r="I3919" s="1">
        <f t="shared" si="185"/>
        <v>1</v>
      </c>
    </row>
    <row r="3920" spans="1:9" hidden="1" x14ac:dyDescent="0.2">
      <c r="A3920" s="6">
        <v>44106.708333333336</v>
      </c>
      <c r="B3920" s="1" t="s">
        <v>21</v>
      </c>
      <c r="C3920">
        <v>303</v>
      </c>
      <c r="D3920">
        <v>21</v>
      </c>
      <c r="E3920">
        <v>314</v>
      </c>
      <c r="F3920">
        <v>7414</v>
      </c>
      <c r="G3920" s="3">
        <f t="shared" si="183"/>
        <v>140</v>
      </c>
      <c r="H3920" s="4">
        <f t="shared" si="184"/>
        <v>1.888319395737792E-2</v>
      </c>
      <c r="I3920" s="1">
        <f t="shared" si="185"/>
        <v>2</v>
      </c>
    </row>
    <row r="3921" spans="1:9" hidden="1" x14ac:dyDescent="0.2">
      <c r="A3921" s="6">
        <v>44107.708333333336</v>
      </c>
      <c r="B3921" s="1" t="s">
        <v>21</v>
      </c>
      <c r="C3921">
        <v>322</v>
      </c>
      <c r="D3921">
        <v>20</v>
      </c>
      <c r="E3921">
        <v>317</v>
      </c>
      <c r="F3921">
        <v>7596</v>
      </c>
      <c r="G3921" s="3">
        <f t="shared" si="183"/>
        <v>182</v>
      </c>
      <c r="H3921" s="4">
        <f t="shared" si="184"/>
        <v>2.3959978936282211E-2</v>
      </c>
      <c r="I3921" s="1">
        <f t="shared" si="185"/>
        <v>3</v>
      </c>
    </row>
    <row r="3922" spans="1:9" hidden="1" x14ac:dyDescent="0.2">
      <c r="A3922" s="6">
        <v>44108.708333333336</v>
      </c>
      <c r="B3922" s="1" t="s">
        <v>21</v>
      </c>
      <c r="C3922">
        <v>329</v>
      </c>
      <c r="D3922">
        <v>24</v>
      </c>
      <c r="E3922">
        <v>319</v>
      </c>
      <c r="F3922">
        <v>7681</v>
      </c>
      <c r="G3922" s="3">
        <f t="shared" si="183"/>
        <v>85</v>
      </c>
      <c r="H3922" s="4">
        <f t="shared" si="184"/>
        <v>1.1066267413097242E-2</v>
      </c>
      <c r="I3922" s="1">
        <f t="shared" si="185"/>
        <v>2</v>
      </c>
    </row>
    <row r="3923" spans="1:9" hidden="1" x14ac:dyDescent="0.2">
      <c r="A3923" s="6">
        <v>44109.708333333336</v>
      </c>
      <c r="B3923" s="1" t="s">
        <v>21</v>
      </c>
      <c r="C3923">
        <v>361</v>
      </c>
      <c r="D3923">
        <v>28</v>
      </c>
      <c r="E3923">
        <v>321</v>
      </c>
      <c r="F3923">
        <v>7809</v>
      </c>
      <c r="G3923" s="3">
        <f t="shared" si="183"/>
        <v>128</v>
      </c>
      <c r="H3923" s="4">
        <f t="shared" si="184"/>
        <v>1.6391343321808138E-2</v>
      </c>
      <c r="I3923" s="1">
        <f t="shared" si="185"/>
        <v>2</v>
      </c>
    </row>
    <row r="3924" spans="1:9" hidden="1" x14ac:dyDescent="0.2">
      <c r="A3924" s="6">
        <v>44110.708333333336</v>
      </c>
      <c r="B3924" s="1" t="s">
        <v>21</v>
      </c>
      <c r="C3924">
        <v>368</v>
      </c>
      <c r="D3924">
        <v>28</v>
      </c>
      <c r="E3924">
        <v>322</v>
      </c>
      <c r="F3924">
        <v>8007</v>
      </c>
      <c r="G3924" s="3">
        <f t="shared" si="183"/>
        <v>198</v>
      </c>
      <c r="H3924" s="4">
        <f t="shared" si="184"/>
        <v>2.472836268265266E-2</v>
      </c>
      <c r="I3924" s="1">
        <f t="shared" si="185"/>
        <v>1</v>
      </c>
    </row>
    <row r="3925" spans="1:9" hidden="1" x14ac:dyDescent="0.2">
      <c r="A3925" s="6">
        <v>44111.708333333336</v>
      </c>
      <c r="B3925" s="1" t="s">
        <v>21</v>
      </c>
      <c r="C3925">
        <v>375</v>
      </c>
      <c r="D3925">
        <v>30</v>
      </c>
      <c r="E3925">
        <v>326</v>
      </c>
      <c r="F3925">
        <v>8220</v>
      </c>
      <c r="G3925" s="3">
        <f t="shared" si="183"/>
        <v>213</v>
      </c>
      <c r="H3925" s="4">
        <f t="shared" si="184"/>
        <v>2.5912408759124039E-2</v>
      </c>
      <c r="I3925" s="1">
        <f t="shared" si="185"/>
        <v>4</v>
      </c>
    </row>
    <row r="3926" spans="1:9" hidden="1" x14ac:dyDescent="0.2">
      <c r="A3926" s="6">
        <v>44112.708333333336</v>
      </c>
      <c r="B3926" s="1" t="s">
        <v>21</v>
      </c>
      <c r="C3926">
        <v>376</v>
      </c>
      <c r="D3926">
        <v>33</v>
      </c>
      <c r="E3926">
        <v>329</v>
      </c>
      <c r="F3926">
        <v>8479</v>
      </c>
      <c r="G3926" s="3">
        <f t="shared" si="183"/>
        <v>259</v>
      </c>
      <c r="H3926" s="4">
        <f t="shared" si="184"/>
        <v>3.0546054959311286E-2</v>
      </c>
      <c r="I3926" s="1">
        <f t="shared" si="185"/>
        <v>3</v>
      </c>
    </row>
    <row r="3927" spans="1:9" hidden="1" x14ac:dyDescent="0.2">
      <c r="A3927" s="6">
        <v>44113.708333333336</v>
      </c>
      <c r="B3927" s="1" t="s">
        <v>21</v>
      </c>
      <c r="C3927">
        <v>376</v>
      </c>
      <c r="D3927">
        <v>35</v>
      </c>
      <c r="E3927">
        <v>333</v>
      </c>
      <c r="F3927">
        <v>8712</v>
      </c>
      <c r="G3927" s="3">
        <f t="shared" si="183"/>
        <v>233</v>
      </c>
      <c r="H3927" s="4">
        <f t="shared" si="184"/>
        <v>2.6744719926538152E-2</v>
      </c>
      <c r="I3927" s="1">
        <f t="shared" si="185"/>
        <v>4</v>
      </c>
    </row>
    <row r="3928" spans="1:9" hidden="1" x14ac:dyDescent="0.2">
      <c r="A3928" s="6">
        <v>44114.708333333336</v>
      </c>
      <c r="B3928" s="1" t="s">
        <v>21</v>
      </c>
      <c r="C3928">
        <v>387</v>
      </c>
      <c r="D3928">
        <v>35</v>
      </c>
      <c r="E3928">
        <v>335</v>
      </c>
      <c r="F3928">
        <v>8997</v>
      </c>
      <c r="G3928" s="3">
        <f t="shared" si="183"/>
        <v>285</v>
      </c>
      <c r="H3928" s="4">
        <f t="shared" si="184"/>
        <v>3.1677225741914006E-2</v>
      </c>
      <c r="I3928" s="1">
        <f t="shared" si="185"/>
        <v>2</v>
      </c>
    </row>
    <row r="3929" spans="1:9" hidden="1" x14ac:dyDescent="0.2">
      <c r="A3929" s="6">
        <v>44115.708333333336</v>
      </c>
      <c r="B3929" s="1" t="s">
        <v>21</v>
      </c>
      <c r="C3929">
        <v>388</v>
      </c>
      <c r="D3929">
        <v>38</v>
      </c>
      <c r="E3929">
        <v>336</v>
      </c>
      <c r="F3929">
        <v>9294</v>
      </c>
      <c r="G3929" s="3">
        <f t="shared" si="183"/>
        <v>297</v>
      </c>
      <c r="H3929" s="4">
        <f t="shared" si="184"/>
        <v>3.1956100710135549E-2</v>
      </c>
      <c r="I3929" s="1">
        <f t="shared" si="185"/>
        <v>1</v>
      </c>
    </row>
    <row r="3930" spans="1:9" hidden="1" x14ac:dyDescent="0.2">
      <c r="A3930" s="6">
        <v>43885.75</v>
      </c>
      <c r="B3930" s="1" t="s">
        <v>22</v>
      </c>
      <c r="C3930">
        <v>0</v>
      </c>
      <c r="D3930">
        <v>0</v>
      </c>
      <c r="E3930">
        <v>0</v>
      </c>
      <c r="F3930">
        <v>0</v>
      </c>
      <c r="G3930" s="3">
        <f t="shared" si="183"/>
        <v>0</v>
      </c>
      <c r="H3930" s="4">
        <f t="shared" si="184"/>
        <v>0</v>
      </c>
      <c r="I3930" s="1">
        <f t="shared" si="185"/>
        <v>0</v>
      </c>
    </row>
    <row r="3931" spans="1:9" hidden="1" x14ac:dyDescent="0.2">
      <c r="A3931" s="6">
        <v>43886.75</v>
      </c>
      <c r="B3931" s="1" t="s">
        <v>22</v>
      </c>
      <c r="C3931">
        <v>2</v>
      </c>
      <c r="D3931">
        <v>0</v>
      </c>
      <c r="E3931">
        <v>0</v>
      </c>
      <c r="F3931">
        <v>2</v>
      </c>
      <c r="G3931" s="3">
        <f t="shared" si="183"/>
        <v>2</v>
      </c>
      <c r="H3931" s="4">
        <f t="shared" si="184"/>
        <v>0</v>
      </c>
      <c r="I3931" s="1">
        <f t="shared" si="185"/>
        <v>0</v>
      </c>
    </row>
    <row r="3932" spans="1:9" hidden="1" x14ac:dyDescent="0.2">
      <c r="A3932" s="6">
        <v>43887.75</v>
      </c>
      <c r="B3932" s="1" t="s">
        <v>22</v>
      </c>
      <c r="C3932">
        <v>2</v>
      </c>
      <c r="D3932">
        <v>0</v>
      </c>
      <c r="E3932">
        <v>0</v>
      </c>
      <c r="F3932">
        <v>2</v>
      </c>
      <c r="G3932" s="3">
        <f t="shared" si="183"/>
        <v>0</v>
      </c>
      <c r="H3932" s="4">
        <f t="shared" si="184"/>
        <v>0</v>
      </c>
      <c r="I3932" s="1">
        <f t="shared" si="185"/>
        <v>0</v>
      </c>
    </row>
    <row r="3933" spans="1:9" hidden="1" x14ac:dyDescent="0.2">
      <c r="A3933" s="6">
        <v>43888.75</v>
      </c>
      <c r="B3933" s="1" t="s">
        <v>22</v>
      </c>
      <c r="C3933">
        <v>2</v>
      </c>
      <c r="D3933">
        <v>0</v>
      </c>
      <c r="E3933">
        <v>0</v>
      </c>
      <c r="F3933">
        <v>2</v>
      </c>
      <c r="G3933" s="3">
        <f t="shared" si="183"/>
        <v>0</v>
      </c>
      <c r="H3933" s="4">
        <f t="shared" si="184"/>
        <v>0</v>
      </c>
      <c r="I3933" s="1">
        <f t="shared" si="185"/>
        <v>0</v>
      </c>
    </row>
    <row r="3934" spans="1:9" hidden="1" x14ac:dyDescent="0.2">
      <c r="A3934" s="6">
        <v>43889.75</v>
      </c>
      <c r="B3934" s="1" t="s">
        <v>22</v>
      </c>
      <c r="C3934">
        <v>5</v>
      </c>
      <c r="D3934">
        <v>0</v>
      </c>
      <c r="E3934">
        <v>0</v>
      </c>
      <c r="F3934">
        <v>8</v>
      </c>
      <c r="G3934" s="3">
        <f t="shared" si="183"/>
        <v>6</v>
      </c>
      <c r="H3934" s="4">
        <f t="shared" si="184"/>
        <v>0.75</v>
      </c>
      <c r="I3934" s="1">
        <f t="shared" si="185"/>
        <v>0</v>
      </c>
    </row>
    <row r="3935" spans="1:9" hidden="1" x14ac:dyDescent="0.2">
      <c r="A3935" s="6">
        <v>43890.708333333336</v>
      </c>
      <c r="B3935" s="1" t="s">
        <v>22</v>
      </c>
      <c r="C3935">
        <v>7</v>
      </c>
      <c r="D3935">
        <v>0</v>
      </c>
      <c r="E3935">
        <v>0</v>
      </c>
      <c r="F3935">
        <v>11</v>
      </c>
      <c r="G3935" s="3">
        <f t="shared" si="183"/>
        <v>3</v>
      </c>
      <c r="H3935" s="4">
        <f t="shared" si="184"/>
        <v>0.27272727272727271</v>
      </c>
      <c r="I3935" s="1">
        <f t="shared" si="185"/>
        <v>0</v>
      </c>
    </row>
    <row r="3936" spans="1:9" hidden="1" x14ac:dyDescent="0.2">
      <c r="A3936" s="6">
        <v>43891.708333333336</v>
      </c>
      <c r="B3936" s="1" t="s">
        <v>22</v>
      </c>
      <c r="C3936">
        <v>7</v>
      </c>
      <c r="D3936">
        <v>0</v>
      </c>
      <c r="E3936">
        <v>0</v>
      </c>
      <c r="F3936">
        <v>13</v>
      </c>
      <c r="G3936" s="3">
        <f t="shared" si="183"/>
        <v>2</v>
      </c>
      <c r="H3936" s="4">
        <f t="shared" si="184"/>
        <v>0.15384615384615385</v>
      </c>
      <c r="I3936" s="1">
        <f t="shared" si="185"/>
        <v>0</v>
      </c>
    </row>
    <row r="3937" spans="1:9" hidden="1" x14ac:dyDescent="0.2">
      <c r="A3937" s="6">
        <v>43892.75</v>
      </c>
      <c r="B3937" s="1" t="s">
        <v>22</v>
      </c>
      <c r="C3937">
        <v>7</v>
      </c>
      <c r="D3937">
        <v>0</v>
      </c>
      <c r="E3937">
        <v>0</v>
      </c>
      <c r="F3937">
        <v>13</v>
      </c>
      <c r="G3937" s="3">
        <f t="shared" si="183"/>
        <v>0</v>
      </c>
      <c r="H3937" s="4">
        <f t="shared" si="184"/>
        <v>0</v>
      </c>
      <c r="I3937" s="1">
        <f t="shared" si="185"/>
        <v>0</v>
      </c>
    </row>
    <row r="3938" spans="1:9" hidden="1" x14ac:dyDescent="0.2">
      <c r="A3938" s="6">
        <v>43893.75</v>
      </c>
      <c r="B3938" s="1" t="s">
        <v>22</v>
      </c>
      <c r="C3938">
        <v>10</v>
      </c>
      <c r="D3938">
        <v>0</v>
      </c>
      <c r="E3938">
        <v>0</v>
      </c>
      <c r="F3938">
        <v>19</v>
      </c>
      <c r="G3938" s="3">
        <f t="shared" si="183"/>
        <v>6</v>
      </c>
      <c r="H3938" s="4">
        <f t="shared" si="184"/>
        <v>0.31578947368421051</v>
      </c>
      <c r="I3938" s="1">
        <f t="shared" si="185"/>
        <v>0</v>
      </c>
    </row>
    <row r="3939" spans="1:9" hidden="1" x14ac:dyDescent="0.2">
      <c r="A3939" s="6">
        <v>43894.708333333336</v>
      </c>
      <c r="B3939" s="1" t="s">
        <v>22</v>
      </c>
      <c r="C3939">
        <v>15</v>
      </c>
      <c r="D3939">
        <v>2</v>
      </c>
      <c r="E3939">
        <v>0</v>
      </c>
      <c r="F3939">
        <v>38</v>
      </c>
      <c r="G3939" s="3">
        <f t="shared" si="183"/>
        <v>19</v>
      </c>
      <c r="H3939" s="4">
        <f t="shared" si="184"/>
        <v>0.5</v>
      </c>
      <c r="I3939" s="1">
        <f t="shared" si="185"/>
        <v>0</v>
      </c>
    </row>
    <row r="3940" spans="1:9" hidden="1" x14ac:dyDescent="0.2">
      <c r="A3940" s="6">
        <v>43895.708333333336</v>
      </c>
      <c r="B3940" s="1" t="s">
        <v>22</v>
      </c>
      <c r="C3940">
        <v>26</v>
      </c>
      <c r="D3940">
        <v>3</v>
      </c>
      <c r="E3940">
        <v>0</v>
      </c>
      <c r="F3940">
        <v>61</v>
      </c>
      <c r="G3940" s="3">
        <f t="shared" si="183"/>
        <v>23</v>
      </c>
      <c r="H3940" s="4">
        <f t="shared" si="184"/>
        <v>0.37704918032786883</v>
      </c>
      <c r="I3940" s="1">
        <f t="shared" si="185"/>
        <v>0</v>
      </c>
    </row>
    <row r="3941" spans="1:9" hidden="1" x14ac:dyDescent="0.2">
      <c r="A3941" s="6">
        <v>43896.708333333336</v>
      </c>
      <c r="B3941" s="1" t="s">
        <v>22</v>
      </c>
      <c r="C3941">
        <v>35</v>
      </c>
      <c r="D3941">
        <v>5</v>
      </c>
      <c r="E3941">
        <v>0</v>
      </c>
      <c r="F3941">
        <v>79</v>
      </c>
      <c r="G3941" s="3">
        <f t="shared" si="183"/>
        <v>18</v>
      </c>
      <c r="H3941" s="4">
        <f t="shared" si="184"/>
        <v>0.22784810126582278</v>
      </c>
      <c r="I3941" s="1">
        <f t="shared" si="185"/>
        <v>0</v>
      </c>
    </row>
    <row r="3942" spans="1:9" hidden="1" x14ac:dyDescent="0.2">
      <c r="A3942" s="6">
        <v>43897.75</v>
      </c>
      <c r="B3942" s="1" t="s">
        <v>22</v>
      </c>
      <c r="C3942">
        <v>54</v>
      </c>
      <c r="D3942">
        <v>7</v>
      </c>
      <c r="E3942">
        <v>0</v>
      </c>
      <c r="F3942">
        <v>113</v>
      </c>
      <c r="G3942" s="3">
        <f t="shared" si="183"/>
        <v>34</v>
      </c>
      <c r="H3942" s="4">
        <f t="shared" si="184"/>
        <v>0.30088495575221241</v>
      </c>
      <c r="I3942" s="1">
        <f t="shared" si="185"/>
        <v>0</v>
      </c>
    </row>
    <row r="3943" spans="1:9" hidden="1" x14ac:dyDescent="0.2">
      <c r="A3943" s="6">
        <v>43898.75</v>
      </c>
      <c r="B3943" s="1" t="s">
        <v>22</v>
      </c>
      <c r="C3943">
        <v>91</v>
      </c>
      <c r="D3943">
        <v>7</v>
      </c>
      <c r="E3943">
        <v>0</v>
      </c>
      <c r="F3943">
        <v>166</v>
      </c>
      <c r="G3943" s="3">
        <f t="shared" si="183"/>
        <v>53</v>
      </c>
      <c r="H3943" s="4">
        <f t="shared" si="184"/>
        <v>0.31927710843373491</v>
      </c>
      <c r="I3943" s="1">
        <f t="shared" si="185"/>
        <v>0</v>
      </c>
    </row>
    <row r="3944" spans="1:9" hidden="1" x14ac:dyDescent="0.2">
      <c r="A3944" s="6">
        <v>43899.75</v>
      </c>
      <c r="B3944" s="1" t="s">
        <v>22</v>
      </c>
      <c r="C3944">
        <v>107</v>
      </c>
      <c r="D3944">
        <v>9</v>
      </c>
      <c r="E3944">
        <v>1</v>
      </c>
      <c r="F3944">
        <v>208</v>
      </c>
      <c r="G3944" s="3">
        <f t="shared" si="183"/>
        <v>42</v>
      </c>
      <c r="H3944" s="4">
        <f t="shared" si="184"/>
        <v>0.20192307692307687</v>
      </c>
      <c r="I3944" s="1">
        <f t="shared" si="185"/>
        <v>1</v>
      </c>
    </row>
    <row r="3945" spans="1:9" hidden="1" x14ac:dyDescent="0.2">
      <c r="A3945" s="6">
        <v>43900.75</v>
      </c>
      <c r="B3945" s="1" t="s">
        <v>22</v>
      </c>
      <c r="C3945">
        <v>91</v>
      </c>
      <c r="D3945">
        <v>40</v>
      </c>
      <c r="E3945">
        <v>1</v>
      </c>
      <c r="F3945">
        <v>264</v>
      </c>
      <c r="G3945" s="3">
        <f t="shared" si="183"/>
        <v>56</v>
      </c>
      <c r="H3945" s="4">
        <f t="shared" si="184"/>
        <v>0.21212121212121215</v>
      </c>
      <c r="I3945" s="1">
        <f t="shared" si="185"/>
        <v>0</v>
      </c>
    </row>
    <row r="3946" spans="1:9" hidden="1" x14ac:dyDescent="0.2">
      <c r="A3946" s="6">
        <v>43901.708333333336</v>
      </c>
      <c r="B3946" s="1" t="s">
        <v>22</v>
      </c>
      <c r="C3946">
        <v>87</v>
      </c>
      <c r="D3946">
        <v>54</v>
      </c>
      <c r="E3946">
        <v>1</v>
      </c>
      <c r="F3946">
        <v>320</v>
      </c>
      <c r="G3946" s="3">
        <f t="shared" si="183"/>
        <v>56</v>
      </c>
      <c r="H3946" s="4">
        <f t="shared" si="184"/>
        <v>0.17500000000000004</v>
      </c>
      <c r="I3946" s="1">
        <f t="shared" si="185"/>
        <v>0</v>
      </c>
    </row>
    <row r="3947" spans="1:9" hidden="1" x14ac:dyDescent="0.2">
      <c r="A3947" s="6">
        <v>43902.708333333336</v>
      </c>
      <c r="B3947" s="1" t="s">
        <v>22</v>
      </c>
      <c r="C3947">
        <v>100</v>
      </c>
      <c r="D3947">
        <v>59</v>
      </c>
      <c r="E3947">
        <v>5</v>
      </c>
      <c r="F3947">
        <v>364</v>
      </c>
      <c r="G3947" s="3">
        <f t="shared" si="183"/>
        <v>44</v>
      </c>
      <c r="H3947" s="4">
        <f t="shared" si="184"/>
        <v>0.12087912087912089</v>
      </c>
      <c r="I3947" s="1">
        <f t="shared" si="185"/>
        <v>4</v>
      </c>
    </row>
    <row r="3948" spans="1:9" hidden="1" x14ac:dyDescent="0.2">
      <c r="A3948" s="6">
        <v>43903.708333333336</v>
      </c>
      <c r="B3948" s="1" t="s">
        <v>22</v>
      </c>
      <c r="C3948">
        <v>134</v>
      </c>
      <c r="D3948">
        <v>77</v>
      </c>
      <c r="E3948">
        <v>5</v>
      </c>
      <c r="F3948">
        <v>470</v>
      </c>
      <c r="G3948" s="3">
        <f t="shared" si="183"/>
        <v>106</v>
      </c>
      <c r="H3948" s="4">
        <f t="shared" si="184"/>
        <v>0.22553191489361701</v>
      </c>
      <c r="I3948" s="1">
        <f t="shared" si="185"/>
        <v>0</v>
      </c>
    </row>
    <row r="3949" spans="1:9" hidden="1" x14ac:dyDescent="0.2">
      <c r="A3949" s="6">
        <v>43904.708333333336</v>
      </c>
      <c r="B3949" s="1" t="s">
        <v>22</v>
      </c>
      <c r="C3949">
        <v>160</v>
      </c>
      <c r="D3949">
        <v>87</v>
      </c>
      <c r="E3949">
        <v>6</v>
      </c>
      <c r="F3949">
        <v>630</v>
      </c>
      <c r="G3949" s="3">
        <f t="shared" si="183"/>
        <v>160</v>
      </c>
      <c r="H3949" s="4">
        <f t="shared" si="184"/>
        <v>0.25396825396825395</v>
      </c>
      <c r="I3949" s="1">
        <f t="shared" si="185"/>
        <v>1</v>
      </c>
    </row>
    <row r="3950" spans="1:9" hidden="1" x14ac:dyDescent="0.2">
      <c r="A3950" s="6">
        <v>43905.708333333336</v>
      </c>
      <c r="B3950" s="1" t="s">
        <v>22</v>
      </c>
      <c r="C3950">
        <v>175</v>
      </c>
      <c r="D3950">
        <v>107</v>
      </c>
      <c r="E3950">
        <v>8</v>
      </c>
      <c r="F3950">
        <v>781</v>
      </c>
      <c r="G3950" s="3">
        <f t="shared" si="183"/>
        <v>151</v>
      </c>
      <c r="H3950" s="4">
        <f t="shared" si="184"/>
        <v>0.19334186939820741</v>
      </c>
      <c r="I3950" s="1">
        <f t="shared" si="185"/>
        <v>2</v>
      </c>
    </row>
    <row r="3951" spans="1:9" hidden="1" x14ac:dyDescent="0.2">
      <c r="A3951" s="6">
        <v>43906.708333333336</v>
      </c>
      <c r="B3951" s="1" t="s">
        <v>22</v>
      </c>
      <c r="C3951">
        <v>175</v>
      </c>
      <c r="D3951">
        <v>107</v>
      </c>
      <c r="E3951">
        <v>14</v>
      </c>
      <c r="F3951">
        <v>866</v>
      </c>
      <c r="G3951" s="3">
        <f t="shared" si="183"/>
        <v>85</v>
      </c>
      <c r="H3951" s="4">
        <f t="shared" si="184"/>
        <v>9.8152424942263283E-2</v>
      </c>
      <c r="I3951" s="1">
        <f t="shared" si="185"/>
        <v>6</v>
      </c>
    </row>
    <row r="3952" spans="1:9" hidden="1" x14ac:dyDescent="0.2">
      <c r="A3952" s="6">
        <v>43907.708333333336</v>
      </c>
      <c r="B3952" s="1" t="s">
        <v>22</v>
      </c>
      <c r="C3952">
        <v>329</v>
      </c>
      <c r="D3952">
        <v>143</v>
      </c>
      <c r="E3952">
        <v>17</v>
      </c>
      <c r="F3952">
        <v>1053</v>
      </c>
      <c r="G3952" s="3">
        <f t="shared" si="183"/>
        <v>187</v>
      </c>
      <c r="H3952" s="4">
        <f t="shared" si="184"/>
        <v>0.17758784425451091</v>
      </c>
      <c r="I3952" s="1">
        <f t="shared" si="185"/>
        <v>3</v>
      </c>
    </row>
    <row r="3953" spans="1:9" hidden="1" x14ac:dyDescent="0.2">
      <c r="A3953" s="6">
        <v>43908.708333333336</v>
      </c>
      <c r="B3953" s="1" t="s">
        <v>22</v>
      </c>
      <c r="C3953">
        <v>427</v>
      </c>
      <c r="D3953">
        <v>160</v>
      </c>
      <c r="E3953">
        <v>22</v>
      </c>
      <c r="F3953">
        <v>1330</v>
      </c>
      <c r="G3953" s="3">
        <f t="shared" si="183"/>
        <v>277</v>
      </c>
      <c r="H3953" s="4">
        <f t="shared" si="184"/>
        <v>0.20827067669172927</v>
      </c>
      <c r="I3953" s="1">
        <f t="shared" si="185"/>
        <v>5</v>
      </c>
    </row>
    <row r="3954" spans="1:9" hidden="1" x14ac:dyDescent="0.2">
      <c r="A3954" s="6">
        <v>43909.708333333336</v>
      </c>
      <c r="B3954" s="1" t="s">
        <v>22</v>
      </c>
      <c r="C3954">
        <v>501</v>
      </c>
      <c r="D3954">
        <v>178</v>
      </c>
      <c r="E3954">
        <v>38</v>
      </c>
      <c r="F3954">
        <v>1482</v>
      </c>
      <c r="G3954" s="3">
        <f t="shared" si="183"/>
        <v>152</v>
      </c>
      <c r="H3954" s="4">
        <f t="shared" si="184"/>
        <v>0.10256410256410253</v>
      </c>
      <c r="I3954" s="1">
        <f t="shared" si="185"/>
        <v>16</v>
      </c>
    </row>
    <row r="3955" spans="1:9" hidden="1" x14ac:dyDescent="0.2">
      <c r="A3955" s="6">
        <v>43910.708333333336</v>
      </c>
      <c r="B3955" s="1" t="s">
        <v>22</v>
      </c>
      <c r="C3955">
        <v>601</v>
      </c>
      <c r="D3955">
        <v>189</v>
      </c>
      <c r="E3955">
        <v>47</v>
      </c>
      <c r="F3955">
        <v>1793</v>
      </c>
      <c r="G3955" s="3">
        <f t="shared" si="183"/>
        <v>311</v>
      </c>
      <c r="H3955" s="4">
        <f t="shared" si="184"/>
        <v>0.17345231455660903</v>
      </c>
      <c r="I3955" s="1">
        <f t="shared" si="185"/>
        <v>9</v>
      </c>
    </row>
    <row r="3956" spans="1:9" hidden="1" x14ac:dyDescent="0.2">
      <c r="A3956" s="6">
        <v>43911.708333333336</v>
      </c>
      <c r="B3956" s="1" t="s">
        <v>22</v>
      </c>
      <c r="C3956">
        <v>664</v>
      </c>
      <c r="D3956">
        <v>202</v>
      </c>
      <c r="E3956">
        <v>72</v>
      </c>
      <c r="F3956">
        <v>2012</v>
      </c>
      <c r="G3956" s="3">
        <f t="shared" si="183"/>
        <v>219</v>
      </c>
      <c r="H3956" s="4">
        <f t="shared" si="184"/>
        <v>0.10884691848906558</v>
      </c>
      <c r="I3956" s="1">
        <f t="shared" si="185"/>
        <v>25</v>
      </c>
    </row>
    <row r="3957" spans="1:9" hidden="1" x14ac:dyDescent="0.2">
      <c r="A3957" s="6">
        <v>43912.708333333336</v>
      </c>
      <c r="B3957" s="1" t="s">
        <v>22</v>
      </c>
      <c r="C3957">
        <v>706</v>
      </c>
      <c r="D3957">
        <v>215</v>
      </c>
      <c r="E3957">
        <v>91</v>
      </c>
      <c r="F3957">
        <v>2277</v>
      </c>
      <c r="G3957" s="3">
        <f t="shared" si="183"/>
        <v>265</v>
      </c>
      <c r="H3957" s="4">
        <f t="shared" si="184"/>
        <v>0.11638120333772506</v>
      </c>
      <c r="I3957" s="1">
        <f t="shared" si="185"/>
        <v>19</v>
      </c>
    </row>
    <row r="3958" spans="1:9" hidden="1" x14ac:dyDescent="0.2">
      <c r="A3958" s="6">
        <v>43913.708333333336</v>
      </c>
      <c r="B3958" s="1" t="s">
        <v>22</v>
      </c>
      <c r="C3958">
        <v>838</v>
      </c>
      <c r="D3958">
        <v>238</v>
      </c>
      <c r="E3958">
        <v>109</v>
      </c>
      <c r="F3958">
        <v>2461</v>
      </c>
      <c r="G3958" s="3">
        <f t="shared" si="183"/>
        <v>184</v>
      </c>
      <c r="H3958" s="4">
        <f t="shared" si="184"/>
        <v>7.4766355140186924E-2</v>
      </c>
      <c r="I3958" s="1">
        <f t="shared" si="185"/>
        <v>18</v>
      </c>
    </row>
    <row r="3959" spans="1:9" hidden="1" x14ac:dyDescent="0.2">
      <c r="A3959" s="6">
        <v>43914.708333333336</v>
      </c>
      <c r="B3959" s="1" t="s">
        <v>22</v>
      </c>
      <c r="C3959">
        <v>918</v>
      </c>
      <c r="D3959">
        <v>244</v>
      </c>
      <c r="E3959">
        <v>129</v>
      </c>
      <c r="F3959">
        <v>2699</v>
      </c>
      <c r="G3959" s="3">
        <f t="shared" si="183"/>
        <v>238</v>
      </c>
      <c r="H3959" s="4">
        <f t="shared" si="184"/>
        <v>8.8180807706558006E-2</v>
      </c>
      <c r="I3959" s="1">
        <f t="shared" si="185"/>
        <v>20</v>
      </c>
    </row>
    <row r="3960" spans="1:9" hidden="1" x14ac:dyDescent="0.2">
      <c r="A3960" s="6">
        <v>43915.708333333336</v>
      </c>
      <c r="B3960" s="1" t="s">
        <v>22</v>
      </c>
      <c r="C3960">
        <v>999</v>
      </c>
      <c r="D3960">
        <v>251</v>
      </c>
      <c r="E3960">
        <v>142</v>
      </c>
      <c r="F3960">
        <v>2972</v>
      </c>
      <c r="G3960" s="3">
        <f t="shared" si="183"/>
        <v>273</v>
      </c>
      <c r="H3960" s="4">
        <f t="shared" si="184"/>
        <v>9.1857335127859985E-2</v>
      </c>
      <c r="I3960" s="1">
        <f t="shared" si="185"/>
        <v>13</v>
      </c>
    </row>
    <row r="3961" spans="1:9" hidden="1" x14ac:dyDescent="0.2">
      <c r="A3961" s="6">
        <v>43916.708333333336</v>
      </c>
      <c r="B3961" s="1" t="s">
        <v>22</v>
      </c>
      <c r="C3961">
        <v>1037</v>
      </c>
      <c r="D3961">
        <v>259</v>
      </c>
      <c r="E3961">
        <v>158</v>
      </c>
      <c r="F3961">
        <v>3226</v>
      </c>
      <c r="G3961" s="3">
        <f t="shared" si="183"/>
        <v>254</v>
      </c>
      <c r="H3961" s="4">
        <f t="shared" si="184"/>
        <v>7.8735275883446976E-2</v>
      </c>
      <c r="I3961" s="1">
        <f t="shared" si="185"/>
        <v>16</v>
      </c>
    </row>
    <row r="3962" spans="1:9" hidden="1" x14ac:dyDescent="0.2">
      <c r="A3962" s="6">
        <v>43917.708333333336</v>
      </c>
      <c r="B3962" s="1" t="s">
        <v>22</v>
      </c>
      <c r="C3962">
        <v>1053</v>
      </c>
      <c r="D3962">
        <v>274</v>
      </c>
      <c r="E3962">
        <v>177</v>
      </c>
      <c r="F3962">
        <v>3450</v>
      </c>
      <c r="G3962" s="3">
        <f t="shared" si="183"/>
        <v>224</v>
      </c>
      <c r="H3962" s="4">
        <f t="shared" si="184"/>
        <v>6.4927536231884075E-2</v>
      </c>
      <c r="I3962" s="1">
        <f t="shared" si="185"/>
        <v>19</v>
      </c>
    </row>
    <row r="3963" spans="1:9" hidden="1" x14ac:dyDescent="0.2">
      <c r="A3963" s="6">
        <v>43918.708333333336</v>
      </c>
      <c r="B3963" s="1" t="s">
        <v>22</v>
      </c>
      <c r="C3963">
        <v>1093</v>
      </c>
      <c r="D3963">
        <v>277</v>
      </c>
      <c r="E3963">
        <v>198</v>
      </c>
      <c r="F3963">
        <v>3817</v>
      </c>
      <c r="G3963" s="3">
        <f t="shared" si="183"/>
        <v>367</v>
      </c>
      <c r="H3963" s="4">
        <f t="shared" si="184"/>
        <v>9.6148807964369976E-2</v>
      </c>
      <c r="I3963" s="1">
        <f t="shared" si="185"/>
        <v>21</v>
      </c>
    </row>
    <row r="3964" spans="1:9" hidden="1" x14ac:dyDescent="0.2">
      <c r="A3964" s="6">
        <v>43919.708333333336</v>
      </c>
      <c r="B3964" s="1" t="s">
        <v>22</v>
      </c>
      <c r="C3964">
        <v>1111</v>
      </c>
      <c r="D3964">
        <v>275</v>
      </c>
      <c r="E3964">
        <v>215</v>
      </c>
      <c r="F3964">
        <v>4122</v>
      </c>
      <c r="G3964" s="3">
        <f t="shared" si="183"/>
        <v>305</v>
      </c>
      <c r="H3964" s="4">
        <f t="shared" si="184"/>
        <v>7.3993207180980125E-2</v>
      </c>
      <c r="I3964" s="1">
        <f t="shared" si="185"/>
        <v>17</v>
      </c>
    </row>
    <row r="3965" spans="1:9" hidden="1" x14ac:dyDescent="0.2">
      <c r="A3965" s="6">
        <v>43920.708333333336</v>
      </c>
      <c r="B3965" s="1" t="s">
        <v>22</v>
      </c>
      <c r="C3965">
        <v>1116</v>
      </c>
      <c r="D3965">
        <v>279</v>
      </c>
      <c r="E3965">
        <v>231</v>
      </c>
      <c r="F3965">
        <v>4412</v>
      </c>
      <c r="G3965" s="3">
        <f t="shared" si="183"/>
        <v>290</v>
      </c>
      <c r="H3965" s="4">
        <f t="shared" si="184"/>
        <v>6.5729827742520452E-2</v>
      </c>
      <c r="I3965" s="1">
        <f t="shared" si="185"/>
        <v>16</v>
      </c>
    </row>
    <row r="3966" spans="1:9" hidden="1" x14ac:dyDescent="0.2">
      <c r="A3966" s="6">
        <v>43921.708333333336</v>
      </c>
      <c r="B3966" s="1" t="s">
        <v>22</v>
      </c>
      <c r="C3966">
        <v>1120</v>
      </c>
      <c r="D3966">
        <v>293</v>
      </c>
      <c r="E3966">
        <v>244</v>
      </c>
      <c r="F3966">
        <v>4608</v>
      </c>
      <c r="G3966" s="3">
        <f t="shared" si="183"/>
        <v>196</v>
      </c>
      <c r="H3966" s="4">
        <f t="shared" si="184"/>
        <v>4.253472222222221E-2</v>
      </c>
      <c r="I3966" s="1">
        <f t="shared" si="185"/>
        <v>13</v>
      </c>
    </row>
    <row r="3967" spans="1:9" hidden="1" x14ac:dyDescent="0.2">
      <c r="A3967" s="6">
        <v>43922.708333333336</v>
      </c>
      <c r="B3967" s="1" t="s">
        <v>22</v>
      </c>
      <c r="C3967">
        <v>1120</v>
      </c>
      <c r="D3967">
        <v>297</v>
      </c>
      <c r="E3967">
        <v>253</v>
      </c>
      <c r="F3967">
        <v>4867</v>
      </c>
      <c r="G3967" s="3">
        <f t="shared" si="183"/>
        <v>259</v>
      </c>
      <c r="H3967" s="4">
        <f t="shared" si="184"/>
        <v>5.3215533182658703E-2</v>
      </c>
      <c r="I3967" s="1">
        <f t="shared" si="185"/>
        <v>9</v>
      </c>
    </row>
    <row r="3968" spans="1:9" hidden="1" x14ac:dyDescent="0.2">
      <c r="A3968" s="6">
        <v>43923.708333333336</v>
      </c>
      <c r="B3968" s="1" t="s">
        <v>22</v>
      </c>
      <c r="C3968">
        <v>1135</v>
      </c>
      <c r="D3968">
        <v>295</v>
      </c>
      <c r="E3968">
        <v>268</v>
      </c>
      <c r="F3968">
        <v>5273</v>
      </c>
      <c r="G3968" s="3">
        <f t="shared" si="183"/>
        <v>406</v>
      </c>
      <c r="H3968" s="4">
        <f t="shared" si="184"/>
        <v>7.6996017447373388E-2</v>
      </c>
      <c r="I3968" s="1">
        <f t="shared" si="185"/>
        <v>15</v>
      </c>
    </row>
    <row r="3969" spans="1:9" hidden="1" x14ac:dyDescent="0.2">
      <c r="A3969" s="6">
        <v>43924.708333333336</v>
      </c>
      <c r="B3969" s="1" t="s">
        <v>22</v>
      </c>
      <c r="C3969">
        <v>1149</v>
      </c>
      <c r="D3969">
        <v>288</v>
      </c>
      <c r="E3969">
        <v>290</v>
      </c>
      <c r="F3969">
        <v>5499</v>
      </c>
      <c r="G3969" s="3">
        <f t="shared" si="183"/>
        <v>226</v>
      </c>
      <c r="H3969" s="4">
        <f t="shared" si="184"/>
        <v>4.109838152391343E-2</v>
      </c>
      <c r="I3969" s="1">
        <f t="shared" si="185"/>
        <v>22</v>
      </c>
    </row>
    <row r="3970" spans="1:9" hidden="1" x14ac:dyDescent="0.2">
      <c r="A3970" s="6">
        <v>43925.708333333336</v>
      </c>
      <c r="B3970" s="1" t="s">
        <v>22</v>
      </c>
      <c r="C3970">
        <v>1129</v>
      </c>
      <c r="D3970">
        <v>286</v>
      </c>
      <c r="E3970">
        <v>307</v>
      </c>
      <c r="F3970">
        <v>5671</v>
      </c>
      <c r="G3970" s="3">
        <f t="shared" si="183"/>
        <v>172</v>
      </c>
      <c r="H3970" s="4">
        <f t="shared" si="184"/>
        <v>3.0329747839887178E-2</v>
      </c>
      <c r="I3970" s="1">
        <f t="shared" si="185"/>
        <v>17</v>
      </c>
    </row>
    <row r="3971" spans="1:9" hidden="1" x14ac:dyDescent="0.2">
      <c r="A3971" s="6">
        <v>43926.708333333336</v>
      </c>
      <c r="B3971" s="1" t="s">
        <v>22</v>
      </c>
      <c r="C3971">
        <v>1111</v>
      </c>
      <c r="D3971">
        <v>276</v>
      </c>
      <c r="E3971">
        <v>325</v>
      </c>
      <c r="F3971">
        <v>5847</v>
      </c>
      <c r="G3971" s="3">
        <f t="shared" ref="G3971:G4034" si="186">IF(AND(F3971&gt;0,AND(B3971=B3970,F3971&gt;0)),F3971-F3970,0)</f>
        <v>176</v>
      </c>
      <c r="H3971" s="4">
        <f t="shared" ref="H3971:H4034" si="187">IF(AND(F3970&gt;0,AND(B3971=B3970,F3970&gt;0)),1-(F3970/F3971),0)</f>
        <v>3.0100906447750986E-2</v>
      </c>
      <c r="I3971" s="1">
        <f t="shared" ref="I3971:I4034" si="188">IF(AND(E3971&gt;0,AND(B3971=B3970,E3971&gt;0)),E3971-E3970,0)</f>
        <v>18</v>
      </c>
    </row>
    <row r="3972" spans="1:9" hidden="1" x14ac:dyDescent="0.2">
      <c r="A3972" s="6">
        <v>43927.708333333336</v>
      </c>
      <c r="B3972" s="1" t="s">
        <v>22</v>
      </c>
      <c r="C3972">
        <v>1116</v>
      </c>
      <c r="D3972">
        <v>279</v>
      </c>
      <c r="E3972">
        <v>350</v>
      </c>
      <c r="F3972">
        <v>6001</v>
      </c>
      <c r="G3972" s="3">
        <f t="shared" si="186"/>
        <v>154</v>
      </c>
      <c r="H3972" s="4">
        <f t="shared" si="187"/>
        <v>2.566238960173306E-2</v>
      </c>
      <c r="I3972" s="1">
        <f t="shared" si="188"/>
        <v>25</v>
      </c>
    </row>
    <row r="3973" spans="1:9" hidden="1" x14ac:dyDescent="0.2">
      <c r="A3973" s="6">
        <v>43928.708333333336</v>
      </c>
      <c r="B3973" s="1" t="s">
        <v>22</v>
      </c>
      <c r="C3973">
        <v>1087</v>
      </c>
      <c r="D3973">
        <v>263</v>
      </c>
      <c r="E3973">
        <v>369</v>
      </c>
      <c r="F3973">
        <v>6173</v>
      </c>
      <c r="G3973" s="3">
        <f t="shared" si="186"/>
        <v>172</v>
      </c>
      <c r="H3973" s="4">
        <f t="shared" si="187"/>
        <v>2.7863275554835587E-2</v>
      </c>
      <c r="I3973" s="1">
        <f t="shared" si="188"/>
        <v>19</v>
      </c>
    </row>
    <row r="3974" spans="1:9" hidden="1" x14ac:dyDescent="0.2">
      <c r="A3974" s="6">
        <v>43929.708333333336</v>
      </c>
      <c r="B3974" s="1" t="s">
        <v>22</v>
      </c>
      <c r="C3974">
        <v>1066</v>
      </c>
      <c r="D3974">
        <v>260</v>
      </c>
      <c r="E3974">
        <v>392</v>
      </c>
      <c r="F3974">
        <v>6379</v>
      </c>
      <c r="G3974" s="3">
        <f t="shared" si="186"/>
        <v>206</v>
      </c>
      <c r="H3974" s="4">
        <f t="shared" si="187"/>
        <v>3.2293462925223393E-2</v>
      </c>
      <c r="I3974" s="1">
        <f t="shared" si="188"/>
        <v>23</v>
      </c>
    </row>
    <row r="3975" spans="1:9" hidden="1" x14ac:dyDescent="0.2">
      <c r="A3975" s="6">
        <v>43930.708333333336</v>
      </c>
      <c r="B3975" s="1" t="s">
        <v>22</v>
      </c>
      <c r="C3975">
        <v>1038</v>
      </c>
      <c r="D3975">
        <v>256</v>
      </c>
      <c r="E3975">
        <v>408</v>
      </c>
      <c r="F3975">
        <v>6552</v>
      </c>
      <c r="G3975" s="3">
        <f t="shared" si="186"/>
        <v>173</v>
      </c>
      <c r="H3975" s="4">
        <f t="shared" si="187"/>
        <v>2.6404151404151421E-2</v>
      </c>
      <c r="I3975" s="1">
        <f t="shared" si="188"/>
        <v>16</v>
      </c>
    </row>
    <row r="3976" spans="1:9" hidden="1" x14ac:dyDescent="0.2">
      <c r="A3976" s="6">
        <v>43931.708333333336</v>
      </c>
      <c r="B3976" s="1" t="s">
        <v>22</v>
      </c>
      <c r="C3976">
        <v>1011</v>
      </c>
      <c r="D3976">
        <v>256</v>
      </c>
      <c r="E3976">
        <v>454</v>
      </c>
      <c r="F3976">
        <v>6727</v>
      </c>
      <c r="G3976" s="3">
        <f t="shared" si="186"/>
        <v>175</v>
      </c>
      <c r="H3976" s="4">
        <f t="shared" si="187"/>
        <v>2.6014568158168605E-2</v>
      </c>
      <c r="I3976" s="1">
        <f t="shared" si="188"/>
        <v>46</v>
      </c>
    </row>
    <row r="3977" spans="1:9" hidden="1" x14ac:dyDescent="0.2">
      <c r="A3977" s="6">
        <v>43932.708333333336</v>
      </c>
      <c r="B3977" s="1" t="s">
        <v>22</v>
      </c>
      <c r="C3977">
        <v>997</v>
      </c>
      <c r="D3977">
        <v>237</v>
      </c>
      <c r="E3977">
        <v>467</v>
      </c>
      <c r="F3977">
        <v>6958</v>
      </c>
      <c r="G3977" s="3">
        <f t="shared" si="186"/>
        <v>231</v>
      </c>
      <c r="H3977" s="4">
        <f t="shared" si="187"/>
        <v>3.3199195171026208E-2</v>
      </c>
      <c r="I3977" s="1">
        <f t="shared" si="188"/>
        <v>13</v>
      </c>
    </row>
    <row r="3978" spans="1:9" hidden="1" x14ac:dyDescent="0.2">
      <c r="A3978" s="6">
        <v>43933.708333333336</v>
      </c>
      <c r="B3978" s="1" t="s">
        <v>22</v>
      </c>
      <c r="C3978">
        <v>983</v>
      </c>
      <c r="D3978">
        <v>238</v>
      </c>
      <c r="E3978">
        <v>495</v>
      </c>
      <c r="F3978">
        <v>7235</v>
      </c>
      <c r="G3978" s="3">
        <f t="shared" si="186"/>
        <v>277</v>
      </c>
      <c r="H3978" s="4">
        <f t="shared" si="187"/>
        <v>3.8286109191430495E-2</v>
      </c>
      <c r="I3978" s="1">
        <f t="shared" si="188"/>
        <v>28</v>
      </c>
    </row>
    <row r="3979" spans="1:9" hidden="1" x14ac:dyDescent="0.2">
      <c r="A3979" s="6">
        <v>43934.708333333336</v>
      </c>
      <c r="B3979" s="1" t="s">
        <v>22</v>
      </c>
      <c r="C3979">
        <v>992</v>
      </c>
      <c r="D3979">
        <v>225</v>
      </c>
      <c r="E3979">
        <v>518</v>
      </c>
      <c r="F3979">
        <v>7390</v>
      </c>
      <c r="G3979" s="3">
        <f t="shared" si="186"/>
        <v>155</v>
      </c>
      <c r="H3979" s="4">
        <f t="shared" si="187"/>
        <v>2.0974289580514172E-2</v>
      </c>
      <c r="I3979" s="1">
        <f t="shared" si="188"/>
        <v>23</v>
      </c>
    </row>
    <row r="3980" spans="1:9" hidden="1" x14ac:dyDescent="0.2">
      <c r="A3980" s="6">
        <v>43935.708333333336</v>
      </c>
      <c r="B3980" s="1" t="s">
        <v>22</v>
      </c>
      <c r="C3980">
        <v>1002</v>
      </c>
      <c r="D3980">
        <v>225</v>
      </c>
      <c r="E3980">
        <v>538</v>
      </c>
      <c r="F3980">
        <v>7527</v>
      </c>
      <c r="G3980" s="3">
        <f t="shared" si="186"/>
        <v>137</v>
      </c>
      <c r="H3980" s="4">
        <f t="shared" si="187"/>
        <v>1.8201142553474159E-2</v>
      </c>
      <c r="I3980" s="1">
        <f t="shared" si="188"/>
        <v>20</v>
      </c>
    </row>
    <row r="3981" spans="1:9" hidden="1" x14ac:dyDescent="0.2">
      <c r="A3981" s="6">
        <v>43936.708333333336</v>
      </c>
      <c r="B3981" s="1" t="s">
        <v>22</v>
      </c>
      <c r="C3981">
        <v>977</v>
      </c>
      <c r="D3981">
        <v>216</v>
      </c>
      <c r="E3981">
        <v>556</v>
      </c>
      <c r="F3981">
        <v>7666</v>
      </c>
      <c r="G3981" s="3">
        <f t="shared" si="186"/>
        <v>139</v>
      </c>
      <c r="H3981" s="4">
        <f t="shared" si="187"/>
        <v>1.8132011479259025E-2</v>
      </c>
      <c r="I3981" s="1">
        <f t="shared" si="188"/>
        <v>18</v>
      </c>
    </row>
    <row r="3982" spans="1:9" hidden="1" x14ac:dyDescent="0.2">
      <c r="A3982" s="6">
        <v>43937.708333333336</v>
      </c>
      <c r="B3982" s="1" t="s">
        <v>22</v>
      </c>
      <c r="C3982">
        <v>940</v>
      </c>
      <c r="D3982">
        <v>213</v>
      </c>
      <c r="E3982">
        <v>585</v>
      </c>
      <c r="F3982">
        <v>7943</v>
      </c>
      <c r="G3982" s="3">
        <f t="shared" si="186"/>
        <v>277</v>
      </c>
      <c r="H3982" s="4">
        <f t="shared" si="187"/>
        <v>3.4873473498678087E-2</v>
      </c>
      <c r="I3982" s="1">
        <f t="shared" si="188"/>
        <v>29</v>
      </c>
    </row>
    <row r="3983" spans="1:9" hidden="1" x14ac:dyDescent="0.2">
      <c r="A3983" s="6">
        <v>43938.708333333336</v>
      </c>
      <c r="B3983" s="1" t="s">
        <v>22</v>
      </c>
      <c r="C3983">
        <v>898</v>
      </c>
      <c r="D3983">
        <v>207</v>
      </c>
      <c r="E3983">
        <v>602</v>
      </c>
      <c r="F3983">
        <v>8110</v>
      </c>
      <c r="G3983" s="3">
        <f t="shared" si="186"/>
        <v>167</v>
      </c>
      <c r="H3983" s="4">
        <f t="shared" si="187"/>
        <v>2.0591861898890285E-2</v>
      </c>
      <c r="I3983" s="1">
        <f t="shared" si="188"/>
        <v>17</v>
      </c>
    </row>
    <row r="3984" spans="1:9" hidden="1" x14ac:dyDescent="0.2">
      <c r="A3984" s="6">
        <v>43939.708333333336</v>
      </c>
      <c r="B3984" s="1" t="s">
        <v>22</v>
      </c>
      <c r="C3984">
        <v>883</v>
      </c>
      <c r="D3984">
        <v>198</v>
      </c>
      <c r="E3984">
        <v>618</v>
      </c>
      <c r="F3984">
        <v>8237</v>
      </c>
      <c r="G3984" s="3">
        <f t="shared" si="186"/>
        <v>127</v>
      </c>
      <c r="H3984" s="4">
        <f t="shared" si="187"/>
        <v>1.5418234794221219E-2</v>
      </c>
      <c r="I3984" s="1">
        <f t="shared" si="188"/>
        <v>16</v>
      </c>
    </row>
    <row r="3985" spans="1:9" hidden="1" x14ac:dyDescent="0.2">
      <c r="A3985" s="6">
        <v>43940.708333333336</v>
      </c>
      <c r="B3985" s="1" t="s">
        <v>22</v>
      </c>
      <c r="C3985">
        <v>852</v>
      </c>
      <c r="D3985">
        <v>192</v>
      </c>
      <c r="E3985">
        <v>637</v>
      </c>
      <c r="F3985">
        <v>8372</v>
      </c>
      <c r="G3985" s="3">
        <f t="shared" si="186"/>
        <v>135</v>
      </c>
      <c r="H3985" s="4">
        <f t="shared" si="187"/>
        <v>1.6125179168657411E-2</v>
      </c>
      <c r="I3985" s="1">
        <f t="shared" si="188"/>
        <v>19</v>
      </c>
    </row>
    <row r="3986" spans="1:9" hidden="1" x14ac:dyDescent="0.2">
      <c r="A3986" s="6">
        <v>43941.708333333336</v>
      </c>
      <c r="B3986" s="1" t="s">
        <v>22</v>
      </c>
      <c r="C3986">
        <v>850</v>
      </c>
      <c r="D3986">
        <v>182</v>
      </c>
      <c r="E3986">
        <v>667</v>
      </c>
      <c r="F3986">
        <v>8507</v>
      </c>
      <c r="G3986" s="3">
        <f t="shared" si="186"/>
        <v>135</v>
      </c>
      <c r="H3986" s="4">
        <f t="shared" si="187"/>
        <v>1.5869284118960825E-2</v>
      </c>
      <c r="I3986" s="1">
        <f t="shared" si="188"/>
        <v>30</v>
      </c>
    </row>
    <row r="3987" spans="1:9" hidden="1" x14ac:dyDescent="0.2">
      <c r="A3987" s="6">
        <v>43942.708333333336</v>
      </c>
      <c r="B3987" s="1" t="s">
        <v>22</v>
      </c>
      <c r="C3987">
        <v>833</v>
      </c>
      <c r="D3987">
        <v>171</v>
      </c>
      <c r="E3987">
        <v>686</v>
      </c>
      <c r="F3987">
        <v>8603</v>
      </c>
      <c r="G3987" s="3">
        <f t="shared" si="186"/>
        <v>96</v>
      </c>
      <c r="H3987" s="4">
        <f t="shared" si="187"/>
        <v>1.1158898058816646E-2</v>
      </c>
      <c r="I3987" s="1">
        <f t="shared" si="188"/>
        <v>19</v>
      </c>
    </row>
    <row r="3988" spans="1:9" hidden="1" x14ac:dyDescent="0.2">
      <c r="A3988" s="6">
        <v>43943.708333333336</v>
      </c>
      <c r="B3988" s="1" t="s">
        <v>22</v>
      </c>
      <c r="C3988">
        <v>820</v>
      </c>
      <c r="D3988">
        <v>174</v>
      </c>
      <c r="E3988">
        <v>705</v>
      </c>
      <c r="F3988">
        <v>8700</v>
      </c>
      <c r="G3988" s="3">
        <f t="shared" si="186"/>
        <v>97</v>
      </c>
      <c r="H3988" s="4">
        <f t="shared" si="187"/>
        <v>1.1149425287356296E-2</v>
      </c>
      <c r="I3988" s="1">
        <f t="shared" si="188"/>
        <v>19</v>
      </c>
    </row>
    <row r="3989" spans="1:9" hidden="1" x14ac:dyDescent="0.2">
      <c r="A3989" s="6">
        <v>43944.708333333336</v>
      </c>
      <c r="B3989" s="1" t="s">
        <v>22</v>
      </c>
      <c r="C3989">
        <v>791</v>
      </c>
      <c r="D3989">
        <v>168</v>
      </c>
      <c r="E3989">
        <v>723</v>
      </c>
      <c r="F3989">
        <v>8780</v>
      </c>
      <c r="G3989" s="3">
        <f t="shared" si="186"/>
        <v>80</v>
      </c>
      <c r="H3989" s="4">
        <f t="shared" si="187"/>
        <v>9.1116173120728838E-3</v>
      </c>
      <c r="I3989" s="1">
        <f t="shared" si="188"/>
        <v>18</v>
      </c>
    </row>
    <row r="3990" spans="1:9" hidden="1" x14ac:dyDescent="0.2">
      <c r="A3990" s="6">
        <v>43945.708333333336</v>
      </c>
      <c r="B3990" s="1" t="s">
        <v>22</v>
      </c>
      <c r="C3990">
        <v>738</v>
      </c>
      <c r="D3990">
        <v>159</v>
      </c>
      <c r="E3990">
        <v>742</v>
      </c>
      <c r="F3990">
        <v>8877</v>
      </c>
      <c r="G3990" s="3">
        <f t="shared" si="186"/>
        <v>97</v>
      </c>
      <c r="H3990" s="4">
        <f t="shared" si="187"/>
        <v>1.0927115016334366E-2</v>
      </c>
      <c r="I3990" s="1">
        <f t="shared" si="188"/>
        <v>19</v>
      </c>
    </row>
    <row r="3991" spans="1:9" hidden="1" x14ac:dyDescent="0.2">
      <c r="A3991" s="6">
        <v>43946.708333333336</v>
      </c>
      <c r="B3991" s="1" t="s">
        <v>22</v>
      </c>
      <c r="C3991">
        <v>687</v>
      </c>
      <c r="D3991">
        <v>166</v>
      </c>
      <c r="E3991">
        <v>760</v>
      </c>
      <c r="F3991">
        <v>9015</v>
      </c>
      <c r="G3991" s="3">
        <f t="shared" si="186"/>
        <v>138</v>
      </c>
      <c r="H3991" s="4">
        <f t="shared" si="187"/>
        <v>1.5307820299500841E-2</v>
      </c>
      <c r="I3991" s="1">
        <f t="shared" si="188"/>
        <v>18</v>
      </c>
    </row>
    <row r="3992" spans="1:9" hidden="1" x14ac:dyDescent="0.2">
      <c r="A3992" s="6">
        <v>43947.708333333336</v>
      </c>
      <c r="B3992" s="1" t="s">
        <v>22</v>
      </c>
      <c r="C3992">
        <v>677</v>
      </c>
      <c r="D3992">
        <v>158</v>
      </c>
      <c r="E3992">
        <v>778</v>
      </c>
      <c r="F3992">
        <v>9147</v>
      </c>
      <c r="G3992" s="3">
        <f t="shared" si="186"/>
        <v>132</v>
      </c>
      <c r="H3992" s="4">
        <f t="shared" si="187"/>
        <v>1.4430960970810092E-2</v>
      </c>
      <c r="I3992" s="1">
        <f t="shared" si="188"/>
        <v>18</v>
      </c>
    </row>
    <row r="3993" spans="1:9" hidden="1" x14ac:dyDescent="0.2">
      <c r="A3993" s="6">
        <v>43948.708333333336</v>
      </c>
      <c r="B3993" s="1" t="s">
        <v>22</v>
      </c>
      <c r="C3993">
        <v>671</v>
      </c>
      <c r="D3993">
        <v>154</v>
      </c>
      <c r="E3993">
        <v>795</v>
      </c>
      <c r="F3993">
        <v>9179</v>
      </c>
      <c r="G3993" s="3">
        <f t="shared" si="186"/>
        <v>32</v>
      </c>
      <c r="H3993" s="4">
        <f t="shared" si="187"/>
        <v>3.4862185423248926E-3</v>
      </c>
      <c r="I3993" s="1">
        <f t="shared" si="188"/>
        <v>17</v>
      </c>
    </row>
    <row r="3994" spans="1:9" hidden="1" x14ac:dyDescent="0.2">
      <c r="A3994" s="6">
        <v>43949.708333333336</v>
      </c>
      <c r="B3994" s="1" t="s">
        <v>22</v>
      </c>
      <c r="C3994">
        <v>619</v>
      </c>
      <c r="D3994">
        <v>144</v>
      </c>
      <c r="E3994">
        <v>811</v>
      </c>
      <c r="F3994">
        <v>9231</v>
      </c>
      <c r="G3994" s="3">
        <f t="shared" si="186"/>
        <v>52</v>
      </c>
      <c r="H3994" s="4">
        <f t="shared" si="187"/>
        <v>5.6331925035207897E-3</v>
      </c>
      <c r="I3994" s="1">
        <f t="shared" si="188"/>
        <v>16</v>
      </c>
    </row>
    <row r="3995" spans="1:9" hidden="1" x14ac:dyDescent="0.2">
      <c r="A3995" s="6">
        <v>43950.708333333336</v>
      </c>
      <c r="B3995" s="1" t="s">
        <v>22</v>
      </c>
      <c r="C3995">
        <v>576</v>
      </c>
      <c r="D3995">
        <v>139</v>
      </c>
      <c r="E3995">
        <v>827</v>
      </c>
      <c r="F3995">
        <v>9292</v>
      </c>
      <c r="G3995" s="3">
        <f t="shared" si="186"/>
        <v>61</v>
      </c>
      <c r="H3995" s="4">
        <f t="shared" si="187"/>
        <v>6.5647869134739523E-3</v>
      </c>
      <c r="I3995" s="1">
        <f t="shared" si="188"/>
        <v>16</v>
      </c>
    </row>
    <row r="3996" spans="1:9" hidden="1" x14ac:dyDescent="0.2">
      <c r="A3996" s="6">
        <v>43951.708333333336</v>
      </c>
      <c r="B3996" s="1" t="s">
        <v>22</v>
      </c>
      <c r="C3996">
        <v>546</v>
      </c>
      <c r="D3996">
        <v>126</v>
      </c>
      <c r="E3996">
        <v>842</v>
      </c>
      <c r="F3996">
        <v>9352</v>
      </c>
      <c r="G3996" s="3">
        <f t="shared" si="186"/>
        <v>60</v>
      </c>
      <c r="H3996" s="4">
        <f t="shared" si="187"/>
        <v>6.4157399486740596E-3</v>
      </c>
      <c r="I3996" s="1">
        <f t="shared" si="188"/>
        <v>15</v>
      </c>
    </row>
    <row r="3997" spans="1:9" hidden="1" x14ac:dyDescent="0.2">
      <c r="A3997" s="6">
        <v>43952.708333333336</v>
      </c>
      <c r="B3997" s="1" t="s">
        <v>22</v>
      </c>
      <c r="C3997">
        <v>520</v>
      </c>
      <c r="D3997">
        <v>124</v>
      </c>
      <c r="E3997">
        <v>854</v>
      </c>
      <c r="F3997">
        <v>9445</v>
      </c>
      <c r="G3997" s="3">
        <f t="shared" si="186"/>
        <v>93</v>
      </c>
      <c r="H3997" s="4">
        <f t="shared" si="187"/>
        <v>9.8464796188459935E-3</v>
      </c>
      <c r="I3997" s="1">
        <f t="shared" si="188"/>
        <v>12</v>
      </c>
    </row>
    <row r="3998" spans="1:9" hidden="1" x14ac:dyDescent="0.2">
      <c r="A3998" s="6">
        <v>43953.708333333336</v>
      </c>
      <c r="B3998" s="1" t="s">
        <v>22</v>
      </c>
      <c r="C3998">
        <v>519</v>
      </c>
      <c r="D3998">
        <v>118</v>
      </c>
      <c r="E3998">
        <v>863</v>
      </c>
      <c r="F3998">
        <v>9525</v>
      </c>
      <c r="G3998" s="3">
        <f t="shared" si="186"/>
        <v>80</v>
      </c>
      <c r="H3998" s="4">
        <f t="shared" si="187"/>
        <v>8.3989501312335957E-3</v>
      </c>
      <c r="I3998" s="1">
        <f t="shared" si="188"/>
        <v>9</v>
      </c>
    </row>
    <row r="3999" spans="1:9" hidden="1" x14ac:dyDescent="0.2">
      <c r="A3999" s="6">
        <v>43954.708333333336</v>
      </c>
      <c r="B3999" s="1" t="s">
        <v>22</v>
      </c>
      <c r="C3999">
        <v>513</v>
      </c>
      <c r="D3999">
        <v>112</v>
      </c>
      <c r="E3999">
        <v>872</v>
      </c>
      <c r="F3999">
        <v>9563</v>
      </c>
      <c r="G3999" s="3">
        <f t="shared" si="186"/>
        <v>38</v>
      </c>
      <c r="H3999" s="4">
        <f t="shared" si="187"/>
        <v>3.9736484366830194E-3</v>
      </c>
      <c r="I3999" s="1">
        <f t="shared" si="188"/>
        <v>9</v>
      </c>
    </row>
    <row r="4000" spans="1:9" hidden="1" x14ac:dyDescent="0.2">
      <c r="A4000" s="6">
        <v>43955.708333333336</v>
      </c>
      <c r="B4000" s="1" t="s">
        <v>22</v>
      </c>
      <c r="C4000">
        <v>512</v>
      </c>
      <c r="D4000">
        <v>107</v>
      </c>
      <c r="E4000">
        <v>881</v>
      </c>
      <c r="F4000">
        <v>9601</v>
      </c>
      <c r="G4000" s="3">
        <f t="shared" si="186"/>
        <v>38</v>
      </c>
      <c r="H4000" s="4">
        <f t="shared" si="187"/>
        <v>3.9579210498906781E-3</v>
      </c>
      <c r="I4000" s="1">
        <f t="shared" si="188"/>
        <v>9</v>
      </c>
    </row>
    <row r="4001" spans="1:9" hidden="1" x14ac:dyDescent="0.2">
      <c r="A4001" s="6">
        <v>43956.708333333336</v>
      </c>
      <c r="B4001" s="1" t="s">
        <v>22</v>
      </c>
      <c r="C4001">
        <v>484</v>
      </c>
      <c r="D4001">
        <v>111</v>
      </c>
      <c r="E4001">
        <v>889</v>
      </c>
      <c r="F4001">
        <v>9631</v>
      </c>
      <c r="G4001" s="3">
        <f t="shared" si="186"/>
        <v>30</v>
      </c>
      <c r="H4001" s="4">
        <f t="shared" si="187"/>
        <v>3.1149413352715705E-3</v>
      </c>
      <c r="I4001" s="1">
        <f t="shared" si="188"/>
        <v>8</v>
      </c>
    </row>
    <row r="4002" spans="1:9" hidden="1" x14ac:dyDescent="0.2">
      <c r="A4002" s="6">
        <v>43957.708333333336</v>
      </c>
      <c r="B4002" s="1" t="s">
        <v>22</v>
      </c>
      <c r="C4002">
        <v>462</v>
      </c>
      <c r="D4002">
        <v>92</v>
      </c>
      <c r="E4002">
        <v>899</v>
      </c>
      <c r="F4002">
        <v>9657</v>
      </c>
      <c r="G4002" s="3">
        <f t="shared" si="186"/>
        <v>26</v>
      </c>
      <c r="H4002" s="4">
        <f t="shared" si="187"/>
        <v>2.6923475199337465E-3</v>
      </c>
      <c r="I4002" s="1">
        <f t="shared" si="188"/>
        <v>10</v>
      </c>
    </row>
    <row r="4003" spans="1:9" hidden="1" x14ac:dyDescent="0.2">
      <c r="A4003" s="6">
        <v>43958.708333333336</v>
      </c>
      <c r="B4003" s="1" t="s">
        <v>22</v>
      </c>
      <c r="C4003">
        <v>437</v>
      </c>
      <c r="D4003">
        <v>91</v>
      </c>
      <c r="E4003">
        <v>915</v>
      </c>
      <c r="F4003">
        <v>9683</v>
      </c>
      <c r="G4003" s="3">
        <f t="shared" si="186"/>
        <v>26</v>
      </c>
      <c r="H4003" s="4">
        <f t="shared" si="187"/>
        <v>2.6851182484767255E-3</v>
      </c>
      <c r="I4003" s="1">
        <f t="shared" si="188"/>
        <v>16</v>
      </c>
    </row>
    <row r="4004" spans="1:9" hidden="1" x14ac:dyDescent="0.2">
      <c r="A4004" s="6">
        <v>43959.708333333336</v>
      </c>
      <c r="B4004" s="1" t="s">
        <v>22</v>
      </c>
      <c r="C4004">
        <v>399</v>
      </c>
      <c r="D4004">
        <v>84</v>
      </c>
      <c r="E4004">
        <v>930</v>
      </c>
      <c r="F4004">
        <v>9721</v>
      </c>
      <c r="G4004" s="3">
        <f t="shared" si="186"/>
        <v>38</v>
      </c>
      <c r="H4004" s="4">
        <f t="shared" si="187"/>
        <v>3.9090628536159189E-3</v>
      </c>
      <c r="I4004" s="1">
        <f t="shared" si="188"/>
        <v>15</v>
      </c>
    </row>
    <row r="4005" spans="1:9" hidden="1" x14ac:dyDescent="0.2">
      <c r="A4005" s="6">
        <v>43960.708333333336</v>
      </c>
      <c r="B4005" s="1" t="s">
        <v>22</v>
      </c>
      <c r="C4005">
        <v>364</v>
      </c>
      <c r="D4005">
        <v>79</v>
      </c>
      <c r="E4005">
        <v>937</v>
      </c>
      <c r="F4005">
        <v>9745</v>
      </c>
      <c r="G4005" s="3">
        <f t="shared" si="186"/>
        <v>24</v>
      </c>
      <c r="H4005" s="4">
        <f t="shared" si="187"/>
        <v>2.4628014366341322E-3</v>
      </c>
      <c r="I4005" s="1">
        <f t="shared" si="188"/>
        <v>7</v>
      </c>
    </row>
    <row r="4006" spans="1:9" hidden="1" x14ac:dyDescent="0.2">
      <c r="A4006" s="6">
        <v>43961.708333333336</v>
      </c>
      <c r="B4006" s="1" t="s">
        <v>22</v>
      </c>
      <c r="C4006">
        <v>350</v>
      </c>
      <c r="D4006">
        <v>78</v>
      </c>
      <c r="E4006">
        <v>942</v>
      </c>
      <c r="F4006">
        <v>9774</v>
      </c>
      <c r="G4006" s="3">
        <f t="shared" si="186"/>
        <v>29</v>
      </c>
      <c r="H4006" s="4">
        <f t="shared" si="187"/>
        <v>2.9670554532432725E-3</v>
      </c>
      <c r="I4006" s="1">
        <f t="shared" si="188"/>
        <v>5</v>
      </c>
    </row>
    <row r="4007" spans="1:9" hidden="1" x14ac:dyDescent="0.2">
      <c r="A4007" s="6">
        <v>43962.708333333336</v>
      </c>
      <c r="B4007" s="1" t="s">
        <v>22</v>
      </c>
      <c r="C4007">
        <v>347</v>
      </c>
      <c r="D4007">
        <v>77</v>
      </c>
      <c r="E4007">
        <v>950</v>
      </c>
      <c r="F4007">
        <v>9787</v>
      </c>
      <c r="G4007" s="3">
        <f t="shared" si="186"/>
        <v>13</v>
      </c>
      <c r="H4007" s="4">
        <f t="shared" si="187"/>
        <v>1.328292633084649E-3</v>
      </c>
      <c r="I4007" s="1">
        <f t="shared" si="188"/>
        <v>8</v>
      </c>
    </row>
    <row r="4008" spans="1:9" hidden="1" x14ac:dyDescent="0.2">
      <c r="A4008" s="6">
        <v>43963.708333333336</v>
      </c>
      <c r="B4008" s="1" t="s">
        <v>22</v>
      </c>
      <c r="C4008">
        <v>307</v>
      </c>
      <c r="D4008">
        <v>72</v>
      </c>
      <c r="E4008">
        <v>959</v>
      </c>
      <c r="F4008">
        <v>9802</v>
      </c>
      <c r="G4008" s="3">
        <f t="shared" si="186"/>
        <v>15</v>
      </c>
      <c r="H4008" s="4">
        <f t="shared" si="187"/>
        <v>1.530299938787949E-3</v>
      </c>
      <c r="I4008" s="1">
        <f t="shared" si="188"/>
        <v>9</v>
      </c>
    </row>
    <row r="4009" spans="1:9" hidden="1" x14ac:dyDescent="0.2">
      <c r="A4009" s="6">
        <v>43964.708333333336</v>
      </c>
      <c r="B4009" s="1" t="s">
        <v>22</v>
      </c>
      <c r="C4009">
        <v>284</v>
      </c>
      <c r="D4009">
        <v>72</v>
      </c>
      <c r="E4009">
        <v>964</v>
      </c>
      <c r="F4009">
        <v>9829</v>
      </c>
      <c r="G4009" s="3">
        <f t="shared" si="186"/>
        <v>27</v>
      </c>
      <c r="H4009" s="4">
        <f t="shared" si="187"/>
        <v>2.7469732424457716E-3</v>
      </c>
      <c r="I4009" s="1">
        <f t="shared" si="188"/>
        <v>5</v>
      </c>
    </row>
    <row r="4010" spans="1:9" hidden="1" x14ac:dyDescent="0.2">
      <c r="A4010" s="6">
        <v>43965.708333333336</v>
      </c>
      <c r="B4010" s="1" t="s">
        <v>22</v>
      </c>
      <c r="C4010">
        <v>269</v>
      </c>
      <c r="D4010">
        <v>68</v>
      </c>
      <c r="E4010">
        <v>973</v>
      </c>
      <c r="F4010">
        <v>9859</v>
      </c>
      <c r="G4010" s="3">
        <f t="shared" si="186"/>
        <v>30</v>
      </c>
      <c r="H4010" s="4">
        <f t="shared" si="187"/>
        <v>3.0429049599350888E-3</v>
      </c>
      <c r="I4010" s="1">
        <f t="shared" si="188"/>
        <v>9</v>
      </c>
    </row>
    <row r="4011" spans="1:9" hidden="1" x14ac:dyDescent="0.2">
      <c r="A4011" s="6">
        <v>43966.708333333336</v>
      </c>
      <c r="B4011" s="1" t="s">
        <v>22</v>
      </c>
      <c r="C4011">
        <v>238</v>
      </c>
      <c r="D4011">
        <v>67</v>
      </c>
      <c r="E4011">
        <v>976</v>
      </c>
      <c r="F4011">
        <v>9883</v>
      </c>
      <c r="G4011" s="3">
        <f t="shared" si="186"/>
        <v>24</v>
      </c>
      <c r="H4011" s="4">
        <f t="shared" si="187"/>
        <v>2.4284124253769468E-3</v>
      </c>
      <c r="I4011" s="1">
        <f t="shared" si="188"/>
        <v>3</v>
      </c>
    </row>
    <row r="4012" spans="1:9" hidden="1" x14ac:dyDescent="0.2">
      <c r="A4012" s="6">
        <v>43967.708333333336</v>
      </c>
      <c r="B4012" s="1" t="s">
        <v>22</v>
      </c>
      <c r="C4012">
        <v>234</v>
      </c>
      <c r="D4012">
        <v>66</v>
      </c>
      <c r="E4012">
        <v>979</v>
      </c>
      <c r="F4012">
        <v>9913</v>
      </c>
      <c r="G4012" s="3">
        <f t="shared" si="186"/>
        <v>30</v>
      </c>
      <c r="H4012" s="4">
        <f t="shared" si="187"/>
        <v>3.0263290628467221E-3</v>
      </c>
      <c r="I4012" s="1">
        <f t="shared" si="188"/>
        <v>3</v>
      </c>
    </row>
    <row r="4013" spans="1:9" hidden="1" x14ac:dyDescent="0.2">
      <c r="A4013" s="6">
        <v>43968.708333333336</v>
      </c>
      <c r="B4013" s="1" t="s">
        <v>22</v>
      </c>
      <c r="C4013">
        <v>214</v>
      </c>
      <c r="D4013">
        <v>67</v>
      </c>
      <c r="E4013">
        <v>984</v>
      </c>
      <c r="F4013">
        <v>9948</v>
      </c>
      <c r="G4013" s="3">
        <f t="shared" si="186"/>
        <v>35</v>
      </c>
      <c r="H4013" s="4">
        <f t="shared" si="187"/>
        <v>3.5182951347004776E-3</v>
      </c>
      <c r="I4013" s="1">
        <f t="shared" si="188"/>
        <v>5</v>
      </c>
    </row>
    <row r="4014" spans="1:9" hidden="1" x14ac:dyDescent="0.2">
      <c r="A4014" s="6">
        <v>43969.708333333336</v>
      </c>
      <c r="B4014" s="1" t="s">
        <v>22</v>
      </c>
      <c r="C4014">
        <v>197</v>
      </c>
      <c r="D4014">
        <v>66</v>
      </c>
      <c r="E4014">
        <v>989</v>
      </c>
      <c r="F4014">
        <v>9961</v>
      </c>
      <c r="G4014" s="3">
        <f t="shared" si="186"/>
        <v>13</v>
      </c>
      <c r="H4014" s="4">
        <f t="shared" si="187"/>
        <v>1.305089850416663E-3</v>
      </c>
      <c r="I4014" s="1">
        <f t="shared" si="188"/>
        <v>5</v>
      </c>
    </row>
    <row r="4015" spans="1:9" hidden="1" x14ac:dyDescent="0.2">
      <c r="A4015" s="6">
        <v>43970.708333333336</v>
      </c>
      <c r="B4015" s="1" t="s">
        <v>22</v>
      </c>
      <c r="C4015">
        <v>190</v>
      </c>
      <c r="D4015">
        <v>56</v>
      </c>
      <c r="E4015">
        <v>992</v>
      </c>
      <c r="F4015">
        <v>9968</v>
      </c>
      <c r="G4015" s="3">
        <f t="shared" si="186"/>
        <v>7</v>
      </c>
      <c r="H4015" s="4">
        <f t="shared" si="187"/>
        <v>7.0224719101119604E-4</v>
      </c>
      <c r="I4015" s="1">
        <f t="shared" si="188"/>
        <v>3</v>
      </c>
    </row>
    <row r="4016" spans="1:9" hidden="1" x14ac:dyDescent="0.2">
      <c r="A4016" s="6">
        <v>43971.708333333336</v>
      </c>
      <c r="B4016" s="1" t="s">
        <v>22</v>
      </c>
      <c r="C4016">
        <v>178</v>
      </c>
      <c r="D4016">
        <v>45</v>
      </c>
      <c r="E4016">
        <v>998</v>
      </c>
      <c r="F4016">
        <v>9982</v>
      </c>
      <c r="G4016" s="3">
        <f t="shared" si="186"/>
        <v>14</v>
      </c>
      <c r="H4016" s="4">
        <f t="shared" si="187"/>
        <v>1.4025245441795509E-3</v>
      </c>
      <c r="I4016" s="1">
        <f t="shared" si="188"/>
        <v>6</v>
      </c>
    </row>
    <row r="4017" spans="1:9" hidden="1" x14ac:dyDescent="0.2">
      <c r="A4017" s="6">
        <v>43972.708333333336</v>
      </c>
      <c r="B4017" s="1" t="s">
        <v>22</v>
      </c>
      <c r="C4017">
        <v>169</v>
      </c>
      <c r="D4017">
        <v>41</v>
      </c>
      <c r="E4017">
        <v>1004</v>
      </c>
      <c r="F4017">
        <v>10000</v>
      </c>
      <c r="G4017" s="3">
        <f t="shared" si="186"/>
        <v>18</v>
      </c>
      <c r="H4017" s="4">
        <f t="shared" si="187"/>
        <v>1.8000000000000238E-3</v>
      </c>
      <c r="I4017" s="1">
        <f t="shared" si="188"/>
        <v>6</v>
      </c>
    </row>
    <row r="4018" spans="1:9" hidden="1" x14ac:dyDescent="0.2">
      <c r="A4018" s="6">
        <v>43973.708333333336</v>
      </c>
      <c r="B4018" s="1" t="s">
        <v>22</v>
      </c>
      <c r="C4018">
        <v>162</v>
      </c>
      <c r="D4018">
        <v>42</v>
      </c>
      <c r="E4018">
        <v>1009</v>
      </c>
      <c r="F4018">
        <v>10035</v>
      </c>
      <c r="G4018" s="3">
        <f t="shared" si="186"/>
        <v>35</v>
      </c>
      <c r="H4018" s="4">
        <f t="shared" si="187"/>
        <v>3.4877927254608476E-3</v>
      </c>
      <c r="I4018" s="1">
        <f t="shared" si="188"/>
        <v>5</v>
      </c>
    </row>
    <row r="4019" spans="1:9" hidden="1" x14ac:dyDescent="0.2">
      <c r="A4019" s="6">
        <v>43974.708333333336</v>
      </c>
      <c r="B4019" s="1" t="s">
        <v>22</v>
      </c>
      <c r="C4019">
        <v>157</v>
      </c>
      <c r="D4019">
        <v>40</v>
      </c>
      <c r="E4019">
        <v>1011</v>
      </c>
      <c r="F4019">
        <v>10047</v>
      </c>
      <c r="G4019" s="3">
        <f t="shared" si="186"/>
        <v>12</v>
      </c>
      <c r="H4019" s="4">
        <f t="shared" si="187"/>
        <v>1.1943863839952717E-3</v>
      </c>
      <c r="I4019" s="1">
        <f t="shared" si="188"/>
        <v>2</v>
      </c>
    </row>
    <row r="4020" spans="1:9" hidden="1" x14ac:dyDescent="0.2">
      <c r="A4020" s="6">
        <v>43975.708333333336</v>
      </c>
      <c r="B4020" s="1" t="s">
        <v>22</v>
      </c>
      <c r="C4020">
        <v>148</v>
      </c>
      <c r="D4020">
        <v>38</v>
      </c>
      <c r="E4020">
        <v>1013</v>
      </c>
      <c r="F4020">
        <v>10062</v>
      </c>
      <c r="G4020" s="3">
        <f t="shared" si="186"/>
        <v>15</v>
      </c>
      <c r="H4020" s="4">
        <f t="shared" si="187"/>
        <v>1.4907573047108214E-3</v>
      </c>
      <c r="I4020" s="1">
        <f t="shared" si="188"/>
        <v>2</v>
      </c>
    </row>
    <row r="4021" spans="1:9" hidden="1" x14ac:dyDescent="0.2">
      <c r="A4021" s="6">
        <v>43976.708333333336</v>
      </c>
      <c r="B4021" s="1" t="s">
        <v>22</v>
      </c>
      <c r="C4021">
        <v>152</v>
      </c>
      <c r="D4021">
        <v>37</v>
      </c>
      <c r="E4021">
        <v>1015</v>
      </c>
      <c r="F4021">
        <v>10067</v>
      </c>
      <c r="G4021" s="3">
        <f t="shared" si="186"/>
        <v>5</v>
      </c>
      <c r="H4021" s="4">
        <f t="shared" si="187"/>
        <v>4.9667229561933812E-4</v>
      </c>
      <c r="I4021" s="1">
        <f t="shared" si="188"/>
        <v>2</v>
      </c>
    </row>
    <row r="4022" spans="1:9" hidden="1" x14ac:dyDescent="0.2">
      <c r="A4022" s="6">
        <v>43977.708333333336</v>
      </c>
      <c r="B4022" s="1" t="s">
        <v>22</v>
      </c>
      <c r="C4022">
        <v>145</v>
      </c>
      <c r="D4022">
        <v>34</v>
      </c>
      <c r="E4022">
        <v>1021</v>
      </c>
      <c r="F4022">
        <v>10070</v>
      </c>
      <c r="G4022" s="3">
        <f t="shared" si="186"/>
        <v>3</v>
      </c>
      <c r="H4022" s="4">
        <f t="shared" si="187"/>
        <v>2.9791459781525198E-4</v>
      </c>
      <c r="I4022" s="1">
        <f t="shared" si="188"/>
        <v>6</v>
      </c>
    </row>
    <row r="4023" spans="1:9" hidden="1" x14ac:dyDescent="0.2">
      <c r="A4023" s="6">
        <v>43978.708333333336</v>
      </c>
      <c r="B4023" s="1" t="s">
        <v>22</v>
      </c>
      <c r="C4023">
        <v>132</v>
      </c>
      <c r="D4023">
        <v>31</v>
      </c>
      <c r="E4023">
        <v>1027</v>
      </c>
      <c r="F4023">
        <v>10082</v>
      </c>
      <c r="G4023" s="3">
        <f t="shared" si="186"/>
        <v>12</v>
      </c>
      <c r="H4023" s="4">
        <f t="shared" si="187"/>
        <v>1.190240031739731E-3</v>
      </c>
      <c r="I4023" s="1">
        <f t="shared" si="188"/>
        <v>6</v>
      </c>
    </row>
    <row r="4024" spans="1:9" hidden="1" x14ac:dyDescent="0.2">
      <c r="A4024" s="6">
        <v>43979.708333333336</v>
      </c>
      <c r="B4024" s="1" t="s">
        <v>22</v>
      </c>
      <c r="C4024">
        <v>126</v>
      </c>
      <c r="D4024">
        <v>27</v>
      </c>
      <c r="E4024">
        <v>1029</v>
      </c>
      <c r="F4024">
        <v>10086</v>
      </c>
      <c r="G4024" s="3">
        <f t="shared" si="186"/>
        <v>4</v>
      </c>
      <c r="H4024" s="4">
        <f t="shared" si="187"/>
        <v>3.9658933174702149E-4</v>
      </c>
      <c r="I4024" s="1">
        <f t="shared" si="188"/>
        <v>2</v>
      </c>
    </row>
    <row r="4025" spans="1:9" hidden="1" x14ac:dyDescent="0.2">
      <c r="A4025" s="6">
        <v>43980.708333333336</v>
      </c>
      <c r="B4025" s="1" t="s">
        <v>22</v>
      </c>
      <c r="C4025">
        <v>111</v>
      </c>
      <c r="D4025">
        <v>31</v>
      </c>
      <c r="E4025">
        <v>1031</v>
      </c>
      <c r="F4025">
        <v>10088</v>
      </c>
      <c r="G4025" s="3">
        <f t="shared" si="186"/>
        <v>2</v>
      </c>
      <c r="H4025" s="4">
        <f t="shared" si="187"/>
        <v>1.9825535289452745E-4</v>
      </c>
      <c r="I4025" s="1">
        <f t="shared" si="188"/>
        <v>2</v>
      </c>
    </row>
    <row r="4026" spans="1:9" hidden="1" x14ac:dyDescent="0.2">
      <c r="A4026" s="6">
        <v>43981.708333333336</v>
      </c>
      <c r="B4026" s="1" t="s">
        <v>22</v>
      </c>
      <c r="C4026">
        <v>106</v>
      </c>
      <c r="D4026">
        <v>27</v>
      </c>
      <c r="E4026">
        <v>1037</v>
      </c>
      <c r="F4026">
        <v>10100</v>
      </c>
      <c r="G4026" s="3">
        <f t="shared" si="186"/>
        <v>12</v>
      </c>
      <c r="H4026" s="4">
        <f t="shared" si="187"/>
        <v>1.1881188118811892E-3</v>
      </c>
      <c r="I4026" s="1">
        <f t="shared" si="188"/>
        <v>6</v>
      </c>
    </row>
    <row r="4027" spans="1:9" hidden="1" x14ac:dyDescent="0.2">
      <c r="A4027" s="6">
        <v>43982.708333333336</v>
      </c>
      <c r="B4027" s="1" t="s">
        <v>22</v>
      </c>
      <c r="C4027">
        <v>97</v>
      </c>
      <c r="D4027">
        <v>28</v>
      </c>
      <c r="E4027">
        <v>1041</v>
      </c>
      <c r="F4027">
        <v>10104</v>
      </c>
      <c r="G4027" s="3">
        <f t="shared" si="186"/>
        <v>4</v>
      </c>
      <c r="H4027" s="4">
        <f t="shared" si="187"/>
        <v>3.9588281868563335E-4</v>
      </c>
      <c r="I4027" s="1">
        <f t="shared" si="188"/>
        <v>4</v>
      </c>
    </row>
    <row r="4028" spans="1:9" hidden="1" x14ac:dyDescent="0.2">
      <c r="A4028" s="6">
        <v>43983.708333333336</v>
      </c>
      <c r="B4028" s="1" t="s">
        <v>22</v>
      </c>
      <c r="C4028">
        <v>85</v>
      </c>
      <c r="D4028">
        <v>25</v>
      </c>
      <c r="E4028">
        <v>1048</v>
      </c>
      <c r="F4028">
        <v>10107</v>
      </c>
      <c r="G4028" s="3">
        <f t="shared" si="186"/>
        <v>3</v>
      </c>
      <c r="H4028" s="4">
        <f t="shared" si="187"/>
        <v>2.9682398337782523E-4</v>
      </c>
      <c r="I4028" s="1">
        <f t="shared" si="188"/>
        <v>7</v>
      </c>
    </row>
    <row r="4029" spans="1:9" hidden="1" x14ac:dyDescent="0.2">
      <c r="A4029" s="6">
        <v>43984.708333333336</v>
      </c>
      <c r="B4029" s="1" t="s">
        <v>22</v>
      </c>
      <c r="C4029">
        <v>85</v>
      </c>
      <c r="D4029">
        <v>25</v>
      </c>
      <c r="E4029">
        <v>1053</v>
      </c>
      <c r="F4029">
        <v>10117</v>
      </c>
      <c r="G4029" s="3">
        <f t="shared" si="186"/>
        <v>10</v>
      </c>
      <c r="H4029" s="4">
        <f t="shared" si="187"/>
        <v>9.8843530690917447E-4</v>
      </c>
      <c r="I4029" s="1">
        <f t="shared" si="188"/>
        <v>5</v>
      </c>
    </row>
    <row r="4030" spans="1:9" hidden="1" x14ac:dyDescent="0.2">
      <c r="A4030" s="6">
        <v>43985.708333333336</v>
      </c>
      <c r="B4030" s="1" t="s">
        <v>22</v>
      </c>
      <c r="C4030">
        <v>76</v>
      </c>
      <c r="D4030">
        <v>25</v>
      </c>
      <c r="E4030">
        <v>1055</v>
      </c>
      <c r="F4030">
        <v>10121</v>
      </c>
      <c r="G4030" s="3">
        <f t="shared" si="186"/>
        <v>4</v>
      </c>
      <c r="H4030" s="4">
        <f t="shared" si="187"/>
        <v>3.9521786384744129E-4</v>
      </c>
      <c r="I4030" s="1">
        <f t="shared" si="188"/>
        <v>2</v>
      </c>
    </row>
    <row r="4031" spans="1:9" hidden="1" x14ac:dyDescent="0.2">
      <c r="A4031" s="6">
        <v>43986.708333333336</v>
      </c>
      <c r="B4031" s="1" t="s">
        <v>22</v>
      </c>
      <c r="C4031">
        <v>65</v>
      </c>
      <c r="D4031">
        <v>24</v>
      </c>
      <c r="E4031">
        <v>1059</v>
      </c>
      <c r="F4031">
        <v>10122</v>
      </c>
      <c r="G4031" s="3">
        <f t="shared" si="186"/>
        <v>1</v>
      </c>
      <c r="H4031" s="4">
        <f t="shared" si="187"/>
        <v>9.8794704603832884E-5</v>
      </c>
      <c r="I4031" s="1">
        <f t="shared" si="188"/>
        <v>4</v>
      </c>
    </row>
    <row r="4032" spans="1:9" hidden="1" x14ac:dyDescent="0.2">
      <c r="A4032" s="6">
        <v>43987.708333333336</v>
      </c>
      <c r="B4032" s="1" t="s">
        <v>22</v>
      </c>
      <c r="C4032">
        <v>55</v>
      </c>
      <c r="D4032">
        <v>23</v>
      </c>
      <c r="E4032">
        <v>1063</v>
      </c>
      <c r="F4032">
        <v>10129</v>
      </c>
      <c r="G4032" s="3">
        <f t="shared" si="186"/>
        <v>7</v>
      </c>
      <c r="H4032" s="4">
        <f t="shared" si="187"/>
        <v>6.9108500345538282E-4</v>
      </c>
      <c r="I4032" s="1">
        <f t="shared" si="188"/>
        <v>4</v>
      </c>
    </row>
    <row r="4033" spans="1:9" hidden="1" x14ac:dyDescent="0.2">
      <c r="A4033" s="6">
        <v>43988.708333333336</v>
      </c>
      <c r="B4033" s="1" t="s">
        <v>22</v>
      </c>
      <c r="C4033">
        <v>49</v>
      </c>
      <c r="D4033">
        <v>22</v>
      </c>
      <c r="E4033">
        <v>1068</v>
      </c>
      <c r="F4033">
        <v>10134</v>
      </c>
      <c r="G4033" s="3">
        <f t="shared" si="186"/>
        <v>5</v>
      </c>
      <c r="H4033" s="4">
        <f t="shared" si="187"/>
        <v>4.9338859285574799E-4</v>
      </c>
      <c r="I4033" s="1">
        <f t="shared" si="188"/>
        <v>5</v>
      </c>
    </row>
    <row r="4034" spans="1:9" hidden="1" x14ac:dyDescent="0.2">
      <c r="A4034" s="6">
        <v>43989.708333333336</v>
      </c>
      <c r="B4034" s="1" t="s">
        <v>22</v>
      </c>
      <c r="C4034">
        <v>52</v>
      </c>
      <c r="D4034">
        <v>20</v>
      </c>
      <c r="E4034">
        <v>1070</v>
      </c>
      <c r="F4034">
        <v>10135</v>
      </c>
      <c r="G4034" s="3">
        <f t="shared" si="186"/>
        <v>1</v>
      </c>
      <c r="H4034" s="4">
        <f t="shared" si="187"/>
        <v>9.8667982239786234E-5</v>
      </c>
      <c r="I4034" s="1">
        <f t="shared" si="188"/>
        <v>2</v>
      </c>
    </row>
    <row r="4035" spans="1:9" hidden="1" x14ac:dyDescent="0.2">
      <c r="A4035" s="6">
        <v>43990.708333333336</v>
      </c>
      <c r="B4035" s="1" t="s">
        <v>22</v>
      </c>
      <c r="C4035">
        <v>50</v>
      </c>
      <c r="D4035">
        <v>20</v>
      </c>
      <c r="E4035">
        <v>1074</v>
      </c>
      <c r="F4035">
        <v>10144</v>
      </c>
      <c r="G4035" s="3">
        <f t="shared" ref="G4035:G4098" si="189">IF(AND(F4035&gt;0,AND(B4035=B4034,F4035&gt;0)),F4035-F4034,0)</f>
        <v>9</v>
      </c>
      <c r="H4035" s="4">
        <f t="shared" ref="H4035:H4098" si="190">IF(AND(F4034&gt;0,AND(B4035=B4034,F4034&gt;0)),1-(F4034/F4035),0)</f>
        <v>8.8722397476337367E-4</v>
      </c>
      <c r="I4035" s="1">
        <f t="shared" ref="I4035:I4098" si="191">IF(AND(E4035&gt;0,AND(B4035=B4034,E4035&gt;0)),E4035-E4034,0)</f>
        <v>4</v>
      </c>
    </row>
    <row r="4036" spans="1:9" hidden="1" x14ac:dyDescent="0.2">
      <c r="A4036" s="6">
        <v>43991.708333333336</v>
      </c>
      <c r="B4036" s="1" t="s">
        <v>22</v>
      </c>
      <c r="C4036">
        <v>46</v>
      </c>
      <c r="D4036">
        <v>17</v>
      </c>
      <c r="E4036">
        <v>1077</v>
      </c>
      <c r="F4036">
        <v>10145</v>
      </c>
      <c r="G4036" s="3">
        <f t="shared" si="189"/>
        <v>1</v>
      </c>
      <c r="H4036" s="4">
        <f t="shared" si="190"/>
        <v>9.8570724494817519E-5</v>
      </c>
      <c r="I4036" s="1">
        <f t="shared" si="191"/>
        <v>3</v>
      </c>
    </row>
    <row r="4037" spans="1:9" hidden="1" x14ac:dyDescent="0.2">
      <c r="A4037" s="6">
        <v>43992.708333333336</v>
      </c>
      <c r="B4037" s="1" t="s">
        <v>22</v>
      </c>
      <c r="C4037">
        <v>40</v>
      </c>
      <c r="D4037">
        <v>15</v>
      </c>
      <c r="E4037">
        <v>1078</v>
      </c>
      <c r="F4037">
        <v>10148</v>
      </c>
      <c r="G4037" s="3">
        <f t="shared" si="189"/>
        <v>3</v>
      </c>
      <c r="H4037" s="4">
        <f t="shared" si="190"/>
        <v>2.9562475364608432E-4</v>
      </c>
      <c r="I4037" s="1">
        <f t="shared" si="191"/>
        <v>1</v>
      </c>
    </row>
    <row r="4038" spans="1:9" hidden="1" x14ac:dyDescent="0.2">
      <c r="A4038" s="6">
        <v>43993.708333333336</v>
      </c>
      <c r="B4038" s="1" t="s">
        <v>22</v>
      </c>
      <c r="C4038">
        <v>42</v>
      </c>
      <c r="D4038">
        <v>15</v>
      </c>
      <c r="E4038">
        <v>1079</v>
      </c>
      <c r="F4038">
        <v>10158</v>
      </c>
      <c r="G4038" s="3">
        <f t="shared" si="189"/>
        <v>10</v>
      </c>
      <c r="H4038" s="4">
        <f t="shared" si="190"/>
        <v>9.8444575703882098E-4</v>
      </c>
      <c r="I4038" s="1">
        <f t="shared" si="191"/>
        <v>1</v>
      </c>
    </row>
    <row r="4039" spans="1:9" hidden="1" x14ac:dyDescent="0.2">
      <c r="A4039" s="6">
        <v>43994.708333333336</v>
      </c>
      <c r="B4039" s="1" t="s">
        <v>22</v>
      </c>
      <c r="C4039">
        <v>36</v>
      </c>
      <c r="D4039">
        <v>14</v>
      </c>
      <c r="E4039">
        <v>1080</v>
      </c>
      <c r="F4039">
        <v>10165</v>
      </c>
      <c r="G4039" s="3">
        <f t="shared" si="189"/>
        <v>7</v>
      </c>
      <c r="H4039" s="4">
        <f t="shared" si="190"/>
        <v>6.886374815543439E-4</v>
      </c>
      <c r="I4039" s="1">
        <f t="shared" si="191"/>
        <v>1</v>
      </c>
    </row>
    <row r="4040" spans="1:9" hidden="1" x14ac:dyDescent="0.2">
      <c r="A4040" s="6">
        <v>43995.708333333336</v>
      </c>
      <c r="B4040" s="1" t="s">
        <v>22</v>
      </c>
      <c r="C4040">
        <v>33</v>
      </c>
      <c r="D4040">
        <v>16</v>
      </c>
      <c r="E4040">
        <v>1082</v>
      </c>
      <c r="F4040">
        <v>10172</v>
      </c>
      <c r="G4040" s="3">
        <f t="shared" si="189"/>
        <v>7</v>
      </c>
      <c r="H4040" s="4">
        <f t="shared" si="190"/>
        <v>6.8816358631540453E-4</v>
      </c>
      <c r="I4040" s="1">
        <f t="shared" si="191"/>
        <v>2</v>
      </c>
    </row>
    <row r="4041" spans="1:9" hidden="1" x14ac:dyDescent="0.2">
      <c r="A4041" s="6">
        <v>43996.708333333336</v>
      </c>
      <c r="B4041" s="1" t="s">
        <v>22</v>
      </c>
      <c r="C4041">
        <v>34</v>
      </c>
      <c r="D4041">
        <v>16</v>
      </c>
      <c r="E4041">
        <v>1085</v>
      </c>
      <c r="F4041">
        <v>10180</v>
      </c>
      <c r="G4041" s="3">
        <f t="shared" si="189"/>
        <v>8</v>
      </c>
      <c r="H4041" s="4">
        <f t="shared" si="190"/>
        <v>7.8585461689584246E-4</v>
      </c>
      <c r="I4041" s="1">
        <f t="shared" si="191"/>
        <v>3</v>
      </c>
    </row>
    <row r="4042" spans="1:9" hidden="1" x14ac:dyDescent="0.2">
      <c r="A4042" s="6">
        <v>43997.708333333336</v>
      </c>
      <c r="B4042" s="1" t="s">
        <v>22</v>
      </c>
      <c r="C4042">
        <v>31</v>
      </c>
      <c r="D4042">
        <v>16</v>
      </c>
      <c r="E4042">
        <v>1088</v>
      </c>
      <c r="F4042">
        <v>10188</v>
      </c>
      <c r="G4042" s="3">
        <f t="shared" si="189"/>
        <v>8</v>
      </c>
      <c r="H4042" s="4">
        <f t="shared" si="190"/>
        <v>7.852375343541107E-4</v>
      </c>
      <c r="I4042" s="1">
        <f t="shared" si="191"/>
        <v>3</v>
      </c>
    </row>
    <row r="4043" spans="1:9" hidden="1" x14ac:dyDescent="0.2">
      <c r="A4043" s="6">
        <v>43998.708333333336</v>
      </c>
      <c r="B4043" s="1" t="s">
        <v>22</v>
      </c>
      <c r="C4043">
        <v>34</v>
      </c>
      <c r="D4043">
        <v>14</v>
      </c>
      <c r="E4043">
        <v>1091</v>
      </c>
      <c r="F4043">
        <v>10191</v>
      </c>
      <c r="G4043" s="3">
        <f t="shared" si="189"/>
        <v>3</v>
      </c>
      <c r="H4043" s="4">
        <f t="shared" si="190"/>
        <v>2.9437739181625844E-4</v>
      </c>
      <c r="I4043" s="1">
        <f t="shared" si="191"/>
        <v>3</v>
      </c>
    </row>
    <row r="4044" spans="1:9" hidden="1" x14ac:dyDescent="0.2">
      <c r="A4044" s="6">
        <v>43999.708333333336</v>
      </c>
      <c r="B4044" s="1" t="s">
        <v>22</v>
      </c>
      <c r="C4044">
        <v>33</v>
      </c>
      <c r="D4044">
        <v>14</v>
      </c>
      <c r="E4044">
        <v>1092</v>
      </c>
      <c r="F4044">
        <v>10193</v>
      </c>
      <c r="G4044" s="3">
        <f t="shared" si="189"/>
        <v>2</v>
      </c>
      <c r="H4044" s="4">
        <f t="shared" si="190"/>
        <v>1.9621308741291088E-4</v>
      </c>
      <c r="I4044" s="1">
        <f t="shared" si="191"/>
        <v>1</v>
      </c>
    </row>
    <row r="4045" spans="1:9" hidden="1" x14ac:dyDescent="0.2">
      <c r="A4045" s="6">
        <v>44000.708333333336</v>
      </c>
      <c r="B4045" s="1" t="s">
        <v>22</v>
      </c>
      <c r="C4045">
        <v>23</v>
      </c>
      <c r="D4045">
        <v>13</v>
      </c>
      <c r="E4045">
        <v>1093</v>
      </c>
      <c r="F4045">
        <v>10195</v>
      </c>
      <c r="G4045" s="3">
        <f t="shared" si="189"/>
        <v>2</v>
      </c>
      <c r="H4045" s="4">
        <f t="shared" si="190"/>
        <v>1.9617459538989745E-4</v>
      </c>
      <c r="I4045" s="1">
        <f t="shared" si="191"/>
        <v>1</v>
      </c>
    </row>
    <row r="4046" spans="1:9" hidden="1" x14ac:dyDescent="0.2">
      <c r="A4046" s="6">
        <v>44001.708333333336</v>
      </c>
      <c r="B4046" s="1" t="s">
        <v>22</v>
      </c>
      <c r="C4046">
        <v>18</v>
      </c>
      <c r="D4046">
        <v>12</v>
      </c>
      <c r="E4046">
        <v>1095</v>
      </c>
      <c r="F4046">
        <v>10205</v>
      </c>
      <c r="G4046" s="3">
        <f t="shared" si="189"/>
        <v>10</v>
      </c>
      <c r="H4046" s="4">
        <f t="shared" si="190"/>
        <v>9.7991180793732813E-4</v>
      </c>
      <c r="I4046" s="1">
        <f t="shared" si="191"/>
        <v>2</v>
      </c>
    </row>
    <row r="4047" spans="1:9" hidden="1" x14ac:dyDescent="0.2">
      <c r="A4047" s="6">
        <v>44002.708333333336</v>
      </c>
      <c r="B4047" s="1" t="s">
        <v>22</v>
      </c>
      <c r="C4047">
        <v>19</v>
      </c>
      <c r="D4047">
        <v>12</v>
      </c>
      <c r="E4047">
        <v>1095</v>
      </c>
      <c r="F4047">
        <v>10207</v>
      </c>
      <c r="G4047" s="3">
        <f t="shared" si="189"/>
        <v>2</v>
      </c>
      <c r="H4047" s="4">
        <f t="shared" si="190"/>
        <v>1.9594396002742265E-4</v>
      </c>
      <c r="I4047" s="1">
        <f t="shared" si="191"/>
        <v>0</v>
      </c>
    </row>
    <row r="4048" spans="1:9" hidden="1" x14ac:dyDescent="0.2">
      <c r="A4048" s="6">
        <v>44003.708333333336</v>
      </c>
      <c r="B4048" s="1" t="s">
        <v>22</v>
      </c>
      <c r="C4048">
        <v>19</v>
      </c>
      <c r="D4048">
        <v>9</v>
      </c>
      <c r="E4048">
        <v>1095</v>
      </c>
      <c r="F4048">
        <v>10210</v>
      </c>
      <c r="G4048" s="3">
        <f t="shared" si="189"/>
        <v>3</v>
      </c>
      <c r="H4048" s="4">
        <f t="shared" si="190"/>
        <v>2.9382957884427352E-4</v>
      </c>
      <c r="I4048" s="1">
        <f t="shared" si="191"/>
        <v>0</v>
      </c>
    </row>
    <row r="4049" spans="1:9" hidden="1" x14ac:dyDescent="0.2">
      <c r="A4049" s="6">
        <v>44004.708333333336</v>
      </c>
      <c r="B4049" s="1" t="s">
        <v>22</v>
      </c>
      <c r="C4049">
        <v>18</v>
      </c>
      <c r="D4049">
        <v>9</v>
      </c>
      <c r="E4049">
        <v>1099</v>
      </c>
      <c r="F4049">
        <v>10211</v>
      </c>
      <c r="G4049" s="3">
        <f t="shared" si="189"/>
        <v>1</v>
      </c>
      <c r="H4049" s="4">
        <f t="shared" si="190"/>
        <v>9.7933601018507233E-5</v>
      </c>
      <c r="I4049" s="1">
        <f t="shared" si="191"/>
        <v>4</v>
      </c>
    </row>
    <row r="4050" spans="1:9" hidden="1" x14ac:dyDescent="0.2">
      <c r="A4050" s="6">
        <v>44005.708333333336</v>
      </c>
      <c r="B4050" s="1" t="s">
        <v>22</v>
      </c>
      <c r="C4050">
        <v>20</v>
      </c>
      <c r="D4050">
        <v>6</v>
      </c>
      <c r="E4050">
        <v>1100</v>
      </c>
      <c r="F4050">
        <v>10217</v>
      </c>
      <c r="G4050" s="3">
        <f t="shared" si="189"/>
        <v>6</v>
      </c>
      <c r="H4050" s="4">
        <f t="shared" si="190"/>
        <v>5.8725653322888594E-4</v>
      </c>
      <c r="I4050" s="1">
        <f t="shared" si="191"/>
        <v>1</v>
      </c>
    </row>
    <row r="4051" spans="1:9" hidden="1" x14ac:dyDescent="0.2">
      <c r="A4051" s="6">
        <v>44006.708333333336</v>
      </c>
      <c r="B4051" s="1" t="s">
        <v>22</v>
      </c>
      <c r="C4051">
        <v>26</v>
      </c>
      <c r="D4051">
        <v>5</v>
      </c>
      <c r="E4051">
        <v>1101</v>
      </c>
      <c r="F4051">
        <v>10222</v>
      </c>
      <c r="G4051" s="3">
        <f t="shared" si="189"/>
        <v>5</v>
      </c>
      <c r="H4051" s="4">
        <f t="shared" si="190"/>
        <v>4.8914106828412685E-4</v>
      </c>
      <c r="I4051" s="1">
        <f t="shared" si="191"/>
        <v>1</v>
      </c>
    </row>
    <row r="4052" spans="1:9" hidden="1" x14ac:dyDescent="0.2">
      <c r="A4052" s="6">
        <v>44007.708333333336</v>
      </c>
      <c r="B4052" s="1" t="s">
        <v>22</v>
      </c>
      <c r="C4052">
        <v>24</v>
      </c>
      <c r="D4052">
        <v>6</v>
      </c>
      <c r="E4052">
        <v>1101</v>
      </c>
      <c r="F4052">
        <v>10224</v>
      </c>
      <c r="G4052" s="3">
        <f t="shared" si="189"/>
        <v>2</v>
      </c>
      <c r="H4052" s="4">
        <f t="shared" si="190"/>
        <v>1.9561815336466282E-4</v>
      </c>
      <c r="I4052" s="1">
        <f t="shared" si="191"/>
        <v>0</v>
      </c>
    </row>
    <row r="4053" spans="1:9" hidden="1" x14ac:dyDescent="0.2">
      <c r="A4053" s="6">
        <v>44008.708333333336</v>
      </c>
      <c r="B4053" s="1" t="s">
        <v>22</v>
      </c>
      <c r="C4053">
        <v>21</v>
      </c>
      <c r="D4053">
        <v>6</v>
      </c>
      <c r="E4053">
        <v>1103</v>
      </c>
      <c r="F4053">
        <v>10226</v>
      </c>
      <c r="G4053" s="3">
        <f t="shared" si="189"/>
        <v>2</v>
      </c>
      <c r="H4053" s="4">
        <f t="shared" si="190"/>
        <v>1.9557989438689916E-4</v>
      </c>
      <c r="I4053" s="1">
        <f t="shared" si="191"/>
        <v>2</v>
      </c>
    </row>
    <row r="4054" spans="1:9" hidden="1" x14ac:dyDescent="0.2">
      <c r="A4054" s="6">
        <v>44009.708333333336</v>
      </c>
      <c r="B4054" s="1" t="s">
        <v>22</v>
      </c>
      <c r="C4054">
        <v>14</v>
      </c>
      <c r="D4054">
        <v>6</v>
      </c>
      <c r="E4054">
        <v>1103</v>
      </c>
      <c r="F4054">
        <v>10238</v>
      </c>
      <c r="G4054" s="3">
        <f t="shared" si="189"/>
        <v>12</v>
      </c>
      <c r="H4054" s="4">
        <f t="shared" si="190"/>
        <v>1.1721039265482069E-3</v>
      </c>
      <c r="I4054" s="1">
        <f t="shared" si="191"/>
        <v>0</v>
      </c>
    </row>
    <row r="4055" spans="1:9" hidden="1" x14ac:dyDescent="0.2">
      <c r="A4055" s="6">
        <v>44010.708333333336</v>
      </c>
      <c r="B4055" s="1" t="s">
        <v>22</v>
      </c>
      <c r="C4055">
        <v>16</v>
      </c>
      <c r="D4055">
        <v>6</v>
      </c>
      <c r="E4055">
        <v>1103</v>
      </c>
      <c r="F4055">
        <v>10243</v>
      </c>
      <c r="G4055" s="3">
        <f t="shared" si="189"/>
        <v>5</v>
      </c>
      <c r="H4055" s="4">
        <f t="shared" si="190"/>
        <v>4.8813824074978029E-4</v>
      </c>
      <c r="I4055" s="1">
        <f t="shared" si="191"/>
        <v>0</v>
      </c>
    </row>
    <row r="4056" spans="1:9" hidden="1" x14ac:dyDescent="0.2">
      <c r="A4056" s="6">
        <v>44011.708333333336</v>
      </c>
      <c r="B4056" s="1" t="s">
        <v>22</v>
      </c>
      <c r="C4056">
        <v>14</v>
      </c>
      <c r="D4056">
        <v>6</v>
      </c>
      <c r="E4056">
        <v>1104</v>
      </c>
      <c r="F4056">
        <v>10248</v>
      </c>
      <c r="G4056" s="3">
        <f t="shared" si="189"/>
        <v>5</v>
      </c>
      <c r="H4056" s="4">
        <f t="shared" si="190"/>
        <v>4.8790007806398528E-4</v>
      </c>
      <c r="I4056" s="1">
        <f t="shared" si="191"/>
        <v>1</v>
      </c>
    </row>
    <row r="4057" spans="1:9" hidden="1" x14ac:dyDescent="0.2">
      <c r="A4057" s="6">
        <v>44012.708333333336</v>
      </c>
      <c r="B4057" s="1" t="s">
        <v>22</v>
      </c>
      <c r="C4057">
        <v>17</v>
      </c>
      <c r="D4057">
        <v>6</v>
      </c>
      <c r="E4057">
        <v>1104</v>
      </c>
      <c r="F4057">
        <v>10250</v>
      </c>
      <c r="G4057" s="3">
        <f t="shared" si="189"/>
        <v>2</v>
      </c>
      <c r="H4057" s="4">
        <f t="shared" si="190"/>
        <v>1.9512195121951237E-4</v>
      </c>
      <c r="I4057" s="1">
        <f t="shared" si="191"/>
        <v>0</v>
      </c>
    </row>
    <row r="4058" spans="1:9" hidden="1" x14ac:dyDescent="0.2">
      <c r="A4058" s="6">
        <v>44013.708333333336</v>
      </c>
      <c r="B4058" s="1" t="s">
        <v>22</v>
      </c>
      <c r="C4058">
        <v>13</v>
      </c>
      <c r="D4058">
        <v>5</v>
      </c>
      <c r="E4058">
        <v>1106</v>
      </c>
      <c r="F4058">
        <v>10254</v>
      </c>
      <c r="G4058" s="3">
        <f t="shared" si="189"/>
        <v>4</v>
      </c>
      <c r="H4058" s="4">
        <f t="shared" si="190"/>
        <v>3.9009167154280266E-4</v>
      </c>
      <c r="I4058" s="1">
        <f t="shared" si="191"/>
        <v>2</v>
      </c>
    </row>
    <row r="4059" spans="1:9" hidden="1" x14ac:dyDescent="0.2">
      <c r="A4059" s="6">
        <v>44014.708333333336</v>
      </c>
      <c r="B4059" s="1" t="s">
        <v>22</v>
      </c>
      <c r="C4059">
        <v>11</v>
      </c>
      <c r="D4059">
        <v>3</v>
      </c>
      <c r="E4059">
        <v>1109</v>
      </c>
      <c r="F4059">
        <v>10258</v>
      </c>
      <c r="G4059" s="3">
        <f t="shared" si="189"/>
        <v>4</v>
      </c>
      <c r="H4059" s="4">
        <f t="shared" si="190"/>
        <v>3.8993955936827973E-4</v>
      </c>
      <c r="I4059" s="1">
        <f t="shared" si="191"/>
        <v>3</v>
      </c>
    </row>
    <row r="4060" spans="1:9" hidden="1" x14ac:dyDescent="0.2">
      <c r="A4060" s="6">
        <v>44015.708333333336</v>
      </c>
      <c r="B4060" s="1" t="s">
        <v>22</v>
      </c>
      <c r="C4060">
        <v>13</v>
      </c>
      <c r="D4060">
        <v>3</v>
      </c>
      <c r="E4060">
        <v>1112</v>
      </c>
      <c r="F4060">
        <v>10267</v>
      </c>
      <c r="G4060" s="3">
        <f t="shared" si="189"/>
        <v>9</v>
      </c>
      <c r="H4060" s="4">
        <f t="shared" si="190"/>
        <v>8.7659491574954007E-4</v>
      </c>
      <c r="I4060" s="1">
        <f t="shared" si="191"/>
        <v>3</v>
      </c>
    </row>
    <row r="4061" spans="1:9" hidden="1" x14ac:dyDescent="0.2">
      <c r="A4061" s="6">
        <v>44016.708333333336</v>
      </c>
      <c r="B4061" s="1" t="s">
        <v>22</v>
      </c>
      <c r="C4061">
        <v>11</v>
      </c>
      <c r="D4061">
        <v>2</v>
      </c>
      <c r="E4061">
        <v>1114</v>
      </c>
      <c r="F4061">
        <v>10276</v>
      </c>
      <c r="G4061" s="3">
        <f t="shared" si="189"/>
        <v>9</v>
      </c>
      <c r="H4061" s="4">
        <f t="shared" si="190"/>
        <v>8.7582717010514788E-4</v>
      </c>
      <c r="I4061" s="1">
        <f t="shared" si="191"/>
        <v>2</v>
      </c>
    </row>
    <row r="4062" spans="1:9" hidden="1" x14ac:dyDescent="0.2">
      <c r="A4062" s="6">
        <v>44017.708333333336</v>
      </c>
      <c r="B4062" s="1" t="s">
        <v>22</v>
      </c>
      <c r="C4062">
        <v>12</v>
      </c>
      <c r="D4062">
        <v>2</v>
      </c>
      <c r="E4062">
        <v>1114</v>
      </c>
      <c r="F4062">
        <v>10285</v>
      </c>
      <c r="G4062" s="3">
        <f t="shared" si="189"/>
        <v>9</v>
      </c>
      <c r="H4062" s="4">
        <f t="shared" si="190"/>
        <v>8.7506076810894839E-4</v>
      </c>
      <c r="I4062" s="1">
        <f t="shared" si="191"/>
        <v>0</v>
      </c>
    </row>
    <row r="4063" spans="1:9" hidden="1" x14ac:dyDescent="0.2">
      <c r="A4063" s="6">
        <v>44018.708333333336</v>
      </c>
      <c r="B4063" s="1" t="s">
        <v>22</v>
      </c>
      <c r="C4063">
        <v>12</v>
      </c>
      <c r="D4063">
        <v>2</v>
      </c>
      <c r="E4063">
        <v>1114</v>
      </c>
      <c r="F4063">
        <v>10287</v>
      </c>
      <c r="G4063" s="3">
        <f t="shared" si="189"/>
        <v>2</v>
      </c>
      <c r="H4063" s="4">
        <f t="shared" si="190"/>
        <v>1.9442014192672108E-4</v>
      </c>
      <c r="I4063" s="1">
        <f t="shared" si="191"/>
        <v>0</v>
      </c>
    </row>
    <row r="4064" spans="1:9" hidden="1" x14ac:dyDescent="0.2">
      <c r="A4064" s="6">
        <v>44019.708333333336</v>
      </c>
      <c r="B4064" s="1" t="s">
        <v>22</v>
      </c>
      <c r="C4064">
        <v>12</v>
      </c>
      <c r="D4064">
        <v>1</v>
      </c>
      <c r="E4064">
        <v>1116</v>
      </c>
      <c r="F4064">
        <v>10306</v>
      </c>
      <c r="G4064" s="3">
        <f t="shared" si="189"/>
        <v>19</v>
      </c>
      <c r="H4064" s="4">
        <f t="shared" si="190"/>
        <v>1.8435862604307962E-3</v>
      </c>
      <c r="I4064" s="1">
        <f t="shared" si="191"/>
        <v>2</v>
      </c>
    </row>
    <row r="4065" spans="1:9" hidden="1" x14ac:dyDescent="0.2">
      <c r="A4065" s="6">
        <v>44020.708333333336</v>
      </c>
      <c r="B4065" s="1" t="s">
        <v>22</v>
      </c>
      <c r="C4065">
        <v>12</v>
      </c>
      <c r="D4065">
        <v>2</v>
      </c>
      <c r="E4065">
        <v>1118</v>
      </c>
      <c r="F4065">
        <v>10313</v>
      </c>
      <c r="G4065" s="3">
        <f t="shared" si="189"/>
        <v>7</v>
      </c>
      <c r="H4065" s="4">
        <f t="shared" si="190"/>
        <v>6.787549694560191E-4</v>
      </c>
      <c r="I4065" s="1">
        <f t="shared" si="191"/>
        <v>2</v>
      </c>
    </row>
    <row r="4066" spans="1:9" hidden="1" x14ac:dyDescent="0.2">
      <c r="A4066" s="6">
        <v>44021.708333333336</v>
      </c>
      <c r="B4066" s="1" t="s">
        <v>22</v>
      </c>
      <c r="C4066">
        <v>11</v>
      </c>
      <c r="D4066">
        <v>2</v>
      </c>
      <c r="E4066">
        <v>1120</v>
      </c>
      <c r="F4066">
        <v>10314</v>
      </c>
      <c r="G4066" s="3">
        <f t="shared" si="189"/>
        <v>1</v>
      </c>
      <c r="H4066" s="4">
        <f t="shared" si="190"/>
        <v>9.6955594337755358E-5</v>
      </c>
      <c r="I4066" s="1">
        <f t="shared" si="191"/>
        <v>2</v>
      </c>
    </row>
    <row r="4067" spans="1:9" hidden="1" x14ac:dyDescent="0.2">
      <c r="A4067" s="6">
        <v>44022.708333333336</v>
      </c>
      <c r="B4067" s="1" t="s">
        <v>22</v>
      </c>
      <c r="C4067">
        <v>9</v>
      </c>
      <c r="D4067">
        <v>2</v>
      </c>
      <c r="E4067">
        <v>1121</v>
      </c>
      <c r="F4067">
        <v>10316</v>
      </c>
      <c r="G4067" s="3">
        <f t="shared" si="189"/>
        <v>2</v>
      </c>
      <c r="H4067" s="4">
        <f t="shared" si="190"/>
        <v>1.9387359441647156E-4</v>
      </c>
      <c r="I4067" s="1">
        <f t="shared" si="191"/>
        <v>1</v>
      </c>
    </row>
    <row r="4068" spans="1:9" hidden="1" x14ac:dyDescent="0.2">
      <c r="A4068" s="6">
        <v>44023.708333333336</v>
      </c>
      <c r="B4068" s="1" t="s">
        <v>22</v>
      </c>
      <c r="C4068">
        <v>7</v>
      </c>
      <c r="D4068">
        <v>3</v>
      </c>
      <c r="E4068">
        <v>1122</v>
      </c>
      <c r="F4068">
        <v>10321</v>
      </c>
      <c r="G4068" s="3">
        <f t="shared" si="189"/>
        <v>5</v>
      </c>
      <c r="H4068" s="4">
        <f t="shared" si="190"/>
        <v>4.8444918128087711E-4</v>
      </c>
      <c r="I4068" s="1">
        <f t="shared" si="191"/>
        <v>1</v>
      </c>
    </row>
    <row r="4069" spans="1:9" hidden="1" x14ac:dyDescent="0.2">
      <c r="A4069" s="6">
        <v>44024.708333333336</v>
      </c>
      <c r="B4069" s="1" t="s">
        <v>22</v>
      </c>
      <c r="C4069">
        <v>8</v>
      </c>
      <c r="D4069">
        <v>3</v>
      </c>
      <c r="E4069">
        <v>1122</v>
      </c>
      <c r="F4069">
        <v>10322</v>
      </c>
      <c r="G4069" s="3">
        <f t="shared" si="189"/>
        <v>1</v>
      </c>
      <c r="H4069" s="4">
        <f t="shared" si="190"/>
        <v>9.688044952527175E-5</v>
      </c>
      <c r="I4069" s="1">
        <f t="shared" si="191"/>
        <v>0</v>
      </c>
    </row>
    <row r="4070" spans="1:9" hidden="1" x14ac:dyDescent="0.2">
      <c r="A4070" s="6">
        <v>44025.708333333336</v>
      </c>
      <c r="B4070" s="1" t="s">
        <v>22</v>
      </c>
      <c r="C4070">
        <v>7</v>
      </c>
      <c r="D4070">
        <v>3</v>
      </c>
      <c r="E4070">
        <v>1122</v>
      </c>
      <c r="F4070">
        <v>10326</v>
      </c>
      <c r="G4070" s="3">
        <f t="shared" si="189"/>
        <v>4</v>
      </c>
      <c r="H4070" s="4">
        <f t="shared" si="190"/>
        <v>3.8737168312996673E-4</v>
      </c>
      <c r="I4070" s="1">
        <f t="shared" si="191"/>
        <v>0</v>
      </c>
    </row>
    <row r="4071" spans="1:9" hidden="1" x14ac:dyDescent="0.2">
      <c r="A4071" s="6">
        <v>44026.708333333336</v>
      </c>
      <c r="B4071" s="1" t="s">
        <v>22</v>
      </c>
      <c r="C4071">
        <v>8</v>
      </c>
      <c r="D4071">
        <v>2</v>
      </c>
      <c r="E4071">
        <v>1125</v>
      </c>
      <c r="F4071">
        <v>10330</v>
      </c>
      <c r="G4071" s="3">
        <f t="shared" si="189"/>
        <v>4</v>
      </c>
      <c r="H4071" s="4">
        <f t="shared" si="190"/>
        <v>3.8722168441429616E-4</v>
      </c>
      <c r="I4071" s="1">
        <f t="shared" si="191"/>
        <v>3</v>
      </c>
    </row>
    <row r="4072" spans="1:9" hidden="1" x14ac:dyDescent="0.2">
      <c r="A4072" s="6">
        <v>44027.708333333336</v>
      </c>
      <c r="B4072" s="1" t="s">
        <v>22</v>
      </c>
      <c r="C4072">
        <v>9</v>
      </c>
      <c r="D4072">
        <v>3</v>
      </c>
      <c r="E4072">
        <v>1127</v>
      </c>
      <c r="F4072">
        <v>10338</v>
      </c>
      <c r="G4072" s="3">
        <f t="shared" si="189"/>
        <v>8</v>
      </c>
      <c r="H4072" s="4">
        <f t="shared" si="190"/>
        <v>7.7384407041980463E-4</v>
      </c>
      <c r="I4072" s="1">
        <f t="shared" si="191"/>
        <v>2</v>
      </c>
    </row>
    <row r="4073" spans="1:9" hidden="1" x14ac:dyDescent="0.2">
      <c r="A4073" s="6">
        <v>44028.708333333336</v>
      </c>
      <c r="B4073" s="1" t="s">
        <v>22</v>
      </c>
      <c r="C4073">
        <v>12</v>
      </c>
      <c r="D4073">
        <v>2</v>
      </c>
      <c r="E4073">
        <v>1127</v>
      </c>
      <c r="F4073">
        <v>10350</v>
      </c>
      <c r="G4073" s="3">
        <f t="shared" si="189"/>
        <v>12</v>
      </c>
      <c r="H4073" s="4">
        <f t="shared" si="190"/>
        <v>1.159420289855051E-3</v>
      </c>
      <c r="I4073" s="1">
        <f t="shared" si="191"/>
        <v>0</v>
      </c>
    </row>
    <row r="4074" spans="1:9" hidden="1" x14ac:dyDescent="0.2">
      <c r="A4074" s="6">
        <v>44029.708333333336</v>
      </c>
      <c r="B4074" s="1" t="s">
        <v>22</v>
      </c>
      <c r="C4074">
        <v>12</v>
      </c>
      <c r="D4074">
        <v>1</v>
      </c>
      <c r="E4074">
        <v>1129</v>
      </c>
      <c r="F4074">
        <v>10356</v>
      </c>
      <c r="G4074" s="3">
        <f t="shared" si="189"/>
        <v>6</v>
      </c>
      <c r="H4074" s="4">
        <f t="shared" si="190"/>
        <v>5.7937427578214074E-4</v>
      </c>
      <c r="I4074" s="1">
        <f t="shared" si="191"/>
        <v>2</v>
      </c>
    </row>
    <row r="4075" spans="1:9" hidden="1" x14ac:dyDescent="0.2">
      <c r="A4075" s="6">
        <v>44030.708333333336</v>
      </c>
      <c r="B4075" s="1" t="s">
        <v>22</v>
      </c>
      <c r="C4075">
        <v>12</v>
      </c>
      <c r="D4075">
        <v>1</v>
      </c>
      <c r="E4075">
        <v>1129</v>
      </c>
      <c r="F4075">
        <v>10358</v>
      </c>
      <c r="G4075" s="3">
        <f t="shared" si="189"/>
        <v>2</v>
      </c>
      <c r="H4075" s="4">
        <f t="shared" si="190"/>
        <v>1.9308746862323201E-4</v>
      </c>
      <c r="I4075" s="1">
        <f t="shared" si="191"/>
        <v>0</v>
      </c>
    </row>
    <row r="4076" spans="1:9" hidden="1" x14ac:dyDescent="0.2">
      <c r="A4076" s="6">
        <v>44031.708333333336</v>
      </c>
      <c r="B4076" s="1" t="s">
        <v>22</v>
      </c>
      <c r="C4076">
        <v>12</v>
      </c>
      <c r="D4076">
        <v>0</v>
      </c>
      <c r="E4076">
        <v>1129</v>
      </c>
      <c r="F4076">
        <v>10374</v>
      </c>
      <c r="G4076" s="3">
        <f t="shared" si="189"/>
        <v>16</v>
      </c>
      <c r="H4076" s="4">
        <f t="shared" si="190"/>
        <v>1.5423173317909988E-3</v>
      </c>
      <c r="I4076" s="1">
        <f t="shared" si="191"/>
        <v>0</v>
      </c>
    </row>
    <row r="4077" spans="1:9" hidden="1" x14ac:dyDescent="0.2">
      <c r="A4077" s="6">
        <v>44032.708333333336</v>
      </c>
      <c r="B4077" s="1" t="s">
        <v>22</v>
      </c>
      <c r="C4077">
        <v>10</v>
      </c>
      <c r="D4077">
        <v>0</v>
      </c>
      <c r="E4077">
        <v>1130</v>
      </c>
      <c r="F4077">
        <v>10375</v>
      </c>
      <c r="G4077" s="3">
        <f t="shared" si="189"/>
        <v>1</v>
      </c>
      <c r="H4077" s="4">
        <f t="shared" si="190"/>
        <v>9.6385542168619942E-5</v>
      </c>
      <c r="I4077" s="1">
        <f t="shared" si="191"/>
        <v>1</v>
      </c>
    </row>
    <row r="4078" spans="1:9" hidden="1" x14ac:dyDescent="0.2">
      <c r="A4078" s="6">
        <v>44033.708333333336</v>
      </c>
      <c r="B4078" s="1" t="s">
        <v>22</v>
      </c>
      <c r="C4078">
        <v>11</v>
      </c>
      <c r="D4078">
        <v>1</v>
      </c>
      <c r="E4078">
        <v>1131</v>
      </c>
      <c r="F4078">
        <v>10384</v>
      </c>
      <c r="G4078" s="3">
        <f t="shared" si="189"/>
        <v>9</v>
      </c>
      <c r="H4078" s="4">
        <f t="shared" si="190"/>
        <v>8.6671802773496953E-4</v>
      </c>
      <c r="I4078" s="1">
        <f t="shared" si="191"/>
        <v>1</v>
      </c>
    </row>
    <row r="4079" spans="1:9" hidden="1" x14ac:dyDescent="0.2">
      <c r="A4079" s="6">
        <v>44034.708333333336</v>
      </c>
      <c r="B4079" s="1" t="s">
        <v>22</v>
      </c>
      <c r="C4079">
        <v>12</v>
      </c>
      <c r="D4079">
        <v>1</v>
      </c>
      <c r="E4079">
        <v>1131</v>
      </c>
      <c r="F4079">
        <v>10390</v>
      </c>
      <c r="G4079" s="3">
        <f t="shared" si="189"/>
        <v>6</v>
      </c>
      <c r="H4079" s="4">
        <f t="shared" si="190"/>
        <v>5.7747834456212122E-4</v>
      </c>
      <c r="I4079" s="1">
        <f t="shared" si="191"/>
        <v>0</v>
      </c>
    </row>
    <row r="4080" spans="1:9" hidden="1" x14ac:dyDescent="0.2">
      <c r="A4080" s="6">
        <v>44035.708333333336</v>
      </c>
      <c r="B4080" s="1" t="s">
        <v>22</v>
      </c>
      <c r="C4080">
        <v>14</v>
      </c>
      <c r="D4080">
        <v>1</v>
      </c>
      <c r="E4080">
        <v>1131</v>
      </c>
      <c r="F4080">
        <v>10394</v>
      </c>
      <c r="G4080" s="3">
        <f t="shared" si="189"/>
        <v>4</v>
      </c>
      <c r="H4080" s="4">
        <f t="shared" si="190"/>
        <v>3.8483740619588147E-4</v>
      </c>
      <c r="I4080" s="1">
        <f t="shared" si="191"/>
        <v>0</v>
      </c>
    </row>
    <row r="4081" spans="1:9" hidden="1" x14ac:dyDescent="0.2">
      <c r="A4081" s="6">
        <v>44036.708333333336</v>
      </c>
      <c r="B4081" s="1" t="s">
        <v>22</v>
      </c>
      <c r="C4081">
        <v>14</v>
      </c>
      <c r="D4081">
        <v>0</v>
      </c>
      <c r="E4081">
        <v>1131</v>
      </c>
      <c r="F4081">
        <v>10405</v>
      </c>
      <c r="G4081" s="3">
        <f t="shared" si="189"/>
        <v>11</v>
      </c>
      <c r="H4081" s="4">
        <f t="shared" si="190"/>
        <v>1.0571840461316429E-3</v>
      </c>
      <c r="I4081" s="1">
        <f t="shared" si="191"/>
        <v>0</v>
      </c>
    </row>
    <row r="4082" spans="1:9" hidden="1" x14ac:dyDescent="0.2">
      <c r="A4082" s="6">
        <v>44037.708333333336</v>
      </c>
      <c r="B4082" s="1" t="s">
        <v>22</v>
      </c>
      <c r="C4082">
        <v>13</v>
      </c>
      <c r="D4082">
        <v>0</v>
      </c>
      <c r="E4082">
        <v>1131</v>
      </c>
      <c r="F4082">
        <v>10415</v>
      </c>
      <c r="G4082" s="3">
        <f t="shared" si="189"/>
        <v>10</v>
      </c>
      <c r="H4082" s="4">
        <f t="shared" si="190"/>
        <v>9.6015362457990694E-4</v>
      </c>
      <c r="I4082" s="1">
        <f t="shared" si="191"/>
        <v>0</v>
      </c>
    </row>
    <row r="4083" spans="1:9" hidden="1" x14ac:dyDescent="0.2">
      <c r="A4083" s="6">
        <v>44038.708333333336</v>
      </c>
      <c r="B4083" s="1" t="s">
        <v>22</v>
      </c>
      <c r="C4083">
        <v>13</v>
      </c>
      <c r="D4083">
        <v>0</v>
      </c>
      <c r="E4083">
        <v>1131</v>
      </c>
      <c r="F4083">
        <v>10430</v>
      </c>
      <c r="G4083" s="3">
        <f t="shared" si="189"/>
        <v>15</v>
      </c>
      <c r="H4083" s="4">
        <f t="shared" si="190"/>
        <v>1.4381591562799834E-3</v>
      </c>
      <c r="I4083" s="1">
        <f t="shared" si="191"/>
        <v>0</v>
      </c>
    </row>
    <row r="4084" spans="1:9" hidden="1" x14ac:dyDescent="0.2">
      <c r="A4084" s="6">
        <v>44039.708333333336</v>
      </c>
      <c r="B4084" s="1" t="s">
        <v>22</v>
      </c>
      <c r="C4084">
        <v>13</v>
      </c>
      <c r="D4084">
        <v>0</v>
      </c>
      <c r="E4084">
        <v>1131</v>
      </c>
      <c r="F4084">
        <v>10438</v>
      </c>
      <c r="G4084" s="3">
        <f t="shared" si="189"/>
        <v>8</v>
      </c>
      <c r="H4084" s="4">
        <f t="shared" si="190"/>
        <v>7.6643035064183351E-4</v>
      </c>
      <c r="I4084" s="1">
        <f t="shared" si="191"/>
        <v>0</v>
      </c>
    </row>
    <row r="4085" spans="1:9" hidden="1" x14ac:dyDescent="0.2">
      <c r="A4085" s="6">
        <v>44040.708333333336</v>
      </c>
      <c r="B4085" s="1" t="s">
        <v>22</v>
      </c>
      <c r="C4085">
        <v>13</v>
      </c>
      <c r="D4085">
        <v>0</v>
      </c>
      <c r="E4085">
        <v>1134</v>
      </c>
      <c r="F4085">
        <v>10441</v>
      </c>
      <c r="G4085" s="3">
        <f t="shared" si="189"/>
        <v>3</v>
      </c>
      <c r="H4085" s="4">
        <f t="shared" si="190"/>
        <v>2.8732879992332538E-4</v>
      </c>
      <c r="I4085" s="1">
        <f t="shared" si="191"/>
        <v>3</v>
      </c>
    </row>
    <row r="4086" spans="1:9" hidden="1" x14ac:dyDescent="0.2">
      <c r="A4086" s="6">
        <v>44041.708333333336</v>
      </c>
      <c r="B4086" s="1" t="s">
        <v>22</v>
      </c>
      <c r="C4086">
        <v>15</v>
      </c>
      <c r="D4086">
        <v>0</v>
      </c>
      <c r="E4086">
        <v>1134</v>
      </c>
      <c r="F4086">
        <v>10458</v>
      </c>
      <c r="G4086" s="3">
        <f t="shared" si="189"/>
        <v>17</v>
      </c>
      <c r="H4086" s="4">
        <f t="shared" si="190"/>
        <v>1.6255498183208594E-3</v>
      </c>
      <c r="I4086" s="1">
        <f t="shared" si="191"/>
        <v>0</v>
      </c>
    </row>
    <row r="4087" spans="1:9" hidden="1" x14ac:dyDescent="0.2">
      <c r="A4087" s="6">
        <v>44042.708333333336</v>
      </c>
      <c r="B4087" s="1" t="s">
        <v>22</v>
      </c>
      <c r="C4087">
        <v>17</v>
      </c>
      <c r="D4087">
        <v>0</v>
      </c>
      <c r="E4087">
        <v>1134</v>
      </c>
      <c r="F4087">
        <v>10469</v>
      </c>
      <c r="G4087" s="3">
        <f t="shared" si="189"/>
        <v>11</v>
      </c>
      <c r="H4087" s="4">
        <f t="shared" si="190"/>
        <v>1.0507211768077118E-3</v>
      </c>
      <c r="I4087" s="1">
        <f t="shared" si="191"/>
        <v>0</v>
      </c>
    </row>
    <row r="4088" spans="1:9" hidden="1" x14ac:dyDescent="0.2">
      <c r="A4088" s="6">
        <v>44043.708333333336</v>
      </c>
      <c r="B4088" s="1" t="s">
        <v>22</v>
      </c>
      <c r="C4088">
        <v>17</v>
      </c>
      <c r="D4088">
        <v>0</v>
      </c>
      <c r="E4088">
        <v>1134</v>
      </c>
      <c r="F4088">
        <v>10483</v>
      </c>
      <c r="G4088" s="3">
        <f t="shared" si="189"/>
        <v>14</v>
      </c>
      <c r="H4088" s="4">
        <f t="shared" si="190"/>
        <v>1.3354955642468358E-3</v>
      </c>
      <c r="I4088" s="1">
        <f t="shared" si="191"/>
        <v>0</v>
      </c>
    </row>
    <row r="4089" spans="1:9" hidden="1" x14ac:dyDescent="0.2">
      <c r="A4089" s="6">
        <v>44044.708333333336</v>
      </c>
      <c r="B4089" s="1" t="s">
        <v>22</v>
      </c>
      <c r="C4089">
        <v>16</v>
      </c>
      <c r="D4089">
        <v>0</v>
      </c>
      <c r="E4089">
        <v>1135</v>
      </c>
      <c r="F4089">
        <v>10489</v>
      </c>
      <c r="G4089" s="3">
        <f t="shared" si="189"/>
        <v>6</v>
      </c>
      <c r="H4089" s="4">
        <f t="shared" si="190"/>
        <v>5.7202783868814944E-4</v>
      </c>
      <c r="I4089" s="1">
        <f t="shared" si="191"/>
        <v>1</v>
      </c>
    </row>
    <row r="4090" spans="1:9" hidden="1" x14ac:dyDescent="0.2">
      <c r="A4090" s="6">
        <v>44045.708333333336</v>
      </c>
      <c r="B4090" s="1" t="s">
        <v>22</v>
      </c>
      <c r="C4090">
        <v>15</v>
      </c>
      <c r="D4090">
        <v>0</v>
      </c>
      <c r="E4090">
        <v>1135</v>
      </c>
      <c r="F4090">
        <v>10498</v>
      </c>
      <c r="G4090" s="3">
        <f t="shared" si="189"/>
        <v>9</v>
      </c>
      <c r="H4090" s="4">
        <f t="shared" si="190"/>
        <v>8.5730615355306128E-4</v>
      </c>
      <c r="I4090" s="1">
        <f t="shared" si="191"/>
        <v>0</v>
      </c>
    </row>
    <row r="4091" spans="1:9" hidden="1" x14ac:dyDescent="0.2">
      <c r="A4091" s="6">
        <v>44046.708333333336</v>
      </c>
      <c r="B4091" s="1" t="s">
        <v>22</v>
      </c>
      <c r="C4091">
        <v>16</v>
      </c>
      <c r="D4091">
        <v>1</v>
      </c>
      <c r="E4091">
        <v>1136</v>
      </c>
      <c r="F4091">
        <v>10508</v>
      </c>
      <c r="G4091" s="3">
        <f t="shared" si="189"/>
        <v>10</v>
      </c>
      <c r="H4091" s="4">
        <f t="shared" si="190"/>
        <v>9.5165588123335976E-4</v>
      </c>
      <c r="I4091" s="1">
        <f t="shared" si="191"/>
        <v>1</v>
      </c>
    </row>
    <row r="4092" spans="1:9" hidden="1" x14ac:dyDescent="0.2">
      <c r="A4092" s="6">
        <v>44047.708333333336</v>
      </c>
      <c r="B4092" s="1" t="s">
        <v>22</v>
      </c>
      <c r="C4092">
        <v>18</v>
      </c>
      <c r="D4092">
        <v>0</v>
      </c>
      <c r="E4092">
        <v>1137</v>
      </c>
      <c r="F4092">
        <v>10519</v>
      </c>
      <c r="G4092" s="3">
        <f t="shared" si="189"/>
        <v>11</v>
      </c>
      <c r="H4092" s="4">
        <f t="shared" si="190"/>
        <v>1.0457267801121661E-3</v>
      </c>
      <c r="I4092" s="1">
        <f t="shared" si="191"/>
        <v>1</v>
      </c>
    </row>
    <row r="4093" spans="1:9" hidden="1" x14ac:dyDescent="0.2">
      <c r="A4093" s="6">
        <v>44048.708333333336</v>
      </c>
      <c r="B4093" s="1" t="s">
        <v>22</v>
      </c>
      <c r="C4093">
        <v>18</v>
      </c>
      <c r="D4093">
        <v>0</v>
      </c>
      <c r="E4093">
        <v>1137</v>
      </c>
      <c r="F4093">
        <v>10530</v>
      </c>
      <c r="G4093" s="3">
        <f t="shared" si="189"/>
        <v>11</v>
      </c>
      <c r="H4093" s="4">
        <f t="shared" si="190"/>
        <v>1.0446343779677569E-3</v>
      </c>
      <c r="I4093" s="1">
        <f t="shared" si="191"/>
        <v>0</v>
      </c>
    </row>
    <row r="4094" spans="1:9" hidden="1" x14ac:dyDescent="0.2">
      <c r="A4094" s="6">
        <v>44049.708333333336</v>
      </c>
      <c r="B4094" s="1" t="s">
        <v>22</v>
      </c>
      <c r="C4094">
        <v>20</v>
      </c>
      <c r="D4094">
        <v>0</v>
      </c>
      <c r="E4094">
        <v>1137</v>
      </c>
      <c r="F4094">
        <v>10547</v>
      </c>
      <c r="G4094" s="3">
        <f t="shared" si="189"/>
        <v>17</v>
      </c>
      <c r="H4094" s="4">
        <f t="shared" si="190"/>
        <v>1.6118327486489559E-3</v>
      </c>
      <c r="I4094" s="1">
        <f t="shared" si="191"/>
        <v>0</v>
      </c>
    </row>
    <row r="4095" spans="1:9" hidden="1" x14ac:dyDescent="0.2">
      <c r="A4095" s="6">
        <v>44050.708333333336</v>
      </c>
      <c r="B4095" s="1" t="s">
        <v>22</v>
      </c>
      <c r="C4095">
        <v>18</v>
      </c>
      <c r="D4095">
        <v>0</v>
      </c>
      <c r="E4095">
        <v>1137</v>
      </c>
      <c r="F4095">
        <v>10560</v>
      </c>
      <c r="G4095" s="3">
        <f t="shared" si="189"/>
        <v>13</v>
      </c>
      <c r="H4095" s="4">
        <f t="shared" si="190"/>
        <v>1.2310606060605966E-3</v>
      </c>
      <c r="I4095" s="1">
        <f t="shared" si="191"/>
        <v>0</v>
      </c>
    </row>
    <row r="4096" spans="1:9" hidden="1" x14ac:dyDescent="0.2">
      <c r="A4096" s="6">
        <v>44051.708333333336</v>
      </c>
      <c r="B4096" s="1" t="s">
        <v>22</v>
      </c>
      <c r="C4096">
        <v>14</v>
      </c>
      <c r="D4096">
        <v>1</v>
      </c>
      <c r="E4096">
        <v>1137</v>
      </c>
      <c r="F4096">
        <v>10583</v>
      </c>
      <c r="G4096" s="3">
        <f t="shared" si="189"/>
        <v>23</v>
      </c>
      <c r="H4096" s="4">
        <f t="shared" si="190"/>
        <v>2.1732967967494909E-3</v>
      </c>
      <c r="I4096" s="1">
        <f t="shared" si="191"/>
        <v>0</v>
      </c>
    </row>
    <row r="4097" spans="1:9" hidden="1" x14ac:dyDescent="0.2">
      <c r="A4097" s="6">
        <v>44052.708333333336</v>
      </c>
      <c r="B4097" s="1" t="s">
        <v>22</v>
      </c>
      <c r="C4097">
        <v>14</v>
      </c>
      <c r="D4097">
        <v>1</v>
      </c>
      <c r="E4097">
        <v>1137</v>
      </c>
      <c r="F4097">
        <v>10644</v>
      </c>
      <c r="G4097" s="3">
        <f t="shared" si="189"/>
        <v>61</v>
      </c>
      <c r="H4097" s="4">
        <f t="shared" si="190"/>
        <v>5.7309282224727864E-3</v>
      </c>
      <c r="I4097" s="1">
        <f t="shared" si="191"/>
        <v>0</v>
      </c>
    </row>
    <row r="4098" spans="1:9" hidden="1" x14ac:dyDescent="0.2">
      <c r="A4098" s="6">
        <v>44053.708333333336</v>
      </c>
      <c r="B4098" s="1" t="s">
        <v>22</v>
      </c>
      <c r="C4098">
        <v>16</v>
      </c>
      <c r="D4098">
        <v>1</v>
      </c>
      <c r="E4098">
        <v>1137</v>
      </c>
      <c r="F4098">
        <v>10652</v>
      </c>
      <c r="G4098" s="3">
        <f t="shared" si="189"/>
        <v>8</v>
      </c>
      <c r="H4098" s="4">
        <f t="shared" si="190"/>
        <v>7.5103266992115891E-4</v>
      </c>
      <c r="I4098" s="1">
        <f t="shared" si="191"/>
        <v>0</v>
      </c>
    </row>
    <row r="4099" spans="1:9" hidden="1" x14ac:dyDescent="0.2">
      <c r="A4099" s="6">
        <v>44054.708333333336</v>
      </c>
      <c r="B4099" s="1" t="s">
        <v>22</v>
      </c>
      <c r="C4099">
        <v>18</v>
      </c>
      <c r="D4099">
        <v>1</v>
      </c>
      <c r="E4099">
        <v>1137</v>
      </c>
      <c r="F4099">
        <v>10674</v>
      </c>
      <c r="G4099" s="3">
        <f t="shared" ref="G4099:G4162" si="192">IF(AND(F4099&gt;0,AND(B4099=B4098,F4099&gt;0)),F4099-F4098,0)</f>
        <v>22</v>
      </c>
      <c r="H4099" s="4">
        <f t="shared" ref="H4099:H4162" si="193">IF(AND(F4098&gt;0,AND(B4099=B4098,F4098&gt;0)),1-(F4098/F4099),0)</f>
        <v>2.0610830054337281E-3</v>
      </c>
      <c r="I4099" s="1">
        <f t="shared" ref="I4099:I4162" si="194">IF(AND(E4099&gt;0,AND(B4099=B4098,E4099&gt;0)),E4099-E4098,0)</f>
        <v>0</v>
      </c>
    </row>
    <row r="4100" spans="1:9" hidden="1" x14ac:dyDescent="0.2">
      <c r="A4100" s="6">
        <v>44055.708333333336</v>
      </c>
      <c r="B4100" s="1" t="s">
        <v>22</v>
      </c>
      <c r="C4100">
        <v>15</v>
      </c>
      <c r="D4100">
        <v>3</v>
      </c>
      <c r="E4100">
        <v>1137</v>
      </c>
      <c r="F4100">
        <v>10707</v>
      </c>
      <c r="G4100" s="3">
        <f t="shared" si="192"/>
        <v>33</v>
      </c>
      <c r="H4100" s="4">
        <f t="shared" si="193"/>
        <v>3.0820958251610575E-3</v>
      </c>
      <c r="I4100" s="1">
        <f t="shared" si="194"/>
        <v>0</v>
      </c>
    </row>
    <row r="4101" spans="1:9" hidden="1" x14ac:dyDescent="0.2">
      <c r="A4101" s="6">
        <v>44056.708333333336</v>
      </c>
      <c r="B4101" s="1" t="s">
        <v>22</v>
      </c>
      <c r="C4101">
        <v>13</v>
      </c>
      <c r="D4101">
        <v>3</v>
      </c>
      <c r="E4101">
        <v>1137</v>
      </c>
      <c r="F4101">
        <v>10735</v>
      </c>
      <c r="G4101" s="3">
        <f t="shared" si="192"/>
        <v>28</v>
      </c>
      <c r="H4101" s="4">
        <f t="shared" si="193"/>
        <v>2.6082906380996418E-3</v>
      </c>
      <c r="I4101" s="1">
        <f t="shared" si="194"/>
        <v>0</v>
      </c>
    </row>
    <row r="4102" spans="1:9" hidden="1" x14ac:dyDescent="0.2">
      <c r="A4102" s="6">
        <v>44057.708333333336</v>
      </c>
      <c r="B4102" s="1" t="s">
        <v>22</v>
      </c>
      <c r="C4102">
        <v>12</v>
      </c>
      <c r="D4102">
        <v>3</v>
      </c>
      <c r="E4102">
        <v>1137</v>
      </c>
      <c r="F4102">
        <v>10761</v>
      </c>
      <c r="G4102" s="3">
        <f t="shared" si="192"/>
        <v>26</v>
      </c>
      <c r="H4102" s="4">
        <f t="shared" si="193"/>
        <v>2.4161323297091641E-3</v>
      </c>
      <c r="I4102" s="1">
        <f t="shared" si="194"/>
        <v>0</v>
      </c>
    </row>
    <row r="4103" spans="1:9" hidden="1" x14ac:dyDescent="0.2">
      <c r="A4103" s="6">
        <v>44058.708333333336</v>
      </c>
      <c r="B4103" s="1" t="s">
        <v>22</v>
      </c>
      <c r="C4103">
        <v>9</v>
      </c>
      <c r="D4103">
        <v>4</v>
      </c>
      <c r="E4103">
        <v>1138</v>
      </c>
      <c r="F4103">
        <v>10799</v>
      </c>
      <c r="G4103" s="3">
        <f t="shared" si="192"/>
        <v>38</v>
      </c>
      <c r="H4103" s="4">
        <f t="shared" si="193"/>
        <v>3.5188443374386535E-3</v>
      </c>
      <c r="I4103" s="1">
        <f t="shared" si="194"/>
        <v>1</v>
      </c>
    </row>
    <row r="4104" spans="1:9" hidden="1" x14ac:dyDescent="0.2">
      <c r="A4104" s="6">
        <v>44059.708333333336</v>
      </c>
      <c r="B4104" s="1" t="s">
        <v>22</v>
      </c>
      <c r="C4104">
        <v>10</v>
      </c>
      <c r="D4104">
        <v>4</v>
      </c>
      <c r="E4104">
        <v>1138</v>
      </c>
      <c r="F4104">
        <v>10833</v>
      </c>
      <c r="G4104" s="3">
        <f t="shared" si="192"/>
        <v>34</v>
      </c>
      <c r="H4104" s="4">
        <f t="shared" si="193"/>
        <v>3.1385581094802717E-3</v>
      </c>
      <c r="I4104" s="1">
        <f t="shared" si="194"/>
        <v>0</v>
      </c>
    </row>
    <row r="4105" spans="1:9" hidden="1" x14ac:dyDescent="0.2">
      <c r="A4105" s="6">
        <v>44060.708333333336</v>
      </c>
      <c r="B4105" s="1" t="s">
        <v>22</v>
      </c>
      <c r="C4105">
        <v>11</v>
      </c>
      <c r="D4105">
        <v>4</v>
      </c>
      <c r="E4105">
        <v>1139</v>
      </c>
      <c r="F4105">
        <v>10854</v>
      </c>
      <c r="G4105" s="3">
        <f t="shared" si="192"/>
        <v>21</v>
      </c>
      <c r="H4105" s="4">
        <f t="shared" si="193"/>
        <v>1.9347705914870561E-3</v>
      </c>
      <c r="I4105" s="1">
        <f t="shared" si="194"/>
        <v>1</v>
      </c>
    </row>
    <row r="4106" spans="1:9" hidden="1" x14ac:dyDescent="0.2">
      <c r="A4106" s="6">
        <v>44061.708333333336</v>
      </c>
      <c r="B4106" s="1" t="s">
        <v>22</v>
      </c>
      <c r="C4106">
        <v>16</v>
      </c>
      <c r="D4106">
        <v>4</v>
      </c>
      <c r="E4106">
        <v>1139</v>
      </c>
      <c r="F4106">
        <v>10885</v>
      </c>
      <c r="G4106" s="3">
        <f t="shared" si="192"/>
        <v>31</v>
      </c>
      <c r="H4106" s="4">
        <f t="shared" si="193"/>
        <v>2.8479559026183265E-3</v>
      </c>
      <c r="I4106" s="1">
        <f t="shared" si="194"/>
        <v>0</v>
      </c>
    </row>
    <row r="4107" spans="1:9" hidden="1" x14ac:dyDescent="0.2">
      <c r="A4107" s="6">
        <v>44062.708333333336</v>
      </c>
      <c r="B4107" s="1" t="s">
        <v>22</v>
      </c>
      <c r="C4107">
        <v>20</v>
      </c>
      <c r="D4107">
        <v>5</v>
      </c>
      <c r="E4107">
        <v>1139</v>
      </c>
      <c r="F4107">
        <v>10925</v>
      </c>
      <c r="G4107" s="3">
        <f t="shared" si="192"/>
        <v>40</v>
      </c>
      <c r="H4107" s="4">
        <f t="shared" si="193"/>
        <v>3.6613272311213363E-3</v>
      </c>
      <c r="I4107" s="1">
        <f t="shared" si="194"/>
        <v>0</v>
      </c>
    </row>
    <row r="4108" spans="1:9" hidden="1" x14ac:dyDescent="0.2">
      <c r="A4108" s="6">
        <v>44063.708333333336</v>
      </c>
      <c r="B4108" s="1" t="s">
        <v>22</v>
      </c>
      <c r="C4108">
        <v>24</v>
      </c>
      <c r="D4108">
        <v>5</v>
      </c>
      <c r="E4108">
        <v>1139</v>
      </c>
      <c r="F4108">
        <v>10984</v>
      </c>
      <c r="G4108" s="3">
        <f t="shared" si="192"/>
        <v>59</v>
      </c>
      <c r="H4108" s="4">
        <f t="shared" si="193"/>
        <v>5.3714493809177144E-3</v>
      </c>
      <c r="I4108" s="1">
        <f t="shared" si="194"/>
        <v>0</v>
      </c>
    </row>
    <row r="4109" spans="1:9" hidden="1" x14ac:dyDescent="0.2">
      <c r="A4109" s="6">
        <v>44064.708333333336</v>
      </c>
      <c r="B4109" s="1" t="s">
        <v>22</v>
      </c>
      <c r="C4109">
        <v>28</v>
      </c>
      <c r="D4109">
        <v>5</v>
      </c>
      <c r="E4109">
        <v>1139</v>
      </c>
      <c r="F4109">
        <v>11063</v>
      </c>
      <c r="G4109" s="3">
        <f t="shared" si="192"/>
        <v>79</v>
      </c>
      <c r="H4109" s="4">
        <f t="shared" si="193"/>
        <v>7.1409201843984915E-3</v>
      </c>
      <c r="I4109" s="1">
        <f t="shared" si="194"/>
        <v>0</v>
      </c>
    </row>
    <row r="4110" spans="1:9" hidden="1" x14ac:dyDescent="0.2">
      <c r="A4110" s="6">
        <v>44065.708333333336</v>
      </c>
      <c r="B4110" s="1" t="s">
        <v>22</v>
      </c>
      <c r="C4110">
        <v>30</v>
      </c>
      <c r="D4110">
        <v>6</v>
      </c>
      <c r="E4110">
        <v>1139</v>
      </c>
      <c r="F4110">
        <v>11116</v>
      </c>
      <c r="G4110" s="3">
        <f t="shared" si="192"/>
        <v>53</v>
      </c>
      <c r="H4110" s="4">
        <f t="shared" si="193"/>
        <v>4.7679021230658813E-3</v>
      </c>
      <c r="I4110" s="1">
        <f t="shared" si="194"/>
        <v>0</v>
      </c>
    </row>
    <row r="4111" spans="1:9" hidden="1" x14ac:dyDescent="0.2">
      <c r="A4111" s="6">
        <v>44066.708333333336</v>
      </c>
      <c r="B4111" s="1" t="s">
        <v>22</v>
      </c>
      <c r="C4111">
        <v>35</v>
      </c>
      <c r="D4111">
        <v>7</v>
      </c>
      <c r="E4111">
        <v>1139</v>
      </c>
      <c r="F4111">
        <v>11175</v>
      </c>
      <c r="G4111" s="3">
        <f t="shared" si="192"/>
        <v>59</v>
      </c>
      <c r="H4111" s="4">
        <f t="shared" si="193"/>
        <v>5.2796420581655568E-3</v>
      </c>
      <c r="I4111" s="1">
        <f t="shared" si="194"/>
        <v>0</v>
      </c>
    </row>
    <row r="4112" spans="1:9" hidden="1" x14ac:dyDescent="0.2">
      <c r="A4112" s="6">
        <v>44067.708333333336</v>
      </c>
      <c r="B4112" s="1" t="s">
        <v>22</v>
      </c>
      <c r="C4112">
        <v>39</v>
      </c>
      <c r="D4112">
        <v>5</v>
      </c>
      <c r="E4112">
        <v>1139</v>
      </c>
      <c r="F4112">
        <v>11219</v>
      </c>
      <c r="G4112" s="3">
        <f t="shared" si="192"/>
        <v>44</v>
      </c>
      <c r="H4112" s="4">
        <f t="shared" si="193"/>
        <v>3.9219181745253628E-3</v>
      </c>
      <c r="I4112" s="1">
        <f t="shared" si="194"/>
        <v>0</v>
      </c>
    </row>
    <row r="4113" spans="1:9" hidden="1" x14ac:dyDescent="0.2">
      <c r="A4113" s="6">
        <v>44068.708333333336</v>
      </c>
      <c r="B4113" s="1" t="s">
        <v>22</v>
      </c>
      <c r="C4113">
        <v>41</v>
      </c>
      <c r="D4113">
        <v>5</v>
      </c>
      <c r="E4113">
        <v>1139</v>
      </c>
      <c r="F4113">
        <v>11253</v>
      </c>
      <c r="G4113" s="3">
        <f t="shared" si="192"/>
        <v>34</v>
      </c>
      <c r="H4113" s="4">
        <f t="shared" si="193"/>
        <v>3.0214165111526192E-3</v>
      </c>
      <c r="I4113" s="1">
        <f t="shared" si="194"/>
        <v>0</v>
      </c>
    </row>
    <row r="4114" spans="1:9" hidden="1" x14ac:dyDescent="0.2">
      <c r="A4114" s="6">
        <v>44069.708333333336</v>
      </c>
      <c r="B4114" s="1" t="s">
        <v>22</v>
      </c>
      <c r="C4114">
        <v>43</v>
      </c>
      <c r="D4114">
        <v>6</v>
      </c>
      <c r="E4114">
        <v>1140</v>
      </c>
      <c r="F4114">
        <v>11414</v>
      </c>
      <c r="G4114" s="3">
        <f t="shared" si="192"/>
        <v>161</v>
      </c>
      <c r="H4114" s="4">
        <f t="shared" si="193"/>
        <v>1.4105484492728193E-2</v>
      </c>
      <c r="I4114" s="1">
        <f t="shared" si="194"/>
        <v>1</v>
      </c>
    </row>
    <row r="4115" spans="1:9" hidden="1" x14ac:dyDescent="0.2">
      <c r="A4115" s="6">
        <v>44070.708333333336</v>
      </c>
      <c r="B4115" s="1" t="s">
        <v>22</v>
      </c>
      <c r="C4115">
        <v>43</v>
      </c>
      <c r="D4115">
        <v>5</v>
      </c>
      <c r="E4115">
        <v>1140</v>
      </c>
      <c r="F4115">
        <v>11513</v>
      </c>
      <c r="G4115" s="3">
        <f t="shared" si="192"/>
        <v>99</v>
      </c>
      <c r="H4115" s="4">
        <f t="shared" si="193"/>
        <v>8.5989750716580771E-3</v>
      </c>
      <c r="I4115" s="1">
        <f t="shared" si="194"/>
        <v>0</v>
      </c>
    </row>
    <row r="4116" spans="1:9" hidden="1" x14ac:dyDescent="0.2">
      <c r="A4116" s="6">
        <v>44071.708333333336</v>
      </c>
      <c r="B4116" s="1" t="s">
        <v>22</v>
      </c>
      <c r="C4116">
        <v>47</v>
      </c>
      <c r="D4116">
        <v>4</v>
      </c>
      <c r="E4116">
        <v>1141</v>
      </c>
      <c r="F4116">
        <v>11595</v>
      </c>
      <c r="G4116" s="3">
        <f t="shared" si="192"/>
        <v>82</v>
      </c>
      <c r="H4116" s="4">
        <f t="shared" si="193"/>
        <v>7.0720137990513132E-3</v>
      </c>
      <c r="I4116" s="1">
        <f t="shared" si="194"/>
        <v>1</v>
      </c>
    </row>
    <row r="4117" spans="1:9" hidden="1" x14ac:dyDescent="0.2">
      <c r="A4117" s="6">
        <v>44072.708333333336</v>
      </c>
      <c r="B4117" s="1" t="s">
        <v>22</v>
      </c>
      <c r="C4117">
        <v>44</v>
      </c>
      <c r="D4117">
        <v>5</v>
      </c>
      <c r="E4117">
        <v>1141</v>
      </c>
      <c r="F4117">
        <v>11687</v>
      </c>
      <c r="G4117" s="3">
        <f t="shared" si="192"/>
        <v>92</v>
      </c>
      <c r="H4117" s="4">
        <f t="shared" si="193"/>
        <v>7.8719945238299172E-3</v>
      </c>
      <c r="I4117" s="1">
        <f t="shared" si="194"/>
        <v>0</v>
      </c>
    </row>
    <row r="4118" spans="1:9" hidden="1" x14ac:dyDescent="0.2">
      <c r="A4118" s="6">
        <v>44073.708333333336</v>
      </c>
      <c r="B4118" s="1" t="s">
        <v>22</v>
      </c>
      <c r="C4118">
        <v>48</v>
      </c>
      <c r="D4118">
        <v>5</v>
      </c>
      <c r="E4118">
        <v>1141</v>
      </c>
      <c r="F4118">
        <v>11785</v>
      </c>
      <c r="G4118" s="3">
        <f t="shared" si="192"/>
        <v>98</v>
      </c>
      <c r="H4118" s="4">
        <f t="shared" si="193"/>
        <v>8.3156554942723782E-3</v>
      </c>
      <c r="I4118" s="1">
        <f t="shared" si="194"/>
        <v>0</v>
      </c>
    </row>
    <row r="4119" spans="1:9" hidden="1" x14ac:dyDescent="0.2">
      <c r="A4119" s="6">
        <v>44074.708333333336</v>
      </c>
      <c r="B4119" s="1" t="s">
        <v>22</v>
      </c>
      <c r="C4119">
        <v>52</v>
      </c>
      <c r="D4119">
        <v>8</v>
      </c>
      <c r="E4119">
        <v>1141</v>
      </c>
      <c r="F4119">
        <v>11858</v>
      </c>
      <c r="G4119" s="3">
        <f t="shared" si="192"/>
        <v>73</v>
      </c>
      <c r="H4119" s="4">
        <f t="shared" si="193"/>
        <v>6.1561814808568371E-3</v>
      </c>
      <c r="I4119" s="1">
        <f t="shared" si="194"/>
        <v>0</v>
      </c>
    </row>
    <row r="4120" spans="1:9" hidden="1" x14ac:dyDescent="0.2">
      <c r="A4120" s="6">
        <v>44075.708333333336</v>
      </c>
      <c r="B4120" s="1" t="s">
        <v>22</v>
      </c>
      <c r="C4120">
        <v>53</v>
      </c>
      <c r="D4120">
        <v>9</v>
      </c>
      <c r="E4120">
        <v>1142</v>
      </c>
      <c r="F4120">
        <v>11898</v>
      </c>
      <c r="G4120" s="3">
        <f t="shared" si="192"/>
        <v>40</v>
      </c>
      <c r="H4120" s="4">
        <f t="shared" si="193"/>
        <v>3.3619095646326702E-3</v>
      </c>
      <c r="I4120" s="1">
        <f t="shared" si="194"/>
        <v>1</v>
      </c>
    </row>
    <row r="4121" spans="1:9" hidden="1" x14ac:dyDescent="0.2">
      <c r="A4121" s="6">
        <v>44076.708333333336</v>
      </c>
      <c r="B4121" s="1" t="s">
        <v>22</v>
      </c>
      <c r="C4121">
        <v>58</v>
      </c>
      <c r="D4121">
        <v>8</v>
      </c>
      <c r="E4121">
        <v>1142</v>
      </c>
      <c r="F4121">
        <v>11967</v>
      </c>
      <c r="G4121" s="3">
        <f t="shared" si="192"/>
        <v>69</v>
      </c>
      <c r="H4121" s="4">
        <f t="shared" si="193"/>
        <v>5.7658561042868151E-3</v>
      </c>
      <c r="I4121" s="1">
        <f t="shared" si="194"/>
        <v>0</v>
      </c>
    </row>
    <row r="4122" spans="1:9" hidden="1" x14ac:dyDescent="0.2">
      <c r="A4122" s="6">
        <v>44077.708333333336</v>
      </c>
      <c r="B4122" s="1" t="s">
        <v>22</v>
      </c>
      <c r="C4122">
        <v>63</v>
      </c>
      <c r="D4122">
        <v>7</v>
      </c>
      <c r="E4122">
        <v>1143</v>
      </c>
      <c r="F4122">
        <v>12080</v>
      </c>
      <c r="G4122" s="3">
        <f t="shared" si="192"/>
        <v>113</v>
      </c>
      <c r="H4122" s="4">
        <f t="shared" si="193"/>
        <v>9.35430463576159E-3</v>
      </c>
      <c r="I4122" s="1">
        <f t="shared" si="194"/>
        <v>1</v>
      </c>
    </row>
    <row r="4123" spans="1:9" hidden="1" x14ac:dyDescent="0.2">
      <c r="A4123" s="6">
        <v>44078.708333333336</v>
      </c>
      <c r="B4123" s="1" t="s">
        <v>22</v>
      </c>
      <c r="C4123">
        <v>67</v>
      </c>
      <c r="D4123">
        <v>8</v>
      </c>
      <c r="E4123">
        <v>1143</v>
      </c>
      <c r="F4123">
        <v>12179</v>
      </c>
      <c r="G4123" s="3">
        <f t="shared" si="192"/>
        <v>99</v>
      </c>
      <c r="H4123" s="4">
        <f t="shared" si="193"/>
        <v>8.1287462024797197E-3</v>
      </c>
      <c r="I4123" s="1">
        <f t="shared" si="194"/>
        <v>0</v>
      </c>
    </row>
    <row r="4124" spans="1:9" hidden="1" x14ac:dyDescent="0.2">
      <c r="A4124" s="6">
        <v>44079.708333333336</v>
      </c>
      <c r="B4124" s="1" t="s">
        <v>22</v>
      </c>
      <c r="C4124">
        <v>69</v>
      </c>
      <c r="D4124">
        <v>8</v>
      </c>
      <c r="E4124">
        <v>1143</v>
      </c>
      <c r="F4124">
        <v>12292</v>
      </c>
      <c r="G4124" s="3">
        <f t="shared" si="192"/>
        <v>113</v>
      </c>
      <c r="H4124" s="4">
        <f t="shared" si="193"/>
        <v>9.1929710380735941E-3</v>
      </c>
      <c r="I4124" s="1">
        <f t="shared" si="194"/>
        <v>0</v>
      </c>
    </row>
    <row r="4125" spans="1:9" hidden="1" x14ac:dyDescent="0.2">
      <c r="A4125" s="6">
        <v>44080.708333333336</v>
      </c>
      <c r="B4125" s="1" t="s">
        <v>22</v>
      </c>
      <c r="C4125">
        <v>77</v>
      </c>
      <c r="D4125">
        <v>8</v>
      </c>
      <c r="E4125">
        <v>1143</v>
      </c>
      <c r="F4125">
        <v>12414</v>
      </c>
      <c r="G4125" s="3">
        <f t="shared" si="192"/>
        <v>122</v>
      </c>
      <c r="H4125" s="4">
        <f t="shared" si="193"/>
        <v>9.8276139842113919E-3</v>
      </c>
      <c r="I4125" s="1">
        <f t="shared" si="194"/>
        <v>0</v>
      </c>
    </row>
    <row r="4126" spans="1:9" hidden="1" x14ac:dyDescent="0.2">
      <c r="A4126" s="6">
        <v>44081.708333333336</v>
      </c>
      <c r="B4126" s="1" t="s">
        <v>22</v>
      </c>
      <c r="C4126">
        <v>77</v>
      </c>
      <c r="D4126">
        <v>9</v>
      </c>
      <c r="E4126">
        <v>1144</v>
      </c>
      <c r="F4126">
        <v>12499</v>
      </c>
      <c r="G4126" s="3">
        <f t="shared" si="192"/>
        <v>85</v>
      </c>
      <c r="H4126" s="4">
        <f t="shared" si="193"/>
        <v>6.8005440435234821E-3</v>
      </c>
      <c r="I4126" s="1">
        <f t="shared" si="194"/>
        <v>1</v>
      </c>
    </row>
    <row r="4127" spans="1:9" hidden="1" x14ac:dyDescent="0.2">
      <c r="A4127" s="6">
        <v>44082.708333333336</v>
      </c>
      <c r="B4127" s="1" t="s">
        <v>22</v>
      </c>
      <c r="C4127">
        <v>74</v>
      </c>
      <c r="D4127">
        <v>9</v>
      </c>
      <c r="E4127">
        <v>1145</v>
      </c>
      <c r="F4127">
        <v>12558</v>
      </c>
      <c r="G4127" s="3">
        <f t="shared" si="192"/>
        <v>59</v>
      </c>
      <c r="H4127" s="4">
        <f t="shared" si="193"/>
        <v>4.6982003503742709E-3</v>
      </c>
      <c r="I4127" s="1">
        <f t="shared" si="194"/>
        <v>1</v>
      </c>
    </row>
    <row r="4128" spans="1:9" hidden="1" x14ac:dyDescent="0.2">
      <c r="A4128" s="6">
        <v>44083.708333333336</v>
      </c>
      <c r="B4128" s="1" t="s">
        <v>22</v>
      </c>
      <c r="C4128">
        <v>69</v>
      </c>
      <c r="D4128">
        <v>11</v>
      </c>
      <c r="E4128">
        <v>1147</v>
      </c>
      <c r="F4128">
        <v>12646</v>
      </c>
      <c r="G4128" s="3">
        <f t="shared" si="192"/>
        <v>88</v>
      </c>
      <c r="H4128" s="4">
        <f t="shared" si="193"/>
        <v>6.9587221255733578E-3</v>
      </c>
      <c r="I4128" s="1">
        <f t="shared" si="194"/>
        <v>2</v>
      </c>
    </row>
    <row r="4129" spans="1:9" hidden="1" x14ac:dyDescent="0.2">
      <c r="A4129" s="6">
        <v>44084.708333333336</v>
      </c>
      <c r="B4129" s="1" t="s">
        <v>22</v>
      </c>
      <c r="C4129">
        <v>74</v>
      </c>
      <c r="D4129">
        <v>13</v>
      </c>
      <c r="E4129">
        <v>1147</v>
      </c>
      <c r="F4129">
        <v>12738</v>
      </c>
      <c r="G4129" s="3">
        <f t="shared" si="192"/>
        <v>92</v>
      </c>
      <c r="H4129" s="4">
        <f t="shared" si="193"/>
        <v>7.2224839064217727E-3</v>
      </c>
      <c r="I4129" s="1">
        <f t="shared" si="194"/>
        <v>0</v>
      </c>
    </row>
    <row r="4130" spans="1:9" hidden="1" x14ac:dyDescent="0.2">
      <c r="A4130" s="6">
        <v>44085.708333333336</v>
      </c>
      <c r="B4130" s="1" t="s">
        <v>22</v>
      </c>
      <c r="C4130">
        <v>72</v>
      </c>
      <c r="D4130">
        <v>17</v>
      </c>
      <c r="E4130">
        <v>1148</v>
      </c>
      <c r="F4130">
        <v>12885</v>
      </c>
      <c r="G4130" s="3">
        <f t="shared" si="192"/>
        <v>147</v>
      </c>
      <c r="H4130" s="4">
        <f t="shared" si="193"/>
        <v>1.1408614668218853E-2</v>
      </c>
      <c r="I4130" s="1">
        <f t="shared" si="194"/>
        <v>1</v>
      </c>
    </row>
    <row r="4131" spans="1:9" hidden="1" x14ac:dyDescent="0.2">
      <c r="A4131" s="6">
        <v>44086.708333333336</v>
      </c>
      <c r="B4131" s="1" t="s">
        <v>22</v>
      </c>
      <c r="C4131">
        <v>74</v>
      </c>
      <c r="D4131">
        <v>18</v>
      </c>
      <c r="E4131">
        <v>1148</v>
      </c>
      <c r="F4131">
        <v>13023</v>
      </c>
      <c r="G4131" s="3">
        <f t="shared" si="192"/>
        <v>138</v>
      </c>
      <c r="H4131" s="4">
        <f t="shared" si="193"/>
        <v>1.0596636719649832E-2</v>
      </c>
      <c r="I4131" s="1">
        <f t="shared" si="194"/>
        <v>0</v>
      </c>
    </row>
    <row r="4132" spans="1:9" hidden="1" x14ac:dyDescent="0.2">
      <c r="A4132" s="6">
        <v>44087.708333333336</v>
      </c>
      <c r="B4132" s="1" t="s">
        <v>22</v>
      </c>
      <c r="C4132">
        <v>80</v>
      </c>
      <c r="D4132">
        <v>17</v>
      </c>
      <c r="E4132">
        <v>1149</v>
      </c>
      <c r="F4132">
        <v>13114</v>
      </c>
      <c r="G4132" s="3">
        <f t="shared" si="192"/>
        <v>91</v>
      </c>
      <c r="H4132" s="4">
        <f t="shared" si="193"/>
        <v>6.9391490010675128E-3</v>
      </c>
      <c r="I4132" s="1">
        <f t="shared" si="194"/>
        <v>1</v>
      </c>
    </row>
    <row r="4133" spans="1:9" hidden="1" x14ac:dyDescent="0.2">
      <c r="A4133" s="6">
        <v>44088.708333333336</v>
      </c>
      <c r="B4133" s="1" t="s">
        <v>22</v>
      </c>
      <c r="C4133">
        <v>82</v>
      </c>
      <c r="D4133">
        <v>18</v>
      </c>
      <c r="E4133">
        <v>1150</v>
      </c>
      <c r="F4133">
        <v>13173</v>
      </c>
      <c r="G4133" s="3">
        <f t="shared" si="192"/>
        <v>59</v>
      </c>
      <c r="H4133" s="4">
        <f t="shared" si="193"/>
        <v>4.478858270705266E-3</v>
      </c>
      <c r="I4133" s="1">
        <f t="shared" si="194"/>
        <v>1</v>
      </c>
    </row>
    <row r="4134" spans="1:9" hidden="1" x14ac:dyDescent="0.2">
      <c r="A4134" s="6">
        <v>44089.708333333336</v>
      </c>
      <c r="B4134" s="1" t="s">
        <v>22</v>
      </c>
      <c r="C4134">
        <v>93</v>
      </c>
      <c r="D4134">
        <v>17</v>
      </c>
      <c r="E4134">
        <v>1151</v>
      </c>
      <c r="F4134">
        <v>13214</v>
      </c>
      <c r="G4134" s="3">
        <f t="shared" si="192"/>
        <v>41</v>
      </c>
      <c r="H4134" s="4">
        <f t="shared" si="193"/>
        <v>3.1027697896170991E-3</v>
      </c>
      <c r="I4134" s="1">
        <f t="shared" si="194"/>
        <v>1</v>
      </c>
    </row>
    <row r="4135" spans="1:9" hidden="1" x14ac:dyDescent="0.2">
      <c r="A4135" s="6">
        <v>44090.708333333336</v>
      </c>
      <c r="B4135" s="1" t="s">
        <v>22</v>
      </c>
      <c r="C4135">
        <v>88</v>
      </c>
      <c r="D4135">
        <v>20</v>
      </c>
      <c r="E4135">
        <v>1151</v>
      </c>
      <c r="F4135">
        <v>13304</v>
      </c>
      <c r="G4135" s="3">
        <f t="shared" si="192"/>
        <v>90</v>
      </c>
      <c r="H4135" s="4">
        <f t="shared" si="193"/>
        <v>6.7648827420324631E-3</v>
      </c>
      <c r="I4135" s="1">
        <f t="shared" si="194"/>
        <v>0</v>
      </c>
    </row>
    <row r="4136" spans="1:9" hidden="1" x14ac:dyDescent="0.2">
      <c r="A4136" s="6">
        <v>44091.708333333336</v>
      </c>
      <c r="B4136" s="1" t="s">
        <v>22</v>
      </c>
      <c r="C4136">
        <v>89</v>
      </c>
      <c r="D4136">
        <v>20</v>
      </c>
      <c r="E4136">
        <v>1152</v>
      </c>
      <c r="F4136">
        <v>13423</v>
      </c>
      <c r="G4136" s="3">
        <f t="shared" si="192"/>
        <v>119</v>
      </c>
      <c r="H4136" s="4">
        <f t="shared" si="193"/>
        <v>8.8653803173657231E-3</v>
      </c>
      <c r="I4136" s="1">
        <f t="shared" si="194"/>
        <v>1</v>
      </c>
    </row>
    <row r="4137" spans="1:9" hidden="1" x14ac:dyDescent="0.2">
      <c r="A4137" s="6">
        <v>44092.708333333336</v>
      </c>
      <c r="B4137" s="1" t="s">
        <v>22</v>
      </c>
      <c r="C4137">
        <v>95</v>
      </c>
      <c r="D4137">
        <v>21</v>
      </c>
      <c r="E4137">
        <v>1152</v>
      </c>
      <c r="F4137">
        <v>13522</v>
      </c>
      <c r="G4137" s="3">
        <f t="shared" si="192"/>
        <v>99</v>
      </c>
      <c r="H4137" s="4">
        <f t="shared" si="193"/>
        <v>7.3214021594438794E-3</v>
      </c>
      <c r="I4137" s="1">
        <f t="shared" si="194"/>
        <v>0</v>
      </c>
    </row>
    <row r="4138" spans="1:9" hidden="1" x14ac:dyDescent="0.2">
      <c r="A4138" s="6">
        <v>44093.708333333336</v>
      </c>
      <c r="B4138" s="1" t="s">
        <v>22</v>
      </c>
      <c r="C4138">
        <v>88</v>
      </c>
      <c r="D4138">
        <v>21</v>
      </c>
      <c r="E4138">
        <v>1152</v>
      </c>
      <c r="F4138">
        <v>13665</v>
      </c>
      <c r="G4138" s="3">
        <f t="shared" si="192"/>
        <v>143</v>
      </c>
      <c r="H4138" s="4">
        <f t="shared" si="193"/>
        <v>1.0464690815953137E-2</v>
      </c>
      <c r="I4138" s="1">
        <f t="shared" si="194"/>
        <v>0</v>
      </c>
    </row>
    <row r="4139" spans="1:9" hidden="1" x14ac:dyDescent="0.2">
      <c r="A4139" s="6">
        <v>44094.708333333336</v>
      </c>
      <c r="B4139" s="1" t="s">
        <v>22</v>
      </c>
      <c r="C4139">
        <v>86</v>
      </c>
      <c r="D4139">
        <v>23</v>
      </c>
      <c r="E4139">
        <v>1152</v>
      </c>
      <c r="F4139">
        <v>13812</v>
      </c>
      <c r="G4139" s="3">
        <f t="shared" si="192"/>
        <v>147</v>
      </c>
      <c r="H4139" s="4">
        <f t="shared" si="193"/>
        <v>1.0642919200695045E-2</v>
      </c>
      <c r="I4139" s="1">
        <f t="shared" si="194"/>
        <v>0</v>
      </c>
    </row>
    <row r="4140" spans="1:9" hidden="1" x14ac:dyDescent="0.2">
      <c r="A4140" s="6">
        <v>44095.708333333336</v>
      </c>
      <c r="B4140" s="1" t="s">
        <v>22</v>
      </c>
      <c r="C4140">
        <v>94</v>
      </c>
      <c r="D4140">
        <v>23</v>
      </c>
      <c r="E4140">
        <v>1152</v>
      </c>
      <c r="F4140">
        <v>13896</v>
      </c>
      <c r="G4140" s="3">
        <f t="shared" si="192"/>
        <v>84</v>
      </c>
      <c r="H4140" s="4">
        <f t="shared" si="193"/>
        <v>6.044905008635526E-3</v>
      </c>
      <c r="I4140" s="1">
        <f t="shared" si="194"/>
        <v>0</v>
      </c>
    </row>
    <row r="4141" spans="1:9" hidden="1" x14ac:dyDescent="0.2">
      <c r="A4141" s="6">
        <v>44096.708333333336</v>
      </c>
      <c r="B4141" s="1" t="s">
        <v>22</v>
      </c>
      <c r="C4141">
        <v>98</v>
      </c>
      <c r="D4141">
        <v>21</v>
      </c>
      <c r="E4141">
        <v>1152</v>
      </c>
      <c r="F4141">
        <v>13970</v>
      </c>
      <c r="G4141" s="3">
        <f t="shared" si="192"/>
        <v>74</v>
      </c>
      <c r="H4141" s="4">
        <f t="shared" si="193"/>
        <v>5.2970651395848334E-3</v>
      </c>
      <c r="I4141" s="1">
        <f t="shared" si="194"/>
        <v>0</v>
      </c>
    </row>
    <row r="4142" spans="1:9" hidden="1" x14ac:dyDescent="0.2">
      <c r="A4142" s="6">
        <v>44097.708333333336</v>
      </c>
      <c r="B4142" s="1" t="s">
        <v>22</v>
      </c>
      <c r="C4142">
        <v>97</v>
      </c>
      <c r="D4142">
        <v>24</v>
      </c>
      <c r="E4142">
        <v>1153</v>
      </c>
      <c r="F4142">
        <v>14060</v>
      </c>
      <c r="G4142" s="3">
        <f t="shared" si="192"/>
        <v>90</v>
      </c>
      <c r="H4142" s="4">
        <f t="shared" si="193"/>
        <v>6.4011379800853474E-3</v>
      </c>
      <c r="I4142" s="1">
        <f t="shared" si="194"/>
        <v>1</v>
      </c>
    </row>
    <row r="4143" spans="1:9" hidden="1" x14ac:dyDescent="0.2">
      <c r="A4143" s="6">
        <v>44098.708333333336</v>
      </c>
      <c r="B4143" s="1" t="s">
        <v>22</v>
      </c>
      <c r="C4143">
        <v>95</v>
      </c>
      <c r="D4143">
        <v>24</v>
      </c>
      <c r="E4143">
        <v>1153</v>
      </c>
      <c r="F4143">
        <v>14216</v>
      </c>
      <c r="G4143" s="3">
        <f t="shared" si="192"/>
        <v>156</v>
      </c>
      <c r="H4143" s="4">
        <f t="shared" si="193"/>
        <v>1.097355092853125E-2</v>
      </c>
      <c r="I4143" s="1">
        <f t="shared" si="194"/>
        <v>0</v>
      </c>
    </row>
    <row r="4144" spans="1:9" hidden="1" x14ac:dyDescent="0.2">
      <c r="A4144" s="6">
        <v>44099.708333333336</v>
      </c>
      <c r="B4144" s="1" t="s">
        <v>22</v>
      </c>
      <c r="C4144">
        <v>87</v>
      </c>
      <c r="D4144">
        <v>24</v>
      </c>
      <c r="E4144">
        <v>1156</v>
      </c>
      <c r="F4144">
        <v>14355</v>
      </c>
      <c r="G4144" s="3">
        <f t="shared" si="192"/>
        <v>139</v>
      </c>
      <c r="H4144" s="4">
        <f t="shared" si="193"/>
        <v>9.6830372692441324E-3</v>
      </c>
      <c r="I4144" s="1">
        <f t="shared" si="194"/>
        <v>3</v>
      </c>
    </row>
    <row r="4145" spans="1:9" hidden="1" x14ac:dyDescent="0.2">
      <c r="A4145" s="6">
        <v>44100.708333333336</v>
      </c>
      <c r="B4145" s="1" t="s">
        <v>22</v>
      </c>
      <c r="C4145">
        <v>84</v>
      </c>
      <c r="D4145">
        <v>24</v>
      </c>
      <c r="E4145">
        <v>1157</v>
      </c>
      <c r="F4145">
        <v>14465</v>
      </c>
      <c r="G4145" s="3">
        <f t="shared" si="192"/>
        <v>110</v>
      </c>
      <c r="H4145" s="4">
        <f t="shared" si="193"/>
        <v>7.6045627376425395E-3</v>
      </c>
      <c r="I4145" s="1">
        <f t="shared" si="194"/>
        <v>1</v>
      </c>
    </row>
    <row r="4146" spans="1:9" hidden="1" x14ac:dyDescent="0.2">
      <c r="A4146" s="6">
        <v>44101.708333333336</v>
      </c>
      <c r="B4146" s="1" t="s">
        <v>22</v>
      </c>
      <c r="C4146">
        <v>82</v>
      </c>
      <c r="D4146">
        <v>23</v>
      </c>
      <c r="E4146">
        <v>1157</v>
      </c>
      <c r="F4146">
        <v>14566</v>
      </c>
      <c r="G4146" s="3">
        <f t="shared" si="192"/>
        <v>101</v>
      </c>
      <c r="H4146" s="4">
        <f t="shared" si="193"/>
        <v>6.9339557874502633E-3</v>
      </c>
      <c r="I4146" s="1">
        <f t="shared" si="194"/>
        <v>0</v>
      </c>
    </row>
    <row r="4147" spans="1:9" hidden="1" x14ac:dyDescent="0.2">
      <c r="A4147" s="6">
        <v>44102.708333333336</v>
      </c>
      <c r="B4147" s="1" t="s">
        <v>22</v>
      </c>
      <c r="C4147">
        <v>93</v>
      </c>
      <c r="D4147">
        <v>22</v>
      </c>
      <c r="E4147">
        <v>1160</v>
      </c>
      <c r="F4147">
        <v>14651</v>
      </c>
      <c r="G4147" s="3">
        <f t="shared" si="192"/>
        <v>85</v>
      </c>
      <c r="H4147" s="4">
        <f t="shared" si="193"/>
        <v>5.8016517643846299E-3</v>
      </c>
      <c r="I4147" s="1">
        <f t="shared" si="194"/>
        <v>3</v>
      </c>
    </row>
    <row r="4148" spans="1:9" hidden="1" x14ac:dyDescent="0.2">
      <c r="A4148" s="6">
        <v>44103.708333333336</v>
      </c>
      <c r="B4148" s="1" t="s">
        <v>22</v>
      </c>
      <c r="C4148">
        <v>97</v>
      </c>
      <c r="D4148">
        <v>20</v>
      </c>
      <c r="E4148">
        <v>1164</v>
      </c>
      <c r="F4148">
        <v>14707</v>
      </c>
      <c r="G4148" s="3">
        <f t="shared" si="192"/>
        <v>56</v>
      </c>
      <c r="H4148" s="4">
        <f t="shared" si="193"/>
        <v>3.8077106139933203E-3</v>
      </c>
      <c r="I4148" s="1">
        <f t="shared" si="194"/>
        <v>4</v>
      </c>
    </row>
    <row r="4149" spans="1:9" hidden="1" x14ac:dyDescent="0.2">
      <c r="A4149" s="6">
        <v>44104.708333333336</v>
      </c>
      <c r="B4149" s="1" t="s">
        <v>22</v>
      </c>
      <c r="C4149">
        <v>97</v>
      </c>
      <c r="D4149">
        <v>22</v>
      </c>
      <c r="E4149">
        <v>1164</v>
      </c>
      <c r="F4149">
        <v>14827</v>
      </c>
      <c r="G4149" s="3">
        <f t="shared" si="192"/>
        <v>120</v>
      </c>
      <c r="H4149" s="4">
        <f t="shared" si="193"/>
        <v>8.0933432251972803E-3</v>
      </c>
      <c r="I4149" s="1">
        <f t="shared" si="194"/>
        <v>0</v>
      </c>
    </row>
    <row r="4150" spans="1:9" hidden="1" x14ac:dyDescent="0.2">
      <c r="A4150" s="6">
        <v>44105.708333333336</v>
      </c>
      <c r="B4150" s="1" t="s">
        <v>22</v>
      </c>
      <c r="C4150">
        <v>106</v>
      </c>
      <c r="D4150">
        <v>22</v>
      </c>
      <c r="E4150">
        <v>1165</v>
      </c>
      <c r="F4150">
        <v>14971</v>
      </c>
      <c r="G4150" s="3">
        <f t="shared" si="192"/>
        <v>144</v>
      </c>
      <c r="H4150" s="4">
        <f t="shared" si="193"/>
        <v>9.6185959521741804E-3</v>
      </c>
      <c r="I4150" s="1">
        <f t="shared" si="194"/>
        <v>1</v>
      </c>
    </row>
    <row r="4151" spans="1:9" hidden="1" x14ac:dyDescent="0.2">
      <c r="A4151" s="6">
        <v>44106.708333333336</v>
      </c>
      <c r="B4151" s="1" t="s">
        <v>22</v>
      </c>
      <c r="C4151">
        <v>103</v>
      </c>
      <c r="D4151">
        <v>24</v>
      </c>
      <c r="E4151">
        <v>1165</v>
      </c>
      <c r="F4151">
        <v>15194</v>
      </c>
      <c r="G4151" s="3">
        <f t="shared" si="192"/>
        <v>223</v>
      </c>
      <c r="H4151" s="4">
        <f t="shared" si="193"/>
        <v>1.4676846123469756E-2</v>
      </c>
      <c r="I4151" s="1">
        <f t="shared" si="194"/>
        <v>0</v>
      </c>
    </row>
    <row r="4152" spans="1:9" hidden="1" x14ac:dyDescent="0.2">
      <c r="A4152" s="6">
        <v>44107.708333333336</v>
      </c>
      <c r="B4152" s="1" t="s">
        <v>22</v>
      </c>
      <c r="C4152">
        <v>99</v>
      </c>
      <c r="D4152">
        <v>24</v>
      </c>
      <c r="E4152">
        <v>1166</v>
      </c>
      <c r="F4152">
        <v>15391</v>
      </c>
      <c r="G4152" s="3">
        <f t="shared" si="192"/>
        <v>197</v>
      </c>
      <c r="H4152" s="4">
        <f t="shared" si="193"/>
        <v>1.2799688129426334E-2</v>
      </c>
      <c r="I4152" s="1">
        <f t="shared" si="194"/>
        <v>1</v>
      </c>
    </row>
    <row r="4153" spans="1:9" hidden="1" x14ac:dyDescent="0.2">
      <c r="A4153" s="6">
        <v>44108.708333333336</v>
      </c>
      <c r="B4153" s="1" t="s">
        <v>22</v>
      </c>
      <c r="C4153">
        <v>99</v>
      </c>
      <c r="D4153">
        <v>26</v>
      </c>
      <c r="E4153">
        <v>1166</v>
      </c>
      <c r="F4153">
        <v>15579</v>
      </c>
      <c r="G4153" s="3">
        <f t="shared" si="192"/>
        <v>188</v>
      </c>
      <c r="H4153" s="4">
        <f t="shared" si="193"/>
        <v>1.2067526798896E-2</v>
      </c>
      <c r="I4153" s="1">
        <f t="shared" si="194"/>
        <v>0</v>
      </c>
    </row>
    <row r="4154" spans="1:9" hidden="1" x14ac:dyDescent="0.2">
      <c r="A4154" s="6">
        <v>44109.708333333336</v>
      </c>
      <c r="B4154" s="1" t="s">
        <v>22</v>
      </c>
      <c r="C4154">
        <v>112</v>
      </c>
      <c r="D4154">
        <v>32</v>
      </c>
      <c r="E4154">
        <v>1168</v>
      </c>
      <c r="F4154">
        <v>15764</v>
      </c>
      <c r="G4154" s="3">
        <f t="shared" si="192"/>
        <v>185</v>
      </c>
      <c r="H4154" s="4">
        <f t="shared" si="193"/>
        <v>1.1735600101497101E-2</v>
      </c>
      <c r="I4154" s="1">
        <f t="shared" si="194"/>
        <v>2</v>
      </c>
    </row>
    <row r="4155" spans="1:9" hidden="1" x14ac:dyDescent="0.2">
      <c r="A4155" s="6">
        <v>44110.708333333336</v>
      </c>
      <c r="B4155" s="1" t="s">
        <v>22</v>
      </c>
      <c r="C4155">
        <v>117</v>
      </c>
      <c r="D4155">
        <v>28</v>
      </c>
      <c r="E4155">
        <v>1168</v>
      </c>
      <c r="F4155">
        <v>15973</v>
      </c>
      <c r="G4155" s="3">
        <f t="shared" si="192"/>
        <v>209</v>
      </c>
      <c r="H4155" s="4">
        <f t="shared" si="193"/>
        <v>1.3084580229136722E-2</v>
      </c>
      <c r="I4155" s="1">
        <f t="shared" si="194"/>
        <v>0</v>
      </c>
    </row>
    <row r="4156" spans="1:9" hidden="1" x14ac:dyDescent="0.2">
      <c r="A4156" s="6">
        <v>44111.708333333336</v>
      </c>
      <c r="B4156" s="1" t="s">
        <v>22</v>
      </c>
      <c r="C4156">
        <v>123</v>
      </c>
      <c r="D4156">
        <v>28</v>
      </c>
      <c r="E4156">
        <v>1170</v>
      </c>
      <c r="F4156">
        <v>16273</v>
      </c>
      <c r="G4156" s="3">
        <f t="shared" si="192"/>
        <v>300</v>
      </c>
      <c r="H4156" s="4">
        <f t="shared" si="193"/>
        <v>1.8435445216001933E-2</v>
      </c>
      <c r="I4156" s="1">
        <f t="shared" si="194"/>
        <v>2</v>
      </c>
    </row>
    <row r="4157" spans="1:9" hidden="1" x14ac:dyDescent="0.2">
      <c r="A4157" s="6">
        <v>44112.708333333336</v>
      </c>
      <c r="B4157" s="1" t="s">
        <v>22</v>
      </c>
      <c r="C4157">
        <v>132</v>
      </c>
      <c r="D4157">
        <v>27</v>
      </c>
      <c r="E4157">
        <v>1170</v>
      </c>
      <c r="F4157">
        <v>16612</v>
      </c>
      <c r="G4157" s="3">
        <f t="shared" si="192"/>
        <v>339</v>
      </c>
      <c r="H4157" s="4">
        <f t="shared" si="193"/>
        <v>2.0406934745966776E-2</v>
      </c>
      <c r="I4157" s="1">
        <f t="shared" si="194"/>
        <v>0</v>
      </c>
    </row>
    <row r="4158" spans="1:9" hidden="1" x14ac:dyDescent="0.2">
      <c r="A4158" s="6">
        <v>44113.708333333336</v>
      </c>
      <c r="B4158" s="1" t="s">
        <v>22</v>
      </c>
      <c r="C4158">
        <v>140</v>
      </c>
      <c r="D4158">
        <v>30</v>
      </c>
      <c r="E4158">
        <v>1173</v>
      </c>
      <c r="F4158">
        <v>17095</v>
      </c>
      <c r="G4158" s="3">
        <f t="shared" si="192"/>
        <v>483</v>
      </c>
      <c r="H4158" s="4">
        <f t="shared" si="193"/>
        <v>2.8253875402164397E-2</v>
      </c>
      <c r="I4158" s="1">
        <f t="shared" si="194"/>
        <v>3</v>
      </c>
    </row>
    <row r="4159" spans="1:9" hidden="1" x14ac:dyDescent="0.2">
      <c r="A4159" s="6">
        <v>44114.708333333336</v>
      </c>
      <c r="B4159" s="1" t="s">
        <v>22</v>
      </c>
      <c r="C4159">
        <v>160</v>
      </c>
      <c r="D4159">
        <v>30</v>
      </c>
      <c r="E4159">
        <v>1173</v>
      </c>
      <c r="F4159">
        <v>17643</v>
      </c>
      <c r="G4159" s="3">
        <f t="shared" si="192"/>
        <v>548</v>
      </c>
      <c r="H4159" s="4">
        <f t="shared" si="193"/>
        <v>3.1060477243099238E-2</v>
      </c>
      <c r="I4159" s="1">
        <f t="shared" si="194"/>
        <v>0</v>
      </c>
    </row>
    <row r="4160" spans="1:9" hidden="1" x14ac:dyDescent="0.2">
      <c r="A4160" s="6">
        <v>44115.708333333336</v>
      </c>
      <c r="B4160" s="1" t="s">
        <v>22</v>
      </c>
      <c r="C4160">
        <v>186</v>
      </c>
      <c r="D4160">
        <v>31</v>
      </c>
      <c r="E4160">
        <v>1174</v>
      </c>
      <c r="F4160">
        <v>18160</v>
      </c>
      <c r="G4160" s="3">
        <f t="shared" si="192"/>
        <v>517</v>
      </c>
      <c r="H4160" s="4">
        <f t="shared" si="193"/>
        <v>2.8469162995594766E-2</v>
      </c>
      <c r="I4160" s="1">
        <f t="shared" si="194"/>
        <v>1</v>
      </c>
    </row>
    <row r="4161" spans="1:9" hidden="1" x14ac:dyDescent="0.2">
      <c r="A4161" s="6">
        <v>43885.75</v>
      </c>
      <c r="B4161" s="1" t="s">
        <v>23</v>
      </c>
      <c r="C4161">
        <v>0</v>
      </c>
      <c r="D4161">
        <v>0</v>
      </c>
      <c r="E4161">
        <v>0</v>
      </c>
      <c r="F4161">
        <v>0</v>
      </c>
      <c r="G4161" s="3">
        <f t="shared" si="192"/>
        <v>0</v>
      </c>
      <c r="H4161" s="4">
        <f t="shared" si="193"/>
        <v>0</v>
      </c>
      <c r="I4161" s="1">
        <f t="shared" si="194"/>
        <v>0</v>
      </c>
    </row>
    <row r="4162" spans="1:9" hidden="1" x14ac:dyDescent="0.2">
      <c r="A4162" s="6">
        <v>43886.75</v>
      </c>
      <c r="B4162" s="1" t="s">
        <v>23</v>
      </c>
      <c r="C4162">
        <v>0</v>
      </c>
      <c r="D4162">
        <v>0</v>
      </c>
      <c r="E4162">
        <v>0</v>
      </c>
      <c r="F4162">
        <v>0</v>
      </c>
      <c r="G4162" s="3">
        <f t="shared" si="192"/>
        <v>0</v>
      </c>
      <c r="H4162" s="4">
        <f t="shared" si="193"/>
        <v>0</v>
      </c>
      <c r="I4162" s="1">
        <f t="shared" si="194"/>
        <v>0</v>
      </c>
    </row>
    <row r="4163" spans="1:9" hidden="1" x14ac:dyDescent="0.2">
      <c r="A4163" s="6">
        <v>43887.75</v>
      </c>
      <c r="B4163" s="1" t="s">
        <v>23</v>
      </c>
      <c r="C4163">
        <v>0</v>
      </c>
      <c r="D4163">
        <v>0</v>
      </c>
      <c r="E4163">
        <v>0</v>
      </c>
      <c r="F4163">
        <v>0</v>
      </c>
      <c r="G4163" s="3">
        <f t="shared" ref="G4163:G4226" si="195">IF(AND(F4163&gt;0,AND(B4163=B4162,F4163&gt;0)),F4163-F4162,0)</f>
        <v>0</v>
      </c>
      <c r="H4163" s="4">
        <f t="shared" ref="H4163:H4226" si="196">IF(AND(F4162&gt;0,AND(B4163=B4162,F4162&gt;0)),1-(F4162/F4163),0)</f>
        <v>0</v>
      </c>
      <c r="I4163" s="1">
        <f t="shared" ref="I4163:I4226" si="197">IF(AND(E4163&gt;0,AND(B4163=B4162,E4163&gt;0)),E4163-E4162,0)</f>
        <v>0</v>
      </c>
    </row>
    <row r="4164" spans="1:9" hidden="1" x14ac:dyDescent="0.2">
      <c r="A4164" s="6">
        <v>43888.75</v>
      </c>
      <c r="B4164" s="1" t="s">
        <v>23</v>
      </c>
      <c r="C4164">
        <v>0</v>
      </c>
      <c r="D4164">
        <v>0</v>
      </c>
      <c r="E4164">
        <v>0</v>
      </c>
      <c r="F4164">
        <v>0</v>
      </c>
      <c r="G4164" s="3">
        <f t="shared" si="195"/>
        <v>0</v>
      </c>
      <c r="H4164" s="4">
        <f t="shared" si="196"/>
        <v>0</v>
      </c>
      <c r="I4164" s="1">
        <f t="shared" si="197"/>
        <v>0</v>
      </c>
    </row>
    <row r="4165" spans="1:9" hidden="1" x14ac:dyDescent="0.2">
      <c r="A4165" s="6">
        <v>43889.75</v>
      </c>
      <c r="B4165" s="1" t="s">
        <v>23</v>
      </c>
      <c r="C4165">
        <v>0</v>
      </c>
      <c r="D4165">
        <v>0</v>
      </c>
      <c r="E4165">
        <v>0</v>
      </c>
      <c r="F4165">
        <v>0</v>
      </c>
      <c r="G4165" s="3">
        <f t="shared" si="195"/>
        <v>0</v>
      </c>
      <c r="H4165" s="4">
        <f t="shared" si="196"/>
        <v>0</v>
      </c>
      <c r="I4165" s="1">
        <f t="shared" si="197"/>
        <v>0</v>
      </c>
    </row>
    <row r="4166" spans="1:9" hidden="1" x14ac:dyDescent="0.2">
      <c r="A4166" s="6">
        <v>43890.708333333336</v>
      </c>
      <c r="B4166" s="1" t="s">
        <v>23</v>
      </c>
      <c r="C4166">
        <v>0</v>
      </c>
      <c r="D4166">
        <v>0</v>
      </c>
      <c r="E4166">
        <v>0</v>
      </c>
      <c r="F4166">
        <v>0</v>
      </c>
      <c r="G4166" s="3">
        <f t="shared" si="195"/>
        <v>0</v>
      </c>
      <c r="H4166" s="4">
        <f t="shared" si="196"/>
        <v>0</v>
      </c>
      <c r="I4166" s="1">
        <f t="shared" si="197"/>
        <v>0</v>
      </c>
    </row>
    <row r="4167" spans="1:9" hidden="1" x14ac:dyDescent="0.2">
      <c r="A4167" s="6">
        <v>43891.708333333336</v>
      </c>
      <c r="B4167" s="1" t="s">
        <v>23</v>
      </c>
      <c r="C4167">
        <v>0</v>
      </c>
      <c r="D4167">
        <v>0</v>
      </c>
      <c r="E4167">
        <v>0</v>
      </c>
      <c r="F4167">
        <v>2</v>
      </c>
      <c r="G4167" s="3">
        <f t="shared" si="195"/>
        <v>2</v>
      </c>
      <c r="H4167" s="4">
        <f t="shared" si="196"/>
        <v>0</v>
      </c>
      <c r="I4167" s="1">
        <f t="shared" si="197"/>
        <v>0</v>
      </c>
    </row>
    <row r="4168" spans="1:9" hidden="1" x14ac:dyDescent="0.2">
      <c r="A4168" s="6">
        <v>43892.75</v>
      </c>
      <c r="B4168" s="1" t="s">
        <v>23</v>
      </c>
      <c r="C4168">
        <v>0</v>
      </c>
      <c r="D4168">
        <v>0</v>
      </c>
      <c r="E4168">
        <v>0</v>
      </c>
      <c r="F4168">
        <v>2</v>
      </c>
      <c r="G4168" s="3">
        <f t="shared" si="195"/>
        <v>0</v>
      </c>
      <c r="H4168" s="4">
        <f t="shared" si="196"/>
        <v>0</v>
      </c>
      <c r="I4168" s="1">
        <f t="shared" si="197"/>
        <v>0</v>
      </c>
    </row>
    <row r="4169" spans="1:9" hidden="1" x14ac:dyDescent="0.2">
      <c r="A4169" s="6">
        <v>43893.75</v>
      </c>
      <c r="B4169" s="1" t="s">
        <v>23</v>
      </c>
      <c r="C4169">
        <v>1</v>
      </c>
      <c r="D4169">
        <v>1</v>
      </c>
      <c r="E4169">
        <v>0</v>
      </c>
      <c r="F4169">
        <v>8</v>
      </c>
      <c r="G4169" s="3">
        <f t="shared" si="195"/>
        <v>6</v>
      </c>
      <c r="H4169" s="4">
        <f t="shared" si="196"/>
        <v>0.75</v>
      </c>
      <c r="I4169" s="1">
        <f t="shared" si="197"/>
        <v>0</v>
      </c>
    </row>
    <row r="4170" spans="1:9" hidden="1" x14ac:dyDescent="0.2">
      <c r="A4170" s="6">
        <v>43894.708333333336</v>
      </c>
      <c r="B4170" s="1" t="s">
        <v>23</v>
      </c>
      <c r="C4170">
        <v>1</v>
      </c>
      <c r="D4170">
        <v>1</v>
      </c>
      <c r="E4170">
        <v>0</v>
      </c>
      <c r="F4170">
        <v>9</v>
      </c>
      <c r="G4170" s="3">
        <f t="shared" si="195"/>
        <v>1</v>
      </c>
      <c r="H4170" s="4">
        <f t="shared" si="196"/>
        <v>0.11111111111111116</v>
      </c>
      <c r="I4170" s="1">
        <f t="shared" si="197"/>
        <v>0</v>
      </c>
    </row>
    <row r="4171" spans="1:9" hidden="1" x14ac:dyDescent="0.2">
      <c r="A4171" s="6">
        <v>43895.708333333336</v>
      </c>
      <c r="B4171" s="1" t="s">
        <v>23</v>
      </c>
      <c r="C4171">
        <v>1</v>
      </c>
      <c r="D4171">
        <v>1</v>
      </c>
      <c r="E4171">
        <v>0</v>
      </c>
      <c r="F4171">
        <v>9</v>
      </c>
      <c r="G4171" s="3">
        <f t="shared" si="195"/>
        <v>0</v>
      </c>
      <c r="H4171" s="4">
        <f t="shared" si="196"/>
        <v>0</v>
      </c>
      <c r="I4171" s="1">
        <f t="shared" si="197"/>
        <v>0</v>
      </c>
    </row>
    <row r="4172" spans="1:9" hidden="1" x14ac:dyDescent="0.2">
      <c r="A4172" s="6">
        <v>43896.708333333336</v>
      </c>
      <c r="B4172" s="1" t="s">
        <v>23</v>
      </c>
      <c r="C4172">
        <v>2</v>
      </c>
      <c r="D4172">
        <v>2</v>
      </c>
      <c r="E4172">
        <v>0</v>
      </c>
      <c r="F4172">
        <v>16</v>
      </c>
      <c r="G4172" s="3">
        <f t="shared" si="195"/>
        <v>7</v>
      </c>
      <c r="H4172" s="4">
        <f t="shared" si="196"/>
        <v>0.4375</v>
      </c>
      <c r="I4172" s="1">
        <f t="shared" si="197"/>
        <v>0</v>
      </c>
    </row>
    <row r="4173" spans="1:9" hidden="1" x14ac:dyDescent="0.2">
      <c r="A4173" s="6">
        <v>43897.75</v>
      </c>
      <c r="B4173" s="1" t="s">
        <v>23</v>
      </c>
      <c r="C4173">
        <v>2</v>
      </c>
      <c r="D4173">
        <v>2</v>
      </c>
      <c r="E4173">
        <v>0</v>
      </c>
      <c r="F4173">
        <v>24</v>
      </c>
      <c r="G4173" s="3">
        <f t="shared" si="195"/>
        <v>8</v>
      </c>
      <c r="H4173" s="4">
        <f t="shared" si="196"/>
        <v>0.33333333333333337</v>
      </c>
      <c r="I4173" s="1">
        <f t="shared" si="197"/>
        <v>0</v>
      </c>
    </row>
    <row r="4174" spans="1:9" hidden="1" x14ac:dyDescent="0.2">
      <c r="A4174" s="6">
        <v>43898.75</v>
      </c>
      <c r="B4174" s="1" t="s">
        <v>23</v>
      </c>
      <c r="C4174">
        <v>2</v>
      </c>
      <c r="D4174">
        <v>2</v>
      </c>
      <c r="E4174">
        <v>0</v>
      </c>
      <c r="F4174">
        <v>26</v>
      </c>
      <c r="G4174" s="3">
        <f t="shared" si="195"/>
        <v>2</v>
      </c>
      <c r="H4174" s="4">
        <f t="shared" si="196"/>
        <v>7.6923076923076872E-2</v>
      </c>
      <c r="I4174" s="1">
        <f t="shared" si="197"/>
        <v>0</v>
      </c>
    </row>
    <row r="4175" spans="1:9" hidden="1" x14ac:dyDescent="0.2">
      <c r="A4175" s="6">
        <v>43899.75</v>
      </c>
      <c r="B4175" s="1" t="s">
        <v>23</v>
      </c>
      <c r="C4175">
        <v>4</v>
      </c>
      <c r="D4175">
        <v>2</v>
      </c>
      <c r="E4175">
        <v>0</v>
      </c>
      <c r="F4175">
        <v>28</v>
      </c>
      <c r="G4175" s="3">
        <f t="shared" si="195"/>
        <v>2</v>
      </c>
      <c r="H4175" s="4">
        <f t="shared" si="196"/>
        <v>7.1428571428571397E-2</v>
      </c>
      <c r="I4175" s="1">
        <f t="shared" si="197"/>
        <v>0</v>
      </c>
    </row>
    <row r="4176" spans="1:9" hidden="1" x14ac:dyDescent="0.2">
      <c r="A4176" s="6">
        <v>43900.75</v>
      </c>
      <c r="B4176" s="1" t="s">
        <v>23</v>
      </c>
      <c r="C4176">
        <v>8</v>
      </c>
      <c r="D4176">
        <v>2</v>
      </c>
      <c r="E4176">
        <v>0</v>
      </c>
      <c r="F4176">
        <v>37</v>
      </c>
      <c r="G4176" s="3">
        <f t="shared" si="195"/>
        <v>9</v>
      </c>
      <c r="H4176" s="4">
        <f t="shared" si="196"/>
        <v>0.2432432432432432</v>
      </c>
      <c r="I4176" s="1">
        <f t="shared" si="197"/>
        <v>0</v>
      </c>
    </row>
    <row r="4177" spans="1:9" hidden="1" x14ac:dyDescent="0.2">
      <c r="A4177" s="6">
        <v>43901.708333333336</v>
      </c>
      <c r="B4177" s="1" t="s">
        <v>23</v>
      </c>
      <c r="C4177">
        <v>7</v>
      </c>
      <c r="D4177">
        <v>5</v>
      </c>
      <c r="E4177">
        <v>0</v>
      </c>
      <c r="F4177">
        <v>46</v>
      </c>
      <c r="G4177" s="3">
        <f t="shared" si="195"/>
        <v>9</v>
      </c>
      <c r="H4177" s="4">
        <f t="shared" si="196"/>
        <v>0.19565217391304346</v>
      </c>
      <c r="I4177" s="1">
        <f t="shared" si="197"/>
        <v>0</v>
      </c>
    </row>
    <row r="4178" spans="1:9" hidden="1" x14ac:dyDescent="0.2">
      <c r="A4178" s="6">
        <v>43902.708333333336</v>
      </c>
      <c r="B4178" s="1" t="s">
        <v>23</v>
      </c>
      <c r="C4178">
        <v>8</v>
      </c>
      <c r="D4178">
        <v>8</v>
      </c>
      <c r="E4178">
        <v>0</v>
      </c>
      <c r="F4178">
        <v>64</v>
      </c>
      <c r="G4178" s="3">
        <f t="shared" si="195"/>
        <v>18</v>
      </c>
      <c r="H4178" s="4">
        <f t="shared" si="196"/>
        <v>0.28125</v>
      </c>
      <c r="I4178" s="1">
        <f t="shared" si="197"/>
        <v>0</v>
      </c>
    </row>
    <row r="4179" spans="1:9" hidden="1" x14ac:dyDescent="0.2">
      <c r="A4179" s="6">
        <v>43903.708333333336</v>
      </c>
      <c r="B4179" s="1" t="s">
        <v>23</v>
      </c>
      <c r="C4179">
        <v>11</v>
      </c>
      <c r="D4179">
        <v>10</v>
      </c>
      <c r="E4179">
        <v>1</v>
      </c>
      <c r="F4179">
        <v>76</v>
      </c>
      <c r="G4179" s="3">
        <f t="shared" si="195"/>
        <v>12</v>
      </c>
      <c r="H4179" s="4">
        <f t="shared" si="196"/>
        <v>0.15789473684210531</v>
      </c>
      <c r="I4179" s="1">
        <f t="shared" si="197"/>
        <v>1</v>
      </c>
    </row>
    <row r="4180" spans="1:9" hidden="1" x14ac:dyDescent="0.2">
      <c r="A4180" s="6">
        <v>43904.708333333336</v>
      </c>
      <c r="B4180" s="1" t="s">
        <v>23</v>
      </c>
      <c r="C4180">
        <v>21</v>
      </c>
      <c r="D4180">
        <v>11</v>
      </c>
      <c r="E4180">
        <v>1</v>
      </c>
      <c r="F4180">
        <v>107</v>
      </c>
      <c r="G4180" s="3">
        <f t="shared" si="195"/>
        <v>31</v>
      </c>
      <c r="H4180" s="4">
        <f t="shared" si="196"/>
        <v>0.28971962616822433</v>
      </c>
      <c r="I4180" s="1">
        <f t="shared" si="197"/>
        <v>0</v>
      </c>
    </row>
    <row r="4181" spans="1:9" hidden="1" x14ac:dyDescent="0.2">
      <c r="A4181" s="6">
        <v>43905.708333333336</v>
      </c>
      <c r="B4181" s="1" t="s">
        <v>23</v>
      </c>
      <c r="C4181">
        <v>25</v>
      </c>
      <c r="D4181">
        <v>13</v>
      </c>
      <c r="E4181">
        <v>1</v>
      </c>
      <c r="F4181">
        <v>143</v>
      </c>
      <c r="G4181" s="3">
        <f t="shared" si="195"/>
        <v>36</v>
      </c>
      <c r="H4181" s="4">
        <f t="shared" si="196"/>
        <v>0.25174825174825177</v>
      </c>
      <c r="I4181" s="1">
        <f t="shared" si="197"/>
        <v>0</v>
      </c>
    </row>
    <row r="4182" spans="1:9" hidden="1" x14ac:dyDescent="0.2">
      <c r="A4182" s="6">
        <v>43906.708333333336</v>
      </c>
      <c r="B4182" s="1" t="s">
        <v>23</v>
      </c>
      <c r="C4182">
        <v>30</v>
      </c>
      <c r="D4182">
        <v>15</v>
      </c>
      <c r="E4182">
        <v>1</v>
      </c>
      <c r="F4182">
        <v>164</v>
      </c>
      <c r="G4182" s="3">
        <f t="shared" si="195"/>
        <v>21</v>
      </c>
      <c r="H4182" s="4">
        <f t="shared" si="196"/>
        <v>0.12804878048780488</v>
      </c>
      <c r="I4182" s="1">
        <f t="shared" si="197"/>
        <v>0</v>
      </c>
    </row>
    <row r="4183" spans="1:9" hidden="1" x14ac:dyDescent="0.2">
      <c r="A4183" s="6">
        <v>43907.708333333336</v>
      </c>
      <c r="B4183" s="1" t="s">
        <v>23</v>
      </c>
      <c r="C4183">
        <v>36</v>
      </c>
      <c r="D4183">
        <v>21</v>
      </c>
      <c r="E4183">
        <v>1</v>
      </c>
      <c r="F4183">
        <v>197</v>
      </c>
      <c r="G4183" s="3">
        <f t="shared" si="195"/>
        <v>33</v>
      </c>
      <c r="H4183" s="4">
        <f t="shared" si="196"/>
        <v>0.1675126903553299</v>
      </c>
      <c r="I4183" s="1">
        <f t="shared" si="197"/>
        <v>0</v>
      </c>
    </row>
    <row r="4184" spans="1:9" hidden="1" x14ac:dyDescent="0.2">
      <c r="A4184" s="6">
        <v>43908.708333333336</v>
      </c>
      <c r="B4184" s="1" t="s">
        <v>23</v>
      </c>
      <c r="C4184">
        <v>54</v>
      </c>
      <c r="D4184">
        <v>21</v>
      </c>
      <c r="E4184">
        <v>2</v>
      </c>
      <c r="F4184">
        <v>247</v>
      </c>
      <c r="G4184" s="3">
        <f t="shared" si="195"/>
        <v>50</v>
      </c>
      <c r="H4184" s="4">
        <f t="shared" si="196"/>
        <v>0.20242914979757087</v>
      </c>
      <c r="I4184" s="1">
        <f t="shared" si="197"/>
        <v>1</v>
      </c>
    </row>
    <row r="4185" spans="1:9" hidden="1" x14ac:dyDescent="0.2">
      <c r="A4185" s="6">
        <v>43909.708333333336</v>
      </c>
      <c r="B4185" s="1" t="s">
        <v>23</v>
      </c>
      <c r="C4185">
        <v>69</v>
      </c>
      <c r="D4185">
        <v>21</v>
      </c>
      <c r="E4185">
        <v>2</v>
      </c>
      <c r="F4185">
        <v>334</v>
      </c>
      <c r="G4185" s="3">
        <f t="shared" si="195"/>
        <v>87</v>
      </c>
      <c r="H4185" s="4">
        <f t="shared" si="196"/>
        <v>0.26047904191616766</v>
      </c>
      <c r="I4185" s="1">
        <f t="shared" si="197"/>
        <v>0</v>
      </c>
    </row>
    <row r="4186" spans="1:9" hidden="1" x14ac:dyDescent="0.2">
      <c r="A4186" s="6">
        <v>43910.708333333336</v>
      </c>
      <c r="B4186" s="1" t="s">
        <v>23</v>
      </c>
      <c r="C4186">
        <v>75</v>
      </c>
      <c r="D4186">
        <v>24</v>
      </c>
      <c r="E4186">
        <v>7</v>
      </c>
      <c r="F4186">
        <v>395</v>
      </c>
      <c r="G4186" s="3">
        <f t="shared" si="195"/>
        <v>61</v>
      </c>
      <c r="H4186" s="4">
        <f t="shared" si="196"/>
        <v>0.15443037974683549</v>
      </c>
      <c r="I4186" s="1">
        <f t="shared" si="197"/>
        <v>5</v>
      </c>
    </row>
    <row r="4187" spans="1:9" hidden="1" x14ac:dyDescent="0.2">
      <c r="A4187" s="6">
        <v>43911.708333333336</v>
      </c>
      <c r="B4187" s="1" t="s">
        <v>23</v>
      </c>
      <c r="C4187">
        <v>92</v>
      </c>
      <c r="D4187">
        <v>29</v>
      </c>
      <c r="E4187">
        <v>10</v>
      </c>
      <c r="F4187">
        <v>462</v>
      </c>
      <c r="G4187" s="3">
        <f t="shared" si="195"/>
        <v>67</v>
      </c>
      <c r="H4187" s="4">
        <f t="shared" si="196"/>
        <v>0.14502164502164505</v>
      </c>
      <c r="I4187" s="1">
        <f t="shared" si="197"/>
        <v>3</v>
      </c>
    </row>
    <row r="4188" spans="1:9" hidden="1" x14ac:dyDescent="0.2">
      <c r="A4188" s="6">
        <v>43912.708333333336</v>
      </c>
      <c r="B4188" s="1" t="s">
        <v>23</v>
      </c>
      <c r="C4188">
        <v>97</v>
      </c>
      <c r="D4188">
        <v>35</v>
      </c>
      <c r="E4188">
        <v>16</v>
      </c>
      <c r="F4188">
        <v>521</v>
      </c>
      <c r="G4188" s="3">
        <f t="shared" si="195"/>
        <v>59</v>
      </c>
      <c r="H4188" s="4">
        <f t="shared" si="196"/>
        <v>0.11324376199616126</v>
      </c>
      <c r="I4188" s="1">
        <f t="shared" si="197"/>
        <v>6</v>
      </c>
    </row>
    <row r="4189" spans="1:9" hidden="1" x14ac:dyDescent="0.2">
      <c r="A4189" s="6">
        <v>43913.708333333336</v>
      </c>
      <c r="B4189" s="1" t="s">
        <v>23</v>
      </c>
      <c r="C4189">
        <v>106</v>
      </c>
      <c r="D4189">
        <v>42</v>
      </c>
      <c r="E4189">
        <v>16</v>
      </c>
      <c r="F4189">
        <v>577</v>
      </c>
      <c r="G4189" s="3">
        <f t="shared" si="195"/>
        <v>56</v>
      </c>
      <c r="H4189" s="4">
        <f t="shared" si="196"/>
        <v>9.7053726169843979E-2</v>
      </c>
      <c r="I4189" s="1">
        <f t="shared" si="197"/>
        <v>0</v>
      </c>
    </row>
    <row r="4190" spans="1:9" hidden="1" x14ac:dyDescent="0.2">
      <c r="A4190" s="6">
        <v>43914.708333333336</v>
      </c>
      <c r="B4190" s="1" t="s">
        <v>23</v>
      </c>
      <c r="C4190">
        <v>105</v>
      </c>
      <c r="D4190">
        <v>43</v>
      </c>
      <c r="E4190">
        <v>19</v>
      </c>
      <c r="F4190">
        <v>648</v>
      </c>
      <c r="G4190" s="3">
        <f t="shared" si="195"/>
        <v>71</v>
      </c>
      <c r="H4190" s="4">
        <f t="shared" si="196"/>
        <v>0.10956790123456794</v>
      </c>
      <c r="I4190" s="1">
        <f t="shared" si="197"/>
        <v>3</v>
      </c>
    </row>
    <row r="4191" spans="1:9" hidden="1" x14ac:dyDescent="0.2">
      <c r="A4191" s="6">
        <v>43915.708333333336</v>
      </c>
      <c r="B4191" s="1" t="s">
        <v>23</v>
      </c>
      <c r="C4191">
        <v>123</v>
      </c>
      <c r="D4191">
        <v>44</v>
      </c>
      <c r="E4191">
        <v>19</v>
      </c>
      <c r="F4191">
        <v>710</v>
      </c>
      <c r="G4191" s="3">
        <f t="shared" si="195"/>
        <v>62</v>
      </c>
      <c r="H4191" s="4">
        <f t="shared" si="196"/>
        <v>8.7323943661971826E-2</v>
      </c>
      <c r="I4191" s="1">
        <f t="shared" si="197"/>
        <v>0</v>
      </c>
    </row>
    <row r="4192" spans="1:9" hidden="1" x14ac:dyDescent="0.2">
      <c r="A4192" s="6">
        <v>43916.708333333336</v>
      </c>
      <c r="B4192" s="1" t="s">
        <v>23</v>
      </c>
      <c r="C4192">
        <v>144</v>
      </c>
      <c r="D4192">
        <v>46</v>
      </c>
      <c r="E4192">
        <v>20</v>
      </c>
      <c r="F4192">
        <v>802</v>
      </c>
      <c r="G4192" s="3">
        <f t="shared" si="195"/>
        <v>92</v>
      </c>
      <c r="H4192" s="4">
        <f t="shared" si="196"/>
        <v>0.11471321695760595</v>
      </c>
      <c r="I4192" s="1">
        <f t="shared" si="197"/>
        <v>1</v>
      </c>
    </row>
    <row r="4193" spans="1:9" hidden="1" x14ac:dyDescent="0.2">
      <c r="A4193" s="6">
        <v>43917.708333333336</v>
      </c>
      <c r="B4193" s="1" t="s">
        <v>23</v>
      </c>
      <c r="C4193">
        <v>149</v>
      </c>
      <c r="D4193">
        <v>46</v>
      </c>
      <c r="E4193">
        <v>21</v>
      </c>
      <c r="F4193">
        <v>884</v>
      </c>
      <c r="G4193" s="3">
        <f t="shared" si="195"/>
        <v>82</v>
      </c>
      <c r="H4193" s="4">
        <f t="shared" si="196"/>
        <v>9.2760180995475117E-2</v>
      </c>
      <c r="I4193" s="1">
        <f t="shared" si="197"/>
        <v>1</v>
      </c>
    </row>
    <row r="4194" spans="1:9" hidden="1" x14ac:dyDescent="0.2">
      <c r="A4194" s="6">
        <v>43918.708333333336</v>
      </c>
      <c r="B4194" s="1" t="s">
        <v>23</v>
      </c>
      <c r="C4194">
        <v>159</v>
      </c>
      <c r="D4194">
        <v>44</v>
      </c>
      <c r="E4194">
        <v>28</v>
      </c>
      <c r="F4194">
        <v>969</v>
      </c>
      <c r="G4194" s="3">
        <f t="shared" si="195"/>
        <v>85</v>
      </c>
      <c r="H4194" s="4">
        <f t="shared" si="196"/>
        <v>8.7719298245614086E-2</v>
      </c>
      <c r="I4194" s="1">
        <f t="shared" si="197"/>
        <v>7</v>
      </c>
    </row>
    <row r="4195" spans="1:9" hidden="1" x14ac:dyDescent="0.2">
      <c r="A4195" s="6">
        <v>43919.708333333336</v>
      </c>
      <c r="B4195" s="1" t="s">
        <v>23</v>
      </c>
      <c r="C4195">
        <v>166</v>
      </c>
      <c r="D4195">
        <v>46</v>
      </c>
      <c r="E4195">
        <v>31</v>
      </c>
      <c r="F4195">
        <v>1023</v>
      </c>
      <c r="G4195" s="3">
        <f t="shared" si="195"/>
        <v>54</v>
      </c>
      <c r="H4195" s="4">
        <f t="shared" si="196"/>
        <v>5.2785923753665642E-2</v>
      </c>
      <c r="I4195" s="1">
        <f t="shared" si="197"/>
        <v>3</v>
      </c>
    </row>
    <row r="4196" spans="1:9" hidden="1" x14ac:dyDescent="0.2">
      <c r="A4196" s="6">
        <v>43920.708333333336</v>
      </c>
      <c r="B4196" s="1" t="s">
        <v>23</v>
      </c>
      <c r="C4196">
        <v>173</v>
      </c>
      <c r="D4196">
        <v>47</v>
      </c>
      <c r="E4196">
        <v>33</v>
      </c>
      <c r="F4196">
        <v>1051</v>
      </c>
      <c r="G4196" s="3">
        <f t="shared" si="195"/>
        <v>28</v>
      </c>
      <c r="H4196" s="4">
        <f t="shared" si="196"/>
        <v>2.6641294005708804E-2</v>
      </c>
      <c r="I4196" s="1">
        <f t="shared" si="197"/>
        <v>2</v>
      </c>
    </row>
    <row r="4197" spans="1:9" hidden="1" x14ac:dyDescent="0.2">
      <c r="A4197" s="6">
        <v>43921.708333333336</v>
      </c>
      <c r="B4197" s="1" t="s">
        <v>23</v>
      </c>
      <c r="C4197">
        <v>176</v>
      </c>
      <c r="D4197">
        <v>43</v>
      </c>
      <c r="E4197">
        <v>37</v>
      </c>
      <c r="F4197">
        <v>1078</v>
      </c>
      <c r="G4197" s="3">
        <f t="shared" si="195"/>
        <v>27</v>
      </c>
      <c r="H4197" s="4">
        <f t="shared" si="196"/>
        <v>2.504638218923938E-2</v>
      </c>
      <c r="I4197" s="1">
        <f t="shared" si="197"/>
        <v>4</v>
      </c>
    </row>
    <row r="4198" spans="1:9" hidden="1" x14ac:dyDescent="0.2">
      <c r="A4198" s="6">
        <v>43922.708333333336</v>
      </c>
      <c r="B4198" s="1" t="s">
        <v>23</v>
      </c>
      <c r="C4198">
        <v>173</v>
      </c>
      <c r="D4198">
        <v>45</v>
      </c>
      <c r="E4198">
        <v>37</v>
      </c>
      <c r="F4198">
        <v>1095</v>
      </c>
      <c r="G4198" s="3">
        <f t="shared" si="195"/>
        <v>17</v>
      </c>
      <c r="H4198" s="4">
        <f t="shared" si="196"/>
        <v>1.5525114155251152E-2</v>
      </c>
      <c r="I4198" s="1">
        <f t="shared" si="197"/>
        <v>0</v>
      </c>
    </row>
    <row r="4199" spans="1:9" hidden="1" x14ac:dyDescent="0.2">
      <c r="A4199" s="6">
        <v>43923.708333333336</v>
      </c>
      <c r="B4199" s="1" t="s">
        <v>23</v>
      </c>
      <c r="C4199">
        <v>171</v>
      </c>
      <c r="D4199">
        <v>47</v>
      </c>
      <c r="E4199">
        <v>38</v>
      </c>
      <c r="F4199">
        <v>1128</v>
      </c>
      <c r="G4199" s="3">
        <f t="shared" si="195"/>
        <v>33</v>
      </c>
      <c r="H4199" s="4">
        <f t="shared" si="196"/>
        <v>2.9255319148936199E-2</v>
      </c>
      <c r="I4199" s="1">
        <f t="shared" si="197"/>
        <v>1</v>
      </c>
    </row>
    <row r="4200" spans="1:9" hidden="1" x14ac:dyDescent="0.2">
      <c r="A4200" s="6">
        <v>43924.708333333336</v>
      </c>
      <c r="B4200" s="1" t="s">
        <v>23</v>
      </c>
      <c r="C4200">
        <v>165</v>
      </c>
      <c r="D4200">
        <v>48</v>
      </c>
      <c r="E4200">
        <v>39</v>
      </c>
      <c r="F4200">
        <v>1179</v>
      </c>
      <c r="G4200" s="3">
        <f t="shared" si="195"/>
        <v>51</v>
      </c>
      <c r="H4200" s="4">
        <f t="shared" si="196"/>
        <v>4.3256997455470736E-2</v>
      </c>
      <c r="I4200" s="1">
        <f t="shared" si="197"/>
        <v>1</v>
      </c>
    </row>
    <row r="4201" spans="1:9" hidden="1" x14ac:dyDescent="0.2">
      <c r="A4201" s="6">
        <v>43925.708333333336</v>
      </c>
      <c r="B4201" s="1" t="s">
        <v>23</v>
      </c>
      <c r="C4201">
        <v>167</v>
      </c>
      <c r="D4201">
        <v>44</v>
      </c>
      <c r="E4201">
        <v>41</v>
      </c>
      <c r="F4201">
        <v>1210</v>
      </c>
      <c r="G4201" s="3">
        <f t="shared" si="195"/>
        <v>31</v>
      </c>
      <c r="H4201" s="4">
        <f t="shared" si="196"/>
        <v>2.5619834710743805E-2</v>
      </c>
      <c r="I4201" s="1">
        <f t="shared" si="197"/>
        <v>2</v>
      </c>
    </row>
    <row r="4202" spans="1:9" hidden="1" x14ac:dyDescent="0.2">
      <c r="A4202" s="6">
        <v>43926.708333333336</v>
      </c>
      <c r="B4202" s="1" t="s">
        <v>23</v>
      </c>
      <c r="C4202">
        <v>159</v>
      </c>
      <c r="D4202">
        <v>45</v>
      </c>
      <c r="E4202">
        <v>43</v>
      </c>
      <c r="F4202">
        <v>1239</v>
      </c>
      <c r="G4202" s="3">
        <f t="shared" si="195"/>
        <v>29</v>
      </c>
      <c r="H4202" s="4">
        <f t="shared" si="196"/>
        <v>2.3405972558514954E-2</v>
      </c>
      <c r="I4202" s="1">
        <f t="shared" si="197"/>
        <v>2</v>
      </c>
    </row>
    <row r="4203" spans="1:9" hidden="1" x14ac:dyDescent="0.2">
      <c r="A4203" s="6">
        <v>43927.708333333336</v>
      </c>
      <c r="B4203" s="1" t="s">
        <v>23</v>
      </c>
      <c r="C4203">
        <v>159</v>
      </c>
      <c r="D4203">
        <v>46</v>
      </c>
      <c r="E4203">
        <v>44</v>
      </c>
      <c r="F4203">
        <v>1253</v>
      </c>
      <c r="G4203" s="3">
        <f t="shared" si="195"/>
        <v>14</v>
      </c>
      <c r="H4203" s="4">
        <f t="shared" si="196"/>
        <v>1.1173184357541888E-2</v>
      </c>
      <c r="I4203" s="1">
        <f t="shared" si="197"/>
        <v>1</v>
      </c>
    </row>
    <row r="4204" spans="1:9" hidden="1" x14ac:dyDescent="0.2">
      <c r="A4204" s="6">
        <v>43928.708333333336</v>
      </c>
      <c r="B4204" s="1" t="s">
        <v>23</v>
      </c>
      <c r="C4204">
        <v>157</v>
      </c>
      <c r="D4204">
        <v>41</v>
      </c>
      <c r="E4204">
        <v>49</v>
      </c>
      <c r="F4204">
        <v>1263</v>
      </c>
      <c r="G4204" s="3">
        <f t="shared" si="195"/>
        <v>10</v>
      </c>
      <c r="H4204" s="4">
        <f t="shared" si="196"/>
        <v>7.9176563737133332E-3</v>
      </c>
      <c r="I4204" s="1">
        <f t="shared" si="197"/>
        <v>5</v>
      </c>
    </row>
    <row r="4205" spans="1:9" hidden="1" x14ac:dyDescent="0.2">
      <c r="A4205" s="6">
        <v>43929.708333333336</v>
      </c>
      <c r="B4205" s="1" t="s">
        <v>23</v>
      </c>
      <c r="C4205">
        <v>155</v>
      </c>
      <c r="D4205">
        <v>41</v>
      </c>
      <c r="E4205">
        <v>50</v>
      </c>
      <c r="F4205">
        <v>1289</v>
      </c>
      <c r="G4205" s="3">
        <f t="shared" si="195"/>
        <v>26</v>
      </c>
      <c r="H4205" s="4">
        <f t="shared" si="196"/>
        <v>2.0170674941815347E-2</v>
      </c>
      <c r="I4205" s="1">
        <f t="shared" si="197"/>
        <v>1</v>
      </c>
    </row>
    <row r="4206" spans="1:9" hidden="1" x14ac:dyDescent="0.2">
      <c r="A4206" s="6">
        <v>43930.708333333336</v>
      </c>
      <c r="B4206" s="1" t="s">
        <v>23</v>
      </c>
      <c r="C4206">
        <v>154</v>
      </c>
      <c r="D4206">
        <v>38</v>
      </c>
      <c r="E4206">
        <v>51</v>
      </c>
      <c r="F4206">
        <v>1298</v>
      </c>
      <c r="G4206" s="3">
        <f t="shared" si="195"/>
        <v>9</v>
      </c>
      <c r="H4206" s="4">
        <f t="shared" si="196"/>
        <v>6.9337442218798673E-3</v>
      </c>
      <c r="I4206" s="1">
        <f t="shared" si="197"/>
        <v>1</v>
      </c>
    </row>
    <row r="4207" spans="1:9" hidden="1" x14ac:dyDescent="0.2">
      <c r="A4207" s="6">
        <v>43931.708333333336</v>
      </c>
      <c r="B4207" s="1" t="s">
        <v>23</v>
      </c>
      <c r="C4207">
        <v>146</v>
      </c>
      <c r="D4207">
        <v>39</v>
      </c>
      <c r="E4207">
        <v>52</v>
      </c>
      <c r="F4207">
        <v>1302</v>
      </c>
      <c r="G4207" s="3">
        <f t="shared" si="195"/>
        <v>4</v>
      </c>
      <c r="H4207" s="4">
        <f t="shared" si="196"/>
        <v>3.072196620583667E-3</v>
      </c>
      <c r="I4207" s="1">
        <f t="shared" si="197"/>
        <v>1</v>
      </c>
    </row>
    <row r="4208" spans="1:9" hidden="1" x14ac:dyDescent="0.2">
      <c r="A4208" s="6">
        <v>43932.708333333336</v>
      </c>
      <c r="B4208" s="1" t="s">
        <v>23</v>
      </c>
      <c r="C4208">
        <v>137</v>
      </c>
      <c r="D4208">
        <v>39</v>
      </c>
      <c r="E4208">
        <v>52</v>
      </c>
      <c r="F4208">
        <v>1309</v>
      </c>
      <c r="G4208" s="3">
        <f t="shared" si="195"/>
        <v>7</v>
      </c>
      <c r="H4208" s="4">
        <f t="shared" si="196"/>
        <v>5.3475935828877219E-3</v>
      </c>
      <c r="I4208" s="1">
        <f t="shared" si="197"/>
        <v>0</v>
      </c>
    </row>
    <row r="4209" spans="1:9" hidden="1" x14ac:dyDescent="0.2">
      <c r="A4209" s="6">
        <v>43933.708333333336</v>
      </c>
      <c r="B4209" s="1" t="s">
        <v>23</v>
      </c>
      <c r="C4209">
        <v>129</v>
      </c>
      <c r="D4209">
        <v>39</v>
      </c>
      <c r="E4209">
        <v>52</v>
      </c>
      <c r="F4209">
        <v>1319</v>
      </c>
      <c r="G4209" s="3">
        <f t="shared" si="195"/>
        <v>10</v>
      </c>
      <c r="H4209" s="4">
        <f t="shared" si="196"/>
        <v>7.5815011372252217E-3</v>
      </c>
      <c r="I4209" s="1">
        <f t="shared" si="197"/>
        <v>0</v>
      </c>
    </row>
    <row r="4210" spans="1:9" hidden="1" x14ac:dyDescent="0.2">
      <c r="A4210" s="6">
        <v>43934.708333333336</v>
      </c>
      <c r="B4210" s="1" t="s">
        <v>23</v>
      </c>
      <c r="C4210">
        <v>127</v>
      </c>
      <c r="D4210">
        <v>38</v>
      </c>
      <c r="E4210">
        <v>52</v>
      </c>
      <c r="F4210">
        <v>1320</v>
      </c>
      <c r="G4210" s="3">
        <f t="shared" si="195"/>
        <v>1</v>
      </c>
      <c r="H4210" s="4">
        <f t="shared" si="196"/>
        <v>7.575757575757347E-4</v>
      </c>
      <c r="I4210" s="1">
        <f t="shared" si="197"/>
        <v>0</v>
      </c>
    </row>
    <row r="4211" spans="1:9" hidden="1" x14ac:dyDescent="0.2">
      <c r="A4211" s="6">
        <v>43935.708333333336</v>
      </c>
      <c r="B4211" s="1" t="s">
        <v>23</v>
      </c>
      <c r="C4211">
        <v>127</v>
      </c>
      <c r="D4211">
        <v>37</v>
      </c>
      <c r="E4211">
        <v>53</v>
      </c>
      <c r="F4211">
        <v>1321</v>
      </c>
      <c r="G4211" s="3">
        <f t="shared" si="195"/>
        <v>1</v>
      </c>
      <c r="H4211" s="4">
        <f t="shared" si="196"/>
        <v>7.570022710068347E-4</v>
      </c>
      <c r="I4211" s="1">
        <f t="shared" si="197"/>
        <v>1</v>
      </c>
    </row>
    <row r="4212" spans="1:9" hidden="1" x14ac:dyDescent="0.2">
      <c r="A4212" s="6">
        <v>43936.708333333336</v>
      </c>
      <c r="B4212" s="1" t="s">
        <v>23</v>
      </c>
      <c r="C4212">
        <v>122</v>
      </c>
      <c r="D4212">
        <v>37</v>
      </c>
      <c r="E4212">
        <v>54</v>
      </c>
      <c r="F4212">
        <v>1322</v>
      </c>
      <c r="G4212" s="3">
        <f t="shared" si="195"/>
        <v>1</v>
      </c>
      <c r="H4212" s="4">
        <f t="shared" si="196"/>
        <v>7.5642965204236745E-4</v>
      </c>
      <c r="I4212" s="1">
        <f t="shared" si="197"/>
        <v>1</v>
      </c>
    </row>
    <row r="4213" spans="1:9" hidden="1" x14ac:dyDescent="0.2">
      <c r="A4213" s="6">
        <v>43937.708333333336</v>
      </c>
      <c r="B4213" s="1" t="s">
        <v>23</v>
      </c>
      <c r="C4213">
        <v>116</v>
      </c>
      <c r="D4213">
        <v>33</v>
      </c>
      <c r="E4213">
        <v>55</v>
      </c>
      <c r="F4213">
        <v>1329</v>
      </c>
      <c r="G4213" s="3">
        <f t="shared" si="195"/>
        <v>7</v>
      </c>
      <c r="H4213" s="4">
        <f t="shared" si="196"/>
        <v>5.2671181339353224E-3</v>
      </c>
      <c r="I4213" s="1">
        <f t="shared" si="197"/>
        <v>1</v>
      </c>
    </row>
    <row r="4214" spans="1:9" hidden="1" x14ac:dyDescent="0.2">
      <c r="A4214" s="6">
        <v>43938.708333333336</v>
      </c>
      <c r="B4214" s="1" t="s">
        <v>23</v>
      </c>
      <c r="C4214">
        <v>111</v>
      </c>
      <c r="D4214">
        <v>31</v>
      </c>
      <c r="E4214">
        <v>57</v>
      </c>
      <c r="F4214">
        <v>1337</v>
      </c>
      <c r="G4214" s="3">
        <f t="shared" si="195"/>
        <v>8</v>
      </c>
      <c r="H4214" s="4">
        <f t="shared" si="196"/>
        <v>5.9835452505609954E-3</v>
      </c>
      <c r="I4214" s="1">
        <f t="shared" si="197"/>
        <v>2</v>
      </c>
    </row>
    <row r="4215" spans="1:9" hidden="1" x14ac:dyDescent="0.2">
      <c r="A4215" s="6">
        <v>43939.708333333336</v>
      </c>
      <c r="B4215" s="1" t="s">
        <v>23</v>
      </c>
      <c r="C4215">
        <v>109</v>
      </c>
      <c r="D4215">
        <v>32</v>
      </c>
      <c r="E4215">
        <v>57</v>
      </c>
      <c r="F4215">
        <v>1344</v>
      </c>
      <c r="G4215" s="3">
        <f t="shared" si="195"/>
        <v>7</v>
      </c>
      <c r="H4215" s="4">
        <f t="shared" si="196"/>
        <v>5.2083333333333703E-3</v>
      </c>
      <c r="I4215" s="1">
        <f t="shared" si="197"/>
        <v>0</v>
      </c>
    </row>
    <row r="4216" spans="1:9" hidden="1" x14ac:dyDescent="0.2">
      <c r="A4216" s="6">
        <v>43940.708333333336</v>
      </c>
      <c r="B4216" s="1" t="s">
        <v>23</v>
      </c>
      <c r="C4216">
        <v>108</v>
      </c>
      <c r="D4216">
        <v>30</v>
      </c>
      <c r="E4216">
        <v>58</v>
      </c>
      <c r="F4216">
        <v>1348</v>
      </c>
      <c r="G4216" s="3">
        <f t="shared" si="195"/>
        <v>4</v>
      </c>
      <c r="H4216" s="4">
        <f t="shared" si="196"/>
        <v>2.9673590504450953E-3</v>
      </c>
      <c r="I4216" s="1">
        <f t="shared" si="197"/>
        <v>1</v>
      </c>
    </row>
    <row r="4217" spans="1:9" hidden="1" x14ac:dyDescent="0.2">
      <c r="A4217" s="6">
        <v>43941.708333333336</v>
      </c>
      <c r="B4217" s="1" t="s">
        <v>23</v>
      </c>
      <c r="C4217">
        <v>113</v>
      </c>
      <c r="D4217">
        <v>29</v>
      </c>
      <c r="E4217">
        <v>58</v>
      </c>
      <c r="F4217">
        <v>1349</v>
      </c>
      <c r="G4217" s="3">
        <f t="shared" si="195"/>
        <v>1</v>
      </c>
      <c r="H4217" s="4">
        <f t="shared" si="196"/>
        <v>7.4128984432908496E-4</v>
      </c>
      <c r="I4217" s="1">
        <f t="shared" si="197"/>
        <v>0</v>
      </c>
    </row>
    <row r="4218" spans="1:9" hidden="1" x14ac:dyDescent="0.2">
      <c r="A4218" s="6">
        <v>43942.708333333336</v>
      </c>
      <c r="B4218" s="1" t="s">
        <v>23</v>
      </c>
      <c r="C4218">
        <v>107</v>
      </c>
      <c r="D4218">
        <v>22</v>
      </c>
      <c r="E4218">
        <v>60</v>
      </c>
      <c r="F4218">
        <v>1353</v>
      </c>
      <c r="G4218" s="3">
        <f t="shared" si="195"/>
        <v>4</v>
      </c>
      <c r="H4218" s="4">
        <f t="shared" si="196"/>
        <v>2.956393200295615E-3</v>
      </c>
      <c r="I4218" s="1">
        <f t="shared" si="197"/>
        <v>2</v>
      </c>
    </row>
    <row r="4219" spans="1:9" hidden="1" x14ac:dyDescent="0.2">
      <c r="A4219" s="6">
        <v>43943.708333333336</v>
      </c>
      <c r="B4219" s="1" t="s">
        <v>23</v>
      </c>
      <c r="C4219">
        <v>97</v>
      </c>
      <c r="D4219">
        <v>20</v>
      </c>
      <c r="E4219">
        <v>61</v>
      </c>
      <c r="F4219">
        <v>1357</v>
      </c>
      <c r="G4219" s="3">
        <f t="shared" si="195"/>
        <v>4</v>
      </c>
      <c r="H4219" s="4">
        <f t="shared" si="196"/>
        <v>2.9476787030213725E-3</v>
      </c>
      <c r="I4219" s="1">
        <f t="shared" si="197"/>
        <v>1</v>
      </c>
    </row>
    <row r="4220" spans="1:9" hidden="1" x14ac:dyDescent="0.2">
      <c r="A4220" s="6">
        <v>43944.708333333336</v>
      </c>
      <c r="B4220" s="1" t="s">
        <v>23</v>
      </c>
      <c r="C4220">
        <v>100</v>
      </c>
      <c r="D4220">
        <v>19</v>
      </c>
      <c r="E4220">
        <v>61</v>
      </c>
      <c r="F4220">
        <v>1362</v>
      </c>
      <c r="G4220" s="3">
        <f t="shared" si="195"/>
        <v>5</v>
      </c>
      <c r="H4220" s="4">
        <f t="shared" si="196"/>
        <v>3.6710719530103075E-3</v>
      </c>
      <c r="I4220" s="1">
        <f t="shared" si="197"/>
        <v>0</v>
      </c>
    </row>
    <row r="4221" spans="1:9" hidden="1" x14ac:dyDescent="0.2">
      <c r="A4221" s="6">
        <v>43945.708333333336</v>
      </c>
      <c r="B4221" s="1" t="s">
        <v>23</v>
      </c>
      <c r="C4221">
        <v>94</v>
      </c>
      <c r="D4221">
        <v>19</v>
      </c>
      <c r="E4221">
        <v>62</v>
      </c>
      <c r="F4221">
        <v>1363</v>
      </c>
      <c r="G4221" s="3">
        <f t="shared" si="195"/>
        <v>1</v>
      </c>
      <c r="H4221" s="4">
        <f t="shared" si="196"/>
        <v>7.336757153337814E-4</v>
      </c>
      <c r="I4221" s="1">
        <f t="shared" si="197"/>
        <v>1</v>
      </c>
    </row>
    <row r="4222" spans="1:9" hidden="1" x14ac:dyDescent="0.2">
      <c r="A4222" s="6">
        <v>43946.708333333336</v>
      </c>
      <c r="B4222" s="1" t="s">
        <v>23</v>
      </c>
      <c r="C4222">
        <v>95</v>
      </c>
      <c r="D4222">
        <v>18</v>
      </c>
      <c r="E4222">
        <v>63</v>
      </c>
      <c r="F4222">
        <v>1366</v>
      </c>
      <c r="G4222" s="3">
        <f t="shared" si="195"/>
        <v>3</v>
      </c>
      <c r="H4222" s="4">
        <f t="shared" si="196"/>
        <v>2.1961932650073068E-3</v>
      </c>
      <c r="I4222" s="1">
        <f t="shared" si="197"/>
        <v>1</v>
      </c>
    </row>
    <row r="4223" spans="1:9" hidden="1" x14ac:dyDescent="0.2">
      <c r="A4223" s="6">
        <v>43947.708333333336</v>
      </c>
      <c r="B4223" s="1" t="s">
        <v>23</v>
      </c>
      <c r="C4223">
        <v>91</v>
      </c>
      <c r="D4223">
        <v>17</v>
      </c>
      <c r="E4223">
        <v>64</v>
      </c>
      <c r="F4223">
        <v>1368</v>
      </c>
      <c r="G4223" s="3">
        <f t="shared" si="195"/>
        <v>2</v>
      </c>
      <c r="H4223" s="4">
        <f t="shared" si="196"/>
        <v>1.4619883040936088E-3</v>
      </c>
      <c r="I4223" s="1">
        <f t="shared" si="197"/>
        <v>1</v>
      </c>
    </row>
    <row r="4224" spans="1:9" hidden="1" x14ac:dyDescent="0.2">
      <c r="A4224" s="6">
        <v>43948.708333333336</v>
      </c>
      <c r="B4224" s="1" t="s">
        <v>23</v>
      </c>
      <c r="C4224">
        <v>90</v>
      </c>
      <c r="D4224">
        <v>16</v>
      </c>
      <c r="E4224">
        <v>65</v>
      </c>
      <c r="F4224">
        <v>1370</v>
      </c>
      <c r="G4224" s="3">
        <f t="shared" si="195"/>
        <v>2</v>
      </c>
      <c r="H4224" s="4">
        <f t="shared" si="196"/>
        <v>1.4598540145985828E-3</v>
      </c>
      <c r="I4224" s="1">
        <f t="shared" si="197"/>
        <v>1</v>
      </c>
    </row>
    <row r="4225" spans="1:9" hidden="1" x14ac:dyDescent="0.2">
      <c r="A4225" s="6">
        <v>43949.708333333336</v>
      </c>
      <c r="B4225" s="1" t="s">
        <v>23</v>
      </c>
      <c r="C4225">
        <v>80</v>
      </c>
      <c r="D4225">
        <v>17</v>
      </c>
      <c r="E4225">
        <v>65</v>
      </c>
      <c r="F4225">
        <v>1379</v>
      </c>
      <c r="G4225" s="3">
        <f t="shared" si="195"/>
        <v>9</v>
      </c>
      <c r="H4225" s="4">
        <f t="shared" si="196"/>
        <v>6.526468455402501E-3</v>
      </c>
      <c r="I4225" s="1">
        <f t="shared" si="197"/>
        <v>0</v>
      </c>
    </row>
    <row r="4226" spans="1:9" hidden="1" x14ac:dyDescent="0.2">
      <c r="A4226" s="6">
        <v>43950.708333333336</v>
      </c>
      <c r="B4226" s="1" t="s">
        <v>23</v>
      </c>
      <c r="C4226">
        <v>77</v>
      </c>
      <c r="D4226">
        <v>16</v>
      </c>
      <c r="E4226">
        <v>66</v>
      </c>
      <c r="F4226">
        <v>1391</v>
      </c>
      <c r="G4226" s="3">
        <f t="shared" si="195"/>
        <v>12</v>
      </c>
      <c r="H4226" s="4">
        <f t="shared" si="196"/>
        <v>8.6268871315600126E-3</v>
      </c>
      <c r="I4226" s="1">
        <f t="shared" si="197"/>
        <v>1</v>
      </c>
    </row>
    <row r="4227" spans="1:9" hidden="1" x14ac:dyDescent="0.2">
      <c r="A4227" s="6">
        <v>43951.708333333336</v>
      </c>
      <c r="B4227" s="1" t="s">
        <v>23</v>
      </c>
      <c r="C4227">
        <v>68</v>
      </c>
      <c r="D4227">
        <v>16</v>
      </c>
      <c r="E4227">
        <v>67</v>
      </c>
      <c r="F4227">
        <v>1392</v>
      </c>
      <c r="G4227" s="3">
        <f t="shared" ref="G4227:G4290" si="198">IF(AND(F4227&gt;0,AND(B4227=B4226,F4227&gt;0)),F4227-F4226,0)</f>
        <v>1</v>
      </c>
      <c r="H4227" s="4">
        <f t="shared" ref="H4227:H4290" si="199">IF(AND(F4226&gt;0,AND(B4227=B4226,F4226&gt;0)),1-(F4226/F4227),0)</f>
        <v>7.1839080459767946E-4</v>
      </c>
      <c r="I4227" s="1">
        <f t="shared" ref="I4227:I4290" si="200">IF(AND(E4227&gt;0,AND(B4227=B4226,E4227&gt;0)),E4227-E4226,0)</f>
        <v>1</v>
      </c>
    </row>
    <row r="4228" spans="1:9" hidden="1" x14ac:dyDescent="0.2">
      <c r="A4228" s="6">
        <v>43952.708333333336</v>
      </c>
      <c r="B4228" s="1" t="s">
        <v>23</v>
      </c>
      <c r="C4228">
        <v>60</v>
      </c>
      <c r="D4228">
        <v>13</v>
      </c>
      <c r="E4228">
        <v>68</v>
      </c>
      <c r="F4228">
        <v>1393</v>
      </c>
      <c r="G4228" s="3">
        <f t="shared" si="198"/>
        <v>1</v>
      </c>
      <c r="H4228" s="4">
        <f t="shared" si="199"/>
        <v>7.1787508973442105E-4</v>
      </c>
      <c r="I4228" s="1">
        <f t="shared" si="200"/>
        <v>1</v>
      </c>
    </row>
    <row r="4229" spans="1:9" hidden="1" x14ac:dyDescent="0.2">
      <c r="A4229" s="6">
        <v>43953.708333333336</v>
      </c>
      <c r="B4229" s="1" t="s">
        <v>23</v>
      </c>
      <c r="C4229">
        <v>60</v>
      </c>
      <c r="D4229">
        <v>13</v>
      </c>
      <c r="E4229">
        <v>68</v>
      </c>
      <c r="F4229">
        <v>1394</v>
      </c>
      <c r="G4229" s="3">
        <f t="shared" si="198"/>
        <v>1</v>
      </c>
      <c r="H4229" s="4">
        <f t="shared" si="199"/>
        <v>7.1736011477763206E-4</v>
      </c>
      <c r="I4229" s="1">
        <f t="shared" si="200"/>
        <v>0</v>
      </c>
    </row>
    <row r="4230" spans="1:9" hidden="1" x14ac:dyDescent="0.2">
      <c r="A4230" s="6">
        <v>43954.708333333336</v>
      </c>
      <c r="B4230" s="1" t="s">
        <v>23</v>
      </c>
      <c r="C4230">
        <v>58</v>
      </c>
      <c r="D4230">
        <v>13</v>
      </c>
      <c r="E4230">
        <v>68</v>
      </c>
      <c r="F4230">
        <v>1394</v>
      </c>
      <c r="G4230" s="3">
        <f t="shared" si="198"/>
        <v>0</v>
      </c>
      <c r="H4230" s="4">
        <f t="shared" si="199"/>
        <v>0</v>
      </c>
      <c r="I4230" s="1">
        <f t="shared" si="200"/>
        <v>0</v>
      </c>
    </row>
    <row r="4231" spans="1:9" hidden="1" x14ac:dyDescent="0.2">
      <c r="A4231" s="6">
        <v>43955.708333333336</v>
      </c>
      <c r="B4231" s="1" t="s">
        <v>23</v>
      </c>
      <c r="C4231">
        <v>56</v>
      </c>
      <c r="D4231">
        <v>13</v>
      </c>
      <c r="E4231">
        <v>70</v>
      </c>
      <c r="F4231">
        <v>1394</v>
      </c>
      <c r="G4231" s="3">
        <f t="shared" si="198"/>
        <v>0</v>
      </c>
      <c r="H4231" s="4">
        <f t="shared" si="199"/>
        <v>0</v>
      </c>
      <c r="I4231" s="1">
        <f t="shared" si="200"/>
        <v>2</v>
      </c>
    </row>
    <row r="4232" spans="1:9" hidden="1" x14ac:dyDescent="0.2">
      <c r="A4232" s="6">
        <v>43956.708333333336</v>
      </c>
      <c r="B4232" s="1" t="s">
        <v>23</v>
      </c>
      <c r="C4232">
        <v>56</v>
      </c>
      <c r="D4232">
        <v>11</v>
      </c>
      <c r="E4232">
        <v>70</v>
      </c>
      <c r="F4232">
        <v>1400</v>
      </c>
      <c r="G4232" s="3">
        <f t="shared" si="198"/>
        <v>6</v>
      </c>
      <c r="H4232" s="4">
        <f t="shared" si="199"/>
        <v>4.2857142857143371E-3</v>
      </c>
      <c r="I4232" s="1">
        <f t="shared" si="200"/>
        <v>0</v>
      </c>
    </row>
    <row r="4233" spans="1:9" hidden="1" x14ac:dyDescent="0.2">
      <c r="A4233" s="6">
        <v>43957.708333333336</v>
      </c>
      <c r="B4233" s="1" t="s">
        <v>23</v>
      </c>
      <c r="C4233">
        <v>55</v>
      </c>
      <c r="D4233">
        <v>9</v>
      </c>
      <c r="E4233">
        <v>70</v>
      </c>
      <c r="F4233">
        <v>1404</v>
      </c>
      <c r="G4233" s="3">
        <f t="shared" si="198"/>
        <v>4</v>
      </c>
      <c r="H4233" s="4">
        <f t="shared" si="199"/>
        <v>2.8490028490028019E-3</v>
      </c>
      <c r="I4233" s="1">
        <f t="shared" si="200"/>
        <v>0</v>
      </c>
    </row>
    <row r="4234" spans="1:9" hidden="1" x14ac:dyDescent="0.2">
      <c r="A4234" s="6">
        <v>43958.708333333336</v>
      </c>
      <c r="B4234" s="1" t="s">
        <v>23</v>
      </c>
      <c r="C4234">
        <v>47</v>
      </c>
      <c r="D4234">
        <v>9</v>
      </c>
      <c r="E4234">
        <v>70</v>
      </c>
      <c r="F4234">
        <v>1405</v>
      </c>
      <c r="G4234" s="3">
        <f t="shared" si="198"/>
        <v>1</v>
      </c>
      <c r="H4234" s="4">
        <f t="shared" si="199"/>
        <v>7.11743772242035E-4</v>
      </c>
      <c r="I4234" s="1">
        <f t="shared" si="200"/>
        <v>0</v>
      </c>
    </row>
    <row r="4235" spans="1:9" hidden="1" x14ac:dyDescent="0.2">
      <c r="A4235" s="6">
        <v>43959.708333333336</v>
      </c>
      <c r="B4235" s="1" t="s">
        <v>23</v>
      </c>
      <c r="C4235">
        <v>47</v>
      </c>
      <c r="D4235">
        <v>6</v>
      </c>
      <c r="E4235">
        <v>71</v>
      </c>
      <c r="F4235">
        <v>1406</v>
      </c>
      <c r="G4235" s="3">
        <f t="shared" si="198"/>
        <v>1</v>
      </c>
      <c r="H4235" s="4">
        <f t="shared" si="199"/>
        <v>7.1123755334279171E-4</v>
      </c>
      <c r="I4235" s="1">
        <f t="shared" si="200"/>
        <v>1</v>
      </c>
    </row>
    <row r="4236" spans="1:9" hidden="1" x14ac:dyDescent="0.2">
      <c r="A4236" s="6">
        <v>43960.708333333336</v>
      </c>
      <c r="B4236" s="1" t="s">
        <v>23</v>
      </c>
      <c r="C4236">
        <v>45</v>
      </c>
      <c r="D4236">
        <v>6</v>
      </c>
      <c r="E4236">
        <v>71</v>
      </c>
      <c r="F4236">
        <v>1407</v>
      </c>
      <c r="G4236" s="3">
        <f t="shared" si="198"/>
        <v>1</v>
      </c>
      <c r="H4236" s="4">
        <f t="shared" si="199"/>
        <v>7.1073205401561701E-4</v>
      </c>
      <c r="I4236" s="1">
        <f t="shared" si="200"/>
        <v>0</v>
      </c>
    </row>
    <row r="4237" spans="1:9" hidden="1" x14ac:dyDescent="0.2">
      <c r="A4237" s="6">
        <v>43961.708333333336</v>
      </c>
      <c r="B4237" s="1" t="s">
        <v>23</v>
      </c>
      <c r="C4237">
        <v>42</v>
      </c>
      <c r="D4237">
        <v>6</v>
      </c>
      <c r="E4237">
        <v>71</v>
      </c>
      <c r="F4237">
        <v>1411</v>
      </c>
      <c r="G4237" s="3">
        <f t="shared" si="198"/>
        <v>4</v>
      </c>
      <c r="H4237" s="4">
        <f t="shared" si="199"/>
        <v>2.8348688873139904E-3</v>
      </c>
      <c r="I4237" s="1">
        <f t="shared" si="200"/>
        <v>0</v>
      </c>
    </row>
    <row r="4238" spans="1:9" hidden="1" x14ac:dyDescent="0.2">
      <c r="A4238" s="6">
        <v>43962.708333333336</v>
      </c>
      <c r="B4238" s="1" t="s">
        <v>23</v>
      </c>
      <c r="C4238">
        <v>40</v>
      </c>
      <c r="D4238">
        <v>4</v>
      </c>
      <c r="E4238">
        <v>71</v>
      </c>
      <c r="F4238">
        <v>1412</v>
      </c>
      <c r="G4238" s="3">
        <f t="shared" si="198"/>
        <v>1</v>
      </c>
      <c r="H4238" s="4">
        <f t="shared" si="199"/>
        <v>7.0821529745046519E-4</v>
      </c>
      <c r="I4238" s="1">
        <f t="shared" si="200"/>
        <v>0</v>
      </c>
    </row>
    <row r="4239" spans="1:9" hidden="1" x14ac:dyDescent="0.2">
      <c r="A4239" s="6">
        <v>43963.708333333336</v>
      </c>
      <c r="B4239" s="1" t="s">
        <v>23</v>
      </c>
      <c r="C4239">
        <v>41</v>
      </c>
      <c r="D4239">
        <v>4</v>
      </c>
      <c r="E4239">
        <v>71</v>
      </c>
      <c r="F4239">
        <v>1419</v>
      </c>
      <c r="G4239" s="3">
        <f t="shared" si="198"/>
        <v>7</v>
      </c>
      <c r="H4239" s="4">
        <f t="shared" si="199"/>
        <v>4.9330514446793705E-3</v>
      </c>
      <c r="I4239" s="1">
        <f t="shared" si="200"/>
        <v>0</v>
      </c>
    </row>
    <row r="4240" spans="1:9" hidden="1" x14ac:dyDescent="0.2">
      <c r="A4240" s="6">
        <v>43964.708333333336</v>
      </c>
      <c r="B4240" s="1" t="s">
        <v>23</v>
      </c>
      <c r="C4240">
        <v>36</v>
      </c>
      <c r="D4240">
        <v>4</v>
      </c>
      <c r="E4240">
        <v>72</v>
      </c>
      <c r="F4240">
        <v>1419</v>
      </c>
      <c r="G4240" s="3">
        <f t="shared" si="198"/>
        <v>0</v>
      </c>
      <c r="H4240" s="4">
        <f t="shared" si="199"/>
        <v>0</v>
      </c>
      <c r="I4240" s="1">
        <f t="shared" si="200"/>
        <v>1</v>
      </c>
    </row>
    <row r="4241" spans="1:9" hidden="1" x14ac:dyDescent="0.2">
      <c r="A4241" s="6">
        <v>43965.708333333336</v>
      </c>
      <c r="B4241" s="1" t="s">
        <v>23</v>
      </c>
      <c r="C4241">
        <v>26</v>
      </c>
      <c r="D4241">
        <v>1</v>
      </c>
      <c r="E4241">
        <v>73</v>
      </c>
      <c r="F4241">
        <v>1420</v>
      </c>
      <c r="G4241" s="3">
        <f t="shared" si="198"/>
        <v>1</v>
      </c>
      <c r="H4241" s="4">
        <f t="shared" si="199"/>
        <v>7.0422535211267512E-4</v>
      </c>
      <c r="I4241" s="1">
        <f t="shared" si="200"/>
        <v>1</v>
      </c>
    </row>
    <row r="4242" spans="1:9" hidden="1" x14ac:dyDescent="0.2">
      <c r="A4242" s="6">
        <v>43966.708333333336</v>
      </c>
      <c r="B4242" s="1" t="s">
        <v>23</v>
      </c>
      <c r="C4242">
        <v>25</v>
      </c>
      <c r="D4242">
        <v>2</v>
      </c>
      <c r="E4242">
        <v>73</v>
      </c>
      <c r="F4242">
        <v>1422</v>
      </c>
      <c r="G4242" s="3">
        <f t="shared" si="198"/>
        <v>2</v>
      </c>
      <c r="H4242" s="4">
        <f t="shared" si="199"/>
        <v>1.4064697609000865E-3</v>
      </c>
      <c r="I4242" s="1">
        <f t="shared" si="200"/>
        <v>0</v>
      </c>
    </row>
    <row r="4243" spans="1:9" hidden="1" x14ac:dyDescent="0.2">
      <c r="A4243" s="6">
        <v>43967.708333333336</v>
      </c>
      <c r="B4243" s="1" t="s">
        <v>23</v>
      </c>
      <c r="C4243">
        <v>25</v>
      </c>
      <c r="D4243">
        <v>2</v>
      </c>
      <c r="E4243">
        <v>73</v>
      </c>
      <c r="F4243">
        <v>1422</v>
      </c>
      <c r="G4243" s="3">
        <f t="shared" si="198"/>
        <v>0</v>
      </c>
      <c r="H4243" s="4">
        <f t="shared" si="199"/>
        <v>0</v>
      </c>
      <c r="I4243" s="1">
        <f t="shared" si="200"/>
        <v>0</v>
      </c>
    </row>
    <row r="4244" spans="1:9" hidden="1" x14ac:dyDescent="0.2">
      <c r="A4244" s="6">
        <v>43968.708333333336</v>
      </c>
      <c r="B4244" s="1" t="s">
        <v>23</v>
      </c>
      <c r="C4244">
        <v>25</v>
      </c>
      <c r="D4244">
        <v>2</v>
      </c>
      <c r="E4244">
        <v>73</v>
      </c>
      <c r="F4244">
        <v>1424</v>
      </c>
      <c r="G4244" s="3">
        <f t="shared" si="198"/>
        <v>2</v>
      </c>
      <c r="H4244" s="4">
        <f t="shared" si="199"/>
        <v>1.4044943820225031E-3</v>
      </c>
      <c r="I4244" s="1">
        <f t="shared" si="200"/>
        <v>0</v>
      </c>
    </row>
    <row r="4245" spans="1:9" hidden="1" x14ac:dyDescent="0.2">
      <c r="A4245" s="6">
        <v>43969.708333333336</v>
      </c>
      <c r="B4245" s="1" t="s">
        <v>23</v>
      </c>
      <c r="C4245">
        <v>24</v>
      </c>
      <c r="D4245">
        <v>2</v>
      </c>
      <c r="E4245">
        <v>73</v>
      </c>
      <c r="F4245">
        <v>1424</v>
      </c>
      <c r="G4245" s="3">
        <f t="shared" si="198"/>
        <v>0</v>
      </c>
      <c r="H4245" s="4">
        <f t="shared" si="199"/>
        <v>0</v>
      </c>
      <c r="I4245" s="1">
        <f t="shared" si="200"/>
        <v>0</v>
      </c>
    </row>
    <row r="4246" spans="1:9" hidden="1" x14ac:dyDescent="0.2">
      <c r="A4246" s="6">
        <v>43970.708333333336</v>
      </c>
      <c r="B4246" s="1" t="s">
        <v>23</v>
      </c>
      <c r="C4246">
        <v>25</v>
      </c>
      <c r="D4246">
        <v>2</v>
      </c>
      <c r="E4246">
        <v>74</v>
      </c>
      <c r="F4246">
        <v>1427</v>
      </c>
      <c r="G4246" s="3">
        <f t="shared" si="198"/>
        <v>3</v>
      </c>
      <c r="H4246" s="4">
        <f t="shared" si="199"/>
        <v>2.1023125437982237E-3</v>
      </c>
      <c r="I4246" s="1">
        <f t="shared" si="200"/>
        <v>1</v>
      </c>
    </row>
    <row r="4247" spans="1:9" hidden="1" x14ac:dyDescent="0.2">
      <c r="A4247" s="6">
        <v>43971.708333333336</v>
      </c>
      <c r="B4247" s="1" t="s">
        <v>23</v>
      </c>
      <c r="C4247">
        <v>25</v>
      </c>
      <c r="D4247">
        <v>2</v>
      </c>
      <c r="E4247">
        <v>74</v>
      </c>
      <c r="F4247">
        <v>1427</v>
      </c>
      <c r="G4247" s="3">
        <f t="shared" si="198"/>
        <v>0</v>
      </c>
      <c r="H4247" s="4">
        <f t="shared" si="199"/>
        <v>0</v>
      </c>
      <c r="I4247" s="1">
        <f t="shared" si="200"/>
        <v>0</v>
      </c>
    </row>
    <row r="4248" spans="1:9" hidden="1" x14ac:dyDescent="0.2">
      <c r="A4248" s="6">
        <v>43972.708333333336</v>
      </c>
      <c r="B4248" s="1" t="s">
        <v>23</v>
      </c>
      <c r="C4248">
        <v>17</v>
      </c>
      <c r="D4248">
        <v>2</v>
      </c>
      <c r="E4248">
        <v>74</v>
      </c>
      <c r="F4248">
        <v>1429</v>
      </c>
      <c r="G4248" s="3">
        <f t="shared" si="198"/>
        <v>2</v>
      </c>
      <c r="H4248" s="4">
        <f t="shared" si="199"/>
        <v>1.3995801259621965E-3</v>
      </c>
      <c r="I4248" s="1">
        <f t="shared" si="200"/>
        <v>0</v>
      </c>
    </row>
    <row r="4249" spans="1:9" hidden="1" x14ac:dyDescent="0.2">
      <c r="A4249" s="6">
        <v>43973.708333333336</v>
      </c>
      <c r="B4249" s="1" t="s">
        <v>23</v>
      </c>
      <c r="C4249">
        <v>16</v>
      </c>
      <c r="D4249">
        <v>2</v>
      </c>
      <c r="E4249">
        <v>74</v>
      </c>
      <c r="F4249">
        <v>1429</v>
      </c>
      <c r="G4249" s="3">
        <f t="shared" si="198"/>
        <v>0</v>
      </c>
      <c r="H4249" s="4">
        <f t="shared" si="199"/>
        <v>0</v>
      </c>
      <c r="I4249" s="1">
        <f t="shared" si="200"/>
        <v>0</v>
      </c>
    </row>
    <row r="4250" spans="1:9" hidden="1" x14ac:dyDescent="0.2">
      <c r="A4250" s="6">
        <v>43974.708333333336</v>
      </c>
      <c r="B4250" s="1" t="s">
        <v>23</v>
      </c>
      <c r="C4250">
        <v>15</v>
      </c>
      <c r="D4250">
        <v>2</v>
      </c>
      <c r="E4250">
        <v>74</v>
      </c>
      <c r="F4250">
        <v>1430</v>
      </c>
      <c r="G4250" s="3">
        <f t="shared" si="198"/>
        <v>1</v>
      </c>
      <c r="H4250" s="4">
        <f t="shared" si="199"/>
        <v>6.9930069930068672E-4</v>
      </c>
      <c r="I4250" s="1">
        <f t="shared" si="200"/>
        <v>0</v>
      </c>
    </row>
    <row r="4251" spans="1:9" hidden="1" x14ac:dyDescent="0.2">
      <c r="A4251" s="6">
        <v>43975.708333333336</v>
      </c>
      <c r="B4251" s="1" t="s">
        <v>23</v>
      </c>
      <c r="C4251">
        <v>15</v>
      </c>
      <c r="D4251">
        <v>2</v>
      </c>
      <c r="E4251">
        <v>75</v>
      </c>
      <c r="F4251">
        <v>1430</v>
      </c>
      <c r="G4251" s="3">
        <f t="shared" si="198"/>
        <v>0</v>
      </c>
      <c r="H4251" s="4">
        <f t="shared" si="199"/>
        <v>0</v>
      </c>
      <c r="I4251" s="1">
        <f t="shared" si="200"/>
        <v>1</v>
      </c>
    </row>
    <row r="4252" spans="1:9" hidden="1" x14ac:dyDescent="0.2">
      <c r="A4252" s="6">
        <v>43976.708333333336</v>
      </c>
      <c r="B4252" s="1" t="s">
        <v>23</v>
      </c>
      <c r="C4252">
        <v>15</v>
      </c>
      <c r="D4252">
        <v>2</v>
      </c>
      <c r="E4252">
        <v>75</v>
      </c>
      <c r="F4252">
        <v>1430</v>
      </c>
      <c r="G4252" s="3">
        <f t="shared" si="198"/>
        <v>0</v>
      </c>
      <c r="H4252" s="4">
        <f t="shared" si="199"/>
        <v>0</v>
      </c>
      <c r="I4252" s="1">
        <f t="shared" si="200"/>
        <v>0</v>
      </c>
    </row>
    <row r="4253" spans="1:9" hidden="1" x14ac:dyDescent="0.2">
      <c r="A4253" s="6">
        <v>43977.708333333336</v>
      </c>
      <c r="B4253" s="1" t="s">
        <v>23</v>
      </c>
      <c r="C4253">
        <v>12</v>
      </c>
      <c r="D4253">
        <v>2</v>
      </c>
      <c r="E4253">
        <v>75</v>
      </c>
      <c r="F4253">
        <v>1431</v>
      </c>
      <c r="G4253" s="3">
        <f t="shared" si="198"/>
        <v>1</v>
      </c>
      <c r="H4253" s="4">
        <f t="shared" si="199"/>
        <v>6.9881201956678574E-4</v>
      </c>
      <c r="I4253" s="1">
        <f t="shared" si="200"/>
        <v>0</v>
      </c>
    </row>
    <row r="4254" spans="1:9" hidden="1" x14ac:dyDescent="0.2">
      <c r="A4254" s="6">
        <v>43978.708333333336</v>
      </c>
      <c r="B4254" s="1" t="s">
        <v>23</v>
      </c>
      <c r="C4254">
        <v>13</v>
      </c>
      <c r="D4254">
        <v>2</v>
      </c>
      <c r="E4254">
        <v>75</v>
      </c>
      <c r="F4254">
        <v>1431</v>
      </c>
      <c r="G4254" s="3">
        <f t="shared" si="198"/>
        <v>0</v>
      </c>
      <c r="H4254" s="4">
        <f t="shared" si="199"/>
        <v>0</v>
      </c>
      <c r="I4254" s="1">
        <f t="shared" si="200"/>
        <v>0</v>
      </c>
    </row>
    <row r="4255" spans="1:9" hidden="1" x14ac:dyDescent="0.2">
      <c r="A4255" s="6">
        <v>43979.708333333336</v>
      </c>
      <c r="B4255" s="1" t="s">
        <v>23</v>
      </c>
      <c r="C4255">
        <v>14</v>
      </c>
      <c r="D4255">
        <v>2</v>
      </c>
      <c r="E4255">
        <v>75</v>
      </c>
      <c r="F4255">
        <v>1431</v>
      </c>
      <c r="G4255" s="3">
        <f t="shared" si="198"/>
        <v>0</v>
      </c>
      <c r="H4255" s="4">
        <f t="shared" si="199"/>
        <v>0</v>
      </c>
      <c r="I4255" s="1">
        <f t="shared" si="200"/>
        <v>0</v>
      </c>
    </row>
    <row r="4256" spans="1:9" hidden="1" x14ac:dyDescent="0.2">
      <c r="A4256" s="6">
        <v>43980.708333333336</v>
      </c>
      <c r="B4256" s="1" t="s">
        <v>23</v>
      </c>
      <c r="C4256">
        <v>15</v>
      </c>
      <c r="D4256">
        <v>2</v>
      </c>
      <c r="E4256">
        <v>76</v>
      </c>
      <c r="F4256">
        <v>1431</v>
      </c>
      <c r="G4256" s="3">
        <f t="shared" si="198"/>
        <v>0</v>
      </c>
      <c r="H4256" s="4">
        <f t="shared" si="199"/>
        <v>0</v>
      </c>
      <c r="I4256" s="1">
        <f t="shared" si="200"/>
        <v>1</v>
      </c>
    </row>
    <row r="4257" spans="1:9" hidden="1" x14ac:dyDescent="0.2">
      <c r="A4257" s="6">
        <v>43981.708333333336</v>
      </c>
      <c r="B4257" s="1" t="s">
        <v>23</v>
      </c>
      <c r="C4257">
        <v>16</v>
      </c>
      <c r="D4257">
        <v>1</v>
      </c>
      <c r="E4257">
        <v>76</v>
      </c>
      <c r="F4257">
        <v>1431</v>
      </c>
      <c r="G4257" s="3">
        <f t="shared" si="198"/>
        <v>0</v>
      </c>
      <c r="H4257" s="4">
        <f t="shared" si="199"/>
        <v>0</v>
      </c>
      <c r="I4257" s="1">
        <f t="shared" si="200"/>
        <v>0</v>
      </c>
    </row>
    <row r="4258" spans="1:9" hidden="1" x14ac:dyDescent="0.2">
      <c r="A4258" s="6">
        <v>43982.708333333336</v>
      </c>
      <c r="B4258" s="1" t="s">
        <v>23</v>
      </c>
      <c r="C4258">
        <v>15</v>
      </c>
      <c r="D4258">
        <v>2</v>
      </c>
      <c r="E4258">
        <v>76</v>
      </c>
      <c r="F4258">
        <v>1431</v>
      </c>
      <c r="G4258" s="3">
        <f t="shared" si="198"/>
        <v>0</v>
      </c>
      <c r="H4258" s="4">
        <f t="shared" si="199"/>
        <v>0</v>
      </c>
      <c r="I4258" s="1">
        <f t="shared" si="200"/>
        <v>0</v>
      </c>
    </row>
    <row r="4259" spans="1:9" hidden="1" x14ac:dyDescent="0.2">
      <c r="A4259" s="6">
        <v>43983.708333333336</v>
      </c>
      <c r="B4259" s="1" t="s">
        <v>23</v>
      </c>
      <c r="C4259">
        <v>15</v>
      </c>
      <c r="D4259">
        <v>2</v>
      </c>
      <c r="E4259">
        <v>76</v>
      </c>
      <c r="F4259">
        <v>1431</v>
      </c>
      <c r="G4259" s="3">
        <f t="shared" si="198"/>
        <v>0</v>
      </c>
      <c r="H4259" s="4">
        <f t="shared" si="199"/>
        <v>0</v>
      </c>
      <c r="I4259" s="1">
        <f t="shared" si="200"/>
        <v>0</v>
      </c>
    </row>
    <row r="4260" spans="1:9" hidden="1" x14ac:dyDescent="0.2">
      <c r="A4260" s="6">
        <v>43984.708333333336</v>
      </c>
      <c r="B4260" s="1" t="s">
        <v>23</v>
      </c>
      <c r="C4260">
        <v>15</v>
      </c>
      <c r="D4260">
        <v>2</v>
      </c>
      <c r="E4260">
        <v>76</v>
      </c>
      <c r="F4260">
        <v>1431</v>
      </c>
      <c r="G4260" s="3">
        <f t="shared" si="198"/>
        <v>0</v>
      </c>
      <c r="H4260" s="4">
        <f t="shared" si="199"/>
        <v>0</v>
      </c>
      <c r="I4260" s="1">
        <f t="shared" si="200"/>
        <v>0</v>
      </c>
    </row>
    <row r="4261" spans="1:9" hidden="1" x14ac:dyDescent="0.2">
      <c r="A4261" s="6">
        <v>43985.708333333336</v>
      </c>
      <c r="B4261" s="1" t="s">
        <v>23</v>
      </c>
      <c r="C4261">
        <v>15</v>
      </c>
      <c r="D4261">
        <v>2</v>
      </c>
      <c r="E4261">
        <v>76</v>
      </c>
      <c r="F4261">
        <v>1431</v>
      </c>
      <c r="G4261" s="3">
        <f t="shared" si="198"/>
        <v>0</v>
      </c>
      <c r="H4261" s="4">
        <f t="shared" si="199"/>
        <v>0</v>
      </c>
      <c r="I4261" s="1">
        <f t="shared" si="200"/>
        <v>0</v>
      </c>
    </row>
    <row r="4262" spans="1:9" hidden="1" x14ac:dyDescent="0.2">
      <c r="A4262" s="6">
        <v>43986.708333333336</v>
      </c>
      <c r="B4262" s="1" t="s">
        <v>23</v>
      </c>
      <c r="C4262">
        <v>15</v>
      </c>
      <c r="D4262">
        <v>2</v>
      </c>
      <c r="E4262">
        <v>76</v>
      </c>
      <c r="F4262">
        <v>1431</v>
      </c>
      <c r="G4262" s="3">
        <f t="shared" si="198"/>
        <v>0</v>
      </c>
      <c r="H4262" s="4">
        <f t="shared" si="199"/>
        <v>0</v>
      </c>
      <c r="I4262" s="1">
        <f t="shared" si="200"/>
        <v>0</v>
      </c>
    </row>
    <row r="4263" spans="1:9" hidden="1" x14ac:dyDescent="0.2">
      <c r="A4263" s="6">
        <v>43987.708333333336</v>
      </c>
      <c r="B4263" s="1" t="s">
        <v>23</v>
      </c>
      <c r="C4263">
        <v>12</v>
      </c>
      <c r="D4263">
        <v>2</v>
      </c>
      <c r="E4263">
        <v>76</v>
      </c>
      <c r="F4263">
        <v>1431</v>
      </c>
      <c r="G4263" s="3">
        <f t="shared" si="198"/>
        <v>0</v>
      </c>
      <c r="H4263" s="4">
        <f t="shared" si="199"/>
        <v>0</v>
      </c>
      <c r="I4263" s="1">
        <f t="shared" si="200"/>
        <v>0</v>
      </c>
    </row>
    <row r="4264" spans="1:9" hidden="1" x14ac:dyDescent="0.2">
      <c r="A4264" s="6">
        <v>43988.708333333336</v>
      </c>
      <c r="B4264" s="1" t="s">
        <v>23</v>
      </c>
      <c r="C4264">
        <v>11</v>
      </c>
      <c r="D4264">
        <v>2</v>
      </c>
      <c r="E4264">
        <v>76</v>
      </c>
      <c r="F4264">
        <v>1431</v>
      </c>
      <c r="G4264" s="3">
        <f t="shared" si="198"/>
        <v>0</v>
      </c>
      <c r="H4264" s="4">
        <f t="shared" si="199"/>
        <v>0</v>
      </c>
      <c r="I4264" s="1">
        <f t="shared" si="200"/>
        <v>0</v>
      </c>
    </row>
    <row r="4265" spans="1:9" hidden="1" x14ac:dyDescent="0.2">
      <c r="A4265" s="6">
        <v>43989.708333333336</v>
      </c>
      <c r="B4265" s="1" t="s">
        <v>23</v>
      </c>
      <c r="C4265">
        <v>10</v>
      </c>
      <c r="D4265">
        <v>2</v>
      </c>
      <c r="E4265">
        <v>76</v>
      </c>
      <c r="F4265">
        <v>1432</v>
      </c>
      <c r="G4265" s="3">
        <f t="shared" si="198"/>
        <v>1</v>
      </c>
      <c r="H4265" s="4">
        <f t="shared" si="199"/>
        <v>6.9832402234637492E-4</v>
      </c>
      <c r="I4265" s="1">
        <f t="shared" si="200"/>
        <v>0</v>
      </c>
    </row>
    <row r="4266" spans="1:9" hidden="1" x14ac:dyDescent="0.2">
      <c r="A4266" s="6">
        <v>43990.708333333336</v>
      </c>
      <c r="B4266" s="1" t="s">
        <v>23</v>
      </c>
      <c r="C4266">
        <v>10</v>
      </c>
      <c r="D4266">
        <v>2</v>
      </c>
      <c r="E4266">
        <v>76</v>
      </c>
      <c r="F4266">
        <v>1432</v>
      </c>
      <c r="G4266" s="3">
        <f t="shared" si="198"/>
        <v>0</v>
      </c>
      <c r="H4266" s="4">
        <f t="shared" si="199"/>
        <v>0</v>
      </c>
      <c r="I4266" s="1">
        <f t="shared" si="200"/>
        <v>0</v>
      </c>
    </row>
    <row r="4267" spans="1:9" hidden="1" x14ac:dyDescent="0.2">
      <c r="A4267" s="6">
        <v>43991.708333333336</v>
      </c>
      <c r="B4267" s="1" t="s">
        <v>23</v>
      </c>
      <c r="C4267">
        <v>12</v>
      </c>
      <c r="D4267">
        <v>2</v>
      </c>
      <c r="E4267">
        <v>76</v>
      </c>
      <c r="F4267">
        <v>1435</v>
      </c>
      <c r="G4267" s="3">
        <f t="shared" si="198"/>
        <v>3</v>
      </c>
      <c r="H4267" s="4">
        <f t="shared" si="199"/>
        <v>2.090592334494823E-3</v>
      </c>
      <c r="I4267" s="1">
        <f t="shared" si="200"/>
        <v>0</v>
      </c>
    </row>
    <row r="4268" spans="1:9" hidden="1" x14ac:dyDescent="0.2">
      <c r="A4268" s="6">
        <v>43992.708333333336</v>
      </c>
      <c r="B4268" s="1" t="s">
        <v>23</v>
      </c>
      <c r="C4268">
        <v>13</v>
      </c>
      <c r="D4268">
        <v>2</v>
      </c>
      <c r="E4268">
        <v>76</v>
      </c>
      <c r="F4268">
        <v>1436</v>
      </c>
      <c r="G4268" s="3">
        <f t="shared" si="198"/>
        <v>1</v>
      </c>
      <c r="H4268" s="4">
        <f t="shared" si="199"/>
        <v>6.9637883008355494E-4</v>
      </c>
      <c r="I4268" s="1">
        <f t="shared" si="200"/>
        <v>0</v>
      </c>
    </row>
    <row r="4269" spans="1:9" hidden="1" x14ac:dyDescent="0.2">
      <c r="A4269" s="6">
        <v>43993.708333333336</v>
      </c>
      <c r="B4269" s="1" t="s">
        <v>23</v>
      </c>
      <c r="C4269">
        <v>11</v>
      </c>
      <c r="D4269">
        <v>2</v>
      </c>
      <c r="E4269">
        <v>76</v>
      </c>
      <c r="F4269">
        <v>1436</v>
      </c>
      <c r="G4269" s="3">
        <f t="shared" si="198"/>
        <v>0</v>
      </c>
      <c r="H4269" s="4">
        <f t="shared" si="199"/>
        <v>0</v>
      </c>
      <c r="I4269" s="1">
        <f t="shared" si="200"/>
        <v>0</v>
      </c>
    </row>
    <row r="4270" spans="1:9" hidden="1" x14ac:dyDescent="0.2">
      <c r="A4270" s="6">
        <v>43994.708333333336</v>
      </c>
      <c r="B4270" s="1" t="s">
        <v>23</v>
      </c>
      <c r="C4270">
        <v>10</v>
      </c>
      <c r="D4270">
        <v>1</v>
      </c>
      <c r="E4270">
        <v>76</v>
      </c>
      <c r="F4270">
        <v>1436</v>
      </c>
      <c r="G4270" s="3">
        <f t="shared" si="198"/>
        <v>0</v>
      </c>
      <c r="H4270" s="4">
        <f t="shared" si="199"/>
        <v>0</v>
      </c>
      <c r="I4270" s="1">
        <f t="shared" si="200"/>
        <v>0</v>
      </c>
    </row>
    <row r="4271" spans="1:9" hidden="1" x14ac:dyDescent="0.2">
      <c r="A4271" s="6">
        <v>43995.708333333336</v>
      </c>
      <c r="B4271" s="1" t="s">
        <v>23</v>
      </c>
      <c r="C4271">
        <v>10</v>
      </c>
      <c r="D4271">
        <v>1</v>
      </c>
      <c r="E4271">
        <v>76</v>
      </c>
      <c r="F4271">
        <v>1436</v>
      </c>
      <c r="G4271" s="3">
        <f t="shared" si="198"/>
        <v>0</v>
      </c>
      <c r="H4271" s="4">
        <f t="shared" si="199"/>
        <v>0</v>
      </c>
      <c r="I4271" s="1">
        <f t="shared" si="200"/>
        <v>0</v>
      </c>
    </row>
    <row r="4272" spans="1:9" hidden="1" x14ac:dyDescent="0.2">
      <c r="A4272" s="6">
        <v>43996.708333333336</v>
      </c>
      <c r="B4272" s="1" t="s">
        <v>23</v>
      </c>
      <c r="C4272">
        <v>9</v>
      </c>
      <c r="D4272">
        <v>1</v>
      </c>
      <c r="E4272">
        <v>77</v>
      </c>
      <c r="F4272">
        <v>1436</v>
      </c>
      <c r="G4272" s="3">
        <f t="shared" si="198"/>
        <v>0</v>
      </c>
      <c r="H4272" s="4">
        <f t="shared" si="199"/>
        <v>0</v>
      </c>
      <c r="I4272" s="1">
        <f t="shared" si="200"/>
        <v>1</v>
      </c>
    </row>
    <row r="4273" spans="1:9" hidden="1" x14ac:dyDescent="0.2">
      <c r="A4273" s="6">
        <v>43997.708333333336</v>
      </c>
      <c r="B4273" s="1" t="s">
        <v>23</v>
      </c>
      <c r="C4273">
        <v>9</v>
      </c>
      <c r="D4273">
        <v>1</v>
      </c>
      <c r="E4273">
        <v>77</v>
      </c>
      <c r="F4273">
        <v>1436</v>
      </c>
      <c r="G4273" s="3">
        <f t="shared" si="198"/>
        <v>0</v>
      </c>
      <c r="H4273" s="4">
        <f t="shared" si="199"/>
        <v>0</v>
      </c>
      <c r="I4273" s="1">
        <f t="shared" si="200"/>
        <v>0</v>
      </c>
    </row>
    <row r="4274" spans="1:9" hidden="1" x14ac:dyDescent="0.2">
      <c r="A4274" s="6">
        <v>43998.708333333336</v>
      </c>
      <c r="B4274" s="1" t="s">
        <v>23</v>
      </c>
      <c r="C4274">
        <v>8</v>
      </c>
      <c r="D4274">
        <v>1</v>
      </c>
      <c r="E4274">
        <v>77</v>
      </c>
      <c r="F4274">
        <v>1437</v>
      </c>
      <c r="G4274" s="3">
        <f t="shared" si="198"/>
        <v>1</v>
      </c>
      <c r="H4274" s="4">
        <f t="shared" si="199"/>
        <v>6.9589422407789758E-4</v>
      </c>
      <c r="I4274" s="1">
        <f t="shared" si="200"/>
        <v>0</v>
      </c>
    </row>
    <row r="4275" spans="1:9" hidden="1" x14ac:dyDescent="0.2">
      <c r="A4275" s="6">
        <v>43999.708333333336</v>
      </c>
      <c r="B4275" s="1" t="s">
        <v>23</v>
      </c>
      <c r="C4275">
        <v>7</v>
      </c>
      <c r="D4275">
        <v>2</v>
      </c>
      <c r="E4275">
        <v>77</v>
      </c>
      <c r="F4275">
        <v>1437</v>
      </c>
      <c r="G4275" s="3">
        <f t="shared" si="198"/>
        <v>0</v>
      </c>
      <c r="H4275" s="4">
        <f t="shared" si="199"/>
        <v>0</v>
      </c>
      <c r="I4275" s="1">
        <f t="shared" si="200"/>
        <v>0</v>
      </c>
    </row>
    <row r="4276" spans="1:9" hidden="1" x14ac:dyDescent="0.2">
      <c r="A4276" s="6">
        <v>44000.708333333336</v>
      </c>
      <c r="B4276" s="1" t="s">
        <v>23</v>
      </c>
      <c r="C4276">
        <v>5</v>
      </c>
      <c r="D4276">
        <v>2</v>
      </c>
      <c r="E4276">
        <v>77</v>
      </c>
      <c r="F4276">
        <v>1437</v>
      </c>
      <c r="G4276" s="3">
        <f t="shared" si="198"/>
        <v>0</v>
      </c>
      <c r="H4276" s="4">
        <f t="shared" si="199"/>
        <v>0</v>
      </c>
      <c r="I4276" s="1">
        <f t="shared" si="200"/>
        <v>0</v>
      </c>
    </row>
    <row r="4277" spans="1:9" hidden="1" x14ac:dyDescent="0.2">
      <c r="A4277" s="6">
        <v>44001.708333333336</v>
      </c>
      <c r="B4277" s="1" t="s">
        <v>23</v>
      </c>
      <c r="C4277">
        <v>5</v>
      </c>
      <c r="D4277">
        <v>2</v>
      </c>
      <c r="E4277">
        <v>77</v>
      </c>
      <c r="F4277">
        <v>1438</v>
      </c>
      <c r="G4277" s="3">
        <f t="shared" si="198"/>
        <v>1</v>
      </c>
      <c r="H4277" s="4">
        <f t="shared" si="199"/>
        <v>6.9541029207231819E-4</v>
      </c>
      <c r="I4277" s="1">
        <f t="shared" si="200"/>
        <v>0</v>
      </c>
    </row>
    <row r="4278" spans="1:9" hidden="1" x14ac:dyDescent="0.2">
      <c r="A4278" s="6">
        <v>44002.708333333336</v>
      </c>
      <c r="B4278" s="1" t="s">
        <v>23</v>
      </c>
      <c r="C4278">
        <v>5</v>
      </c>
      <c r="D4278">
        <v>2</v>
      </c>
      <c r="E4278">
        <v>78</v>
      </c>
      <c r="F4278">
        <v>1438</v>
      </c>
      <c r="G4278" s="3">
        <f t="shared" si="198"/>
        <v>0</v>
      </c>
      <c r="H4278" s="4">
        <f t="shared" si="199"/>
        <v>0</v>
      </c>
      <c r="I4278" s="1">
        <f t="shared" si="200"/>
        <v>1</v>
      </c>
    </row>
    <row r="4279" spans="1:9" hidden="1" x14ac:dyDescent="0.2">
      <c r="A4279" s="6">
        <v>44003.708333333336</v>
      </c>
      <c r="B4279" s="1" t="s">
        <v>23</v>
      </c>
      <c r="C4279">
        <v>4</v>
      </c>
      <c r="D4279">
        <v>1</v>
      </c>
      <c r="E4279">
        <v>78</v>
      </c>
      <c r="F4279">
        <v>1438</v>
      </c>
      <c r="G4279" s="3">
        <f t="shared" si="198"/>
        <v>0</v>
      </c>
      <c r="H4279" s="4">
        <f t="shared" si="199"/>
        <v>0</v>
      </c>
      <c r="I4279" s="1">
        <f t="shared" si="200"/>
        <v>0</v>
      </c>
    </row>
    <row r="4280" spans="1:9" hidden="1" x14ac:dyDescent="0.2">
      <c r="A4280" s="6">
        <v>44004.708333333336</v>
      </c>
      <c r="B4280" s="1" t="s">
        <v>23</v>
      </c>
      <c r="C4280">
        <v>4</v>
      </c>
      <c r="D4280">
        <v>1</v>
      </c>
      <c r="E4280">
        <v>78</v>
      </c>
      <c r="F4280">
        <v>1438</v>
      </c>
      <c r="G4280" s="3">
        <f t="shared" si="198"/>
        <v>0</v>
      </c>
      <c r="H4280" s="4">
        <f t="shared" si="199"/>
        <v>0</v>
      </c>
      <c r="I4280" s="1">
        <f t="shared" si="200"/>
        <v>0</v>
      </c>
    </row>
    <row r="4281" spans="1:9" hidden="1" x14ac:dyDescent="0.2">
      <c r="A4281" s="6">
        <v>44005.708333333336</v>
      </c>
      <c r="B4281" s="1" t="s">
        <v>23</v>
      </c>
      <c r="C4281">
        <v>4</v>
      </c>
      <c r="D4281">
        <v>1</v>
      </c>
      <c r="E4281">
        <v>78</v>
      </c>
      <c r="F4281">
        <v>1438</v>
      </c>
      <c r="G4281" s="3">
        <f t="shared" si="198"/>
        <v>0</v>
      </c>
      <c r="H4281" s="4">
        <f t="shared" si="199"/>
        <v>0</v>
      </c>
      <c r="I4281" s="1">
        <f t="shared" si="200"/>
        <v>0</v>
      </c>
    </row>
    <row r="4282" spans="1:9" hidden="1" x14ac:dyDescent="0.2">
      <c r="A4282" s="6">
        <v>44006.708333333336</v>
      </c>
      <c r="B4282" s="1" t="s">
        <v>23</v>
      </c>
      <c r="C4282">
        <v>3</v>
      </c>
      <c r="D4282">
        <v>1</v>
      </c>
      <c r="E4282">
        <v>79</v>
      </c>
      <c r="F4282">
        <v>1439</v>
      </c>
      <c r="G4282" s="3">
        <f t="shared" si="198"/>
        <v>1</v>
      </c>
      <c r="H4282" s="4">
        <f t="shared" si="199"/>
        <v>6.9492703266160749E-4</v>
      </c>
      <c r="I4282" s="1">
        <f t="shared" si="200"/>
        <v>1</v>
      </c>
    </row>
    <row r="4283" spans="1:9" hidden="1" x14ac:dyDescent="0.2">
      <c r="A4283" s="6">
        <v>44007.708333333336</v>
      </c>
      <c r="B4283" s="1" t="s">
        <v>23</v>
      </c>
      <c r="C4283">
        <v>3</v>
      </c>
      <c r="D4283">
        <v>1</v>
      </c>
      <c r="E4283">
        <v>79</v>
      </c>
      <c r="F4283">
        <v>1439</v>
      </c>
      <c r="G4283" s="3">
        <f t="shared" si="198"/>
        <v>0</v>
      </c>
      <c r="H4283" s="4">
        <f t="shared" si="199"/>
        <v>0</v>
      </c>
      <c r="I4283" s="1">
        <f t="shared" si="200"/>
        <v>0</v>
      </c>
    </row>
    <row r="4284" spans="1:9" hidden="1" x14ac:dyDescent="0.2">
      <c r="A4284" s="6">
        <v>44008.708333333336</v>
      </c>
      <c r="B4284" s="1" t="s">
        <v>23</v>
      </c>
      <c r="C4284">
        <v>2</v>
      </c>
      <c r="D4284">
        <v>1</v>
      </c>
      <c r="E4284">
        <v>79</v>
      </c>
      <c r="F4284">
        <v>1440</v>
      </c>
      <c r="G4284" s="3">
        <f t="shared" si="198"/>
        <v>1</v>
      </c>
      <c r="H4284" s="4">
        <f t="shared" si="199"/>
        <v>6.9444444444444198E-4</v>
      </c>
      <c r="I4284" s="1">
        <f t="shared" si="200"/>
        <v>0</v>
      </c>
    </row>
    <row r="4285" spans="1:9" hidden="1" x14ac:dyDescent="0.2">
      <c r="A4285" s="6">
        <v>44009.708333333336</v>
      </c>
      <c r="B4285" s="1" t="s">
        <v>23</v>
      </c>
      <c r="C4285">
        <v>2</v>
      </c>
      <c r="D4285">
        <v>1</v>
      </c>
      <c r="E4285">
        <v>80</v>
      </c>
      <c r="F4285">
        <v>1440</v>
      </c>
      <c r="G4285" s="3">
        <f t="shared" si="198"/>
        <v>0</v>
      </c>
      <c r="H4285" s="4">
        <f t="shared" si="199"/>
        <v>0</v>
      </c>
      <c r="I4285" s="1">
        <f t="shared" si="200"/>
        <v>1</v>
      </c>
    </row>
    <row r="4286" spans="1:9" hidden="1" x14ac:dyDescent="0.2">
      <c r="A4286" s="6">
        <v>44010.708333333336</v>
      </c>
      <c r="B4286" s="1" t="s">
        <v>23</v>
      </c>
      <c r="C4286">
        <v>2</v>
      </c>
      <c r="D4286">
        <v>1</v>
      </c>
      <c r="E4286">
        <v>80</v>
      </c>
      <c r="F4286">
        <v>1440</v>
      </c>
      <c r="G4286" s="3">
        <f t="shared" si="198"/>
        <v>0</v>
      </c>
      <c r="H4286" s="4">
        <f t="shared" si="199"/>
        <v>0</v>
      </c>
      <c r="I4286" s="1">
        <f t="shared" si="200"/>
        <v>0</v>
      </c>
    </row>
    <row r="4287" spans="1:9" hidden="1" x14ac:dyDescent="0.2">
      <c r="A4287" s="6">
        <v>44011.708333333336</v>
      </c>
      <c r="B4287" s="1" t="s">
        <v>23</v>
      </c>
      <c r="C4287">
        <v>2</v>
      </c>
      <c r="D4287">
        <v>1</v>
      </c>
      <c r="E4287">
        <v>80</v>
      </c>
      <c r="F4287">
        <v>1440</v>
      </c>
      <c r="G4287" s="3">
        <f t="shared" si="198"/>
        <v>0</v>
      </c>
      <c r="H4287" s="4">
        <f t="shared" si="199"/>
        <v>0</v>
      </c>
      <c r="I4287" s="1">
        <f t="shared" si="200"/>
        <v>0</v>
      </c>
    </row>
    <row r="4288" spans="1:9" hidden="1" x14ac:dyDescent="0.2">
      <c r="A4288" s="6">
        <v>44012.708333333336</v>
      </c>
      <c r="B4288" s="1" t="s">
        <v>23</v>
      </c>
      <c r="C4288">
        <v>3</v>
      </c>
      <c r="D4288">
        <v>1</v>
      </c>
      <c r="E4288">
        <v>80</v>
      </c>
      <c r="F4288">
        <v>1441</v>
      </c>
      <c r="G4288" s="3">
        <f t="shared" si="198"/>
        <v>1</v>
      </c>
      <c r="H4288" s="4">
        <f t="shared" si="199"/>
        <v>6.9396252602360597E-4</v>
      </c>
      <c r="I4288" s="1">
        <f t="shared" si="200"/>
        <v>0</v>
      </c>
    </row>
    <row r="4289" spans="1:9" hidden="1" x14ac:dyDescent="0.2">
      <c r="A4289" s="6">
        <v>44013.708333333336</v>
      </c>
      <c r="B4289" s="1" t="s">
        <v>23</v>
      </c>
      <c r="C4289">
        <v>3</v>
      </c>
      <c r="D4289">
        <v>1</v>
      </c>
      <c r="E4289">
        <v>80</v>
      </c>
      <c r="F4289">
        <v>1441</v>
      </c>
      <c r="G4289" s="3">
        <f t="shared" si="198"/>
        <v>0</v>
      </c>
      <c r="H4289" s="4">
        <f t="shared" si="199"/>
        <v>0</v>
      </c>
      <c r="I4289" s="1">
        <f t="shared" si="200"/>
        <v>0</v>
      </c>
    </row>
    <row r="4290" spans="1:9" hidden="1" x14ac:dyDescent="0.2">
      <c r="A4290" s="6">
        <v>44014.708333333336</v>
      </c>
      <c r="B4290" s="1" t="s">
        <v>23</v>
      </c>
      <c r="C4290">
        <v>3</v>
      </c>
      <c r="D4290">
        <v>1</v>
      </c>
      <c r="E4290">
        <v>80</v>
      </c>
      <c r="F4290">
        <v>1444</v>
      </c>
      <c r="G4290" s="3">
        <f t="shared" si="198"/>
        <v>3</v>
      </c>
      <c r="H4290" s="4">
        <f t="shared" si="199"/>
        <v>2.0775623268698418E-3</v>
      </c>
      <c r="I4290" s="1">
        <f t="shared" si="200"/>
        <v>0</v>
      </c>
    </row>
    <row r="4291" spans="1:9" hidden="1" x14ac:dyDescent="0.2">
      <c r="A4291" s="6">
        <v>44015.708333333336</v>
      </c>
      <c r="B4291" s="1" t="s">
        <v>23</v>
      </c>
      <c r="C4291">
        <v>4</v>
      </c>
      <c r="D4291">
        <v>0</v>
      </c>
      <c r="E4291">
        <v>80</v>
      </c>
      <c r="F4291">
        <v>1446</v>
      </c>
      <c r="G4291" s="3">
        <f t="shared" ref="G4291:G4354" si="201">IF(AND(F4291&gt;0,AND(B4291=B4290,F4291&gt;0)),F4291-F4290,0)</f>
        <v>2</v>
      </c>
      <c r="H4291" s="4">
        <f t="shared" ref="H4291:H4354" si="202">IF(AND(F4290&gt;0,AND(B4291=B4290,F4290&gt;0)),1-(F4290/F4291),0)</f>
        <v>1.3831258644536604E-3</v>
      </c>
      <c r="I4291" s="1">
        <f t="shared" ref="I4291:I4354" si="203">IF(AND(E4291&gt;0,AND(B4291=B4290,E4291&gt;0)),E4291-E4290,0)</f>
        <v>0</v>
      </c>
    </row>
    <row r="4292" spans="1:9" hidden="1" x14ac:dyDescent="0.2">
      <c r="A4292" s="6">
        <v>44016.708333333336</v>
      </c>
      <c r="B4292" s="1" t="s">
        <v>23</v>
      </c>
      <c r="C4292">
        <v>4</v>
      </c>
      <c r="D4292">
        <v>0</v>
      </c>
      <c r="E4292">
        <v>80</v>
      </c>
      <c r="F4292">
        <v>1447</v>
      </c>
      <c r="G4292" s="3">
        <f t="shared" si="201"/>
        <v>1</v>
      </c>
      <c r="H4292" s="4">
        <f t="shared" si="202"/>
        <v>6.9108500345538282E-4</v>
      </c>
      <c r="I4292" s="1">
        <f t="shared" si="203"/>
        <v>0</v>
      </c>
    </row>
    <row r="4293" spans="1:9" hidden="1" x14ac:dyDescent="0.2">
      <c r="A4293" s="6">
        <v>44017.708333333336</v>
      </c>
      <c r="B4293" s="1" t="s">
        <v>23</v>
      </c>
      <c r="C4293">
        <v>4</v>
      </c>
      <c r="D4293">
        <v>0</v>
      </c>
      <c r="E4293">
        <v>80</v>
      </c>
      <c r="F4293">
        <v>1447</v>
      </c>
      <c r="G4293" s="3">
        <f t="shared" si="201"/>
        <v>0</v>
      </c>
      <c r="H4293" s="4">
        <f t="shared" si="202"/>
        <v>0</v>
      </c>
      <c r="I4293" s="1">
        <f t="shared" si="203"/>
        <v>0</v>
      </c>
    </row>
    <row r="4294" spans="1:9" hidden="1" x14ac:dyDescent="0.2">
      <c r="A4294" s="6">
        <v>44018.708333333336</v>
      </c>
      <c r="B4294" s="1" t="s">
        <v>23</v>
      </c>
      <c r="C4294">
        <v>4</v>
      </c>
      <c r="D4294">
        <v>0</v>
      </c>
      <c r="E4294">
        <v>80</v>
      </c>
      <c r="F4294">
        <v>1447</v>
      </c>
      <c r="G4294" s="3">
        <f t="shared" si="201"/>
        <v>0</v>
      </c>
      <c r="H4294" s="4">
        <f t="shared" si="202"/>
        <v>0</v>
      </c>
      <c r="I4294" s="1">
        <f t="shared" si="203"/>
        <v>0</v>
      </c>
    </row>
    <row r="4295" spans="1:9" hidden="1" x14ac:dyDescent="0.2">
      <c r="A4295" s="6">
        <v>44019.708333333336</v>
      </c>
      <c r="B4295" s="1" t="s">
        <v>23</v>
      </c>
      <c r="C4295">
        <v>3</v>
      </c>
      <c r="D4295">
        <v>0</v>
      </c>
      <c r="E4295">
        <v>80</v>
      </c>
      <c r="F4295">
        <v>1447</v>
      </c>
      <c r="G4295" s="3">
        <f t="shared" si="201"/>
        <v>0</v>
      </c>
      <c r="H4295" s="4">
        <f t="shared" si="202"/>
        <v>0</v>
      </c>
      <c r="I4295" s="1">
        <f t="shared" si="203"/>
        <v>0</v>
      </c>
    </row>
    <row r="4296" spans="1:9" hidden="1" x14ac:dyDescent="0.2">
      <c r="A4296" s="6">
        <v>44020.708333333336</v>
      </c>
      <c r="B4296" s="1" t="s">
        <v>23</v>
      </c>
      <c r="C4296">
        <v>3</v>
      </c>
      <c r="D4296">
        <v>0</v>
      </c>
      <c r="E4296">
        <v>80</v>
      </c>
      <c r="F4296">
        <v>1447</v>
      </c>
      <c r="G4296" s="3">
        <f t="shared" si="201"/>
        <v>0</v>
      </c>
      <c r="H4296" s="4">
        <f t="shared" si="202"/>
        <v>0</v>
      </c>
      <c r="I4296" s="1">
        <f t="shared" si="203"/>
        <v>0</v>
      </c>
    </row>
    <row r="4297" spans="1:9" hidden="1" x14ac:dyDescent="0.2">
      <c r="A4297" s="6">
        <v>44021.708333333336</v>
      </c>
      <c r="B4297" s="1" t="s">
        <v>23</v>
      </c>
      <c r="C4297">
        <v>3</v>
      </c>
      <c r="D4297">
        <v>0</v>
      </c>
      <c r="E4297">
        <v>80</v>
      </c>
      <c r="F4297">
        <v>1447</v>
      </c>
      <c r="G4297" s="3">
        <f t="shared" si="201"/>
        <v>0</v>
      </c>
      <c r="H4297" s="4">
        <f t="shared" si="202"/>
        <v>0</v>
      </c>
      <c r="I4297" s="1">
        <f t="shared" si="203"/>
        <v>0</v>
      </c>
    </row>
    <row r="4298" spans="1:9" hidden="1" x14ac:dyDescent="0.2">
      <c r="A4298" s="6">
        <v>44022.708333333336</v>
      </c>
      <c r="B4298" s="1" t="s">
        <v>23</v>
      </c>
      <c r="C4298">
        <v>4</v>
      </c>
      <c r="D4298">
        <v>0</v>
      </c>
      <c r="E4298">
        <v>80</v>
      </c>
      <c r="F4298">
        <v>1448</v>
      </c>
      <c r="G4298" s="3">
        <f t="shared" si="201"/>
        <v>1</v>
      </c>
      <c r="H4298" s="4">
        <f t="shared" si="202"/>
        <v>6.906077348066697E-4</v>
      </c>
      <c r="I4298" s="1">
        <f t="shared" si="203"/>
        <v>0</v>
      </c>
    </row>
    <row r="4299" spans="1:9" hidden="1" x14ac:dyDescent="0.2">
      <c r="A4299" s="6">
        <v>44023.708333333336</v>
      </c>
      <c r="B4299" s="1" t="s">
        <v>23</v>
      </c>
      <c r="C4299">
        <v>4</v>
      </c>
      <c r="D4299">
        <v>0</v>
      </c>
      <c r="E4299">
        <v>80</v>
      </c>
      <c r="F4299">
        <v>1448</v>
      </c>
      <c r="G4299" s="3">
        <f t="shared" si="201"/>
        <v>0</v>
      </c>
      <c r="H4299" s="4">
        <f t="shared" si="202"/>
        <v>0</v>
      </c>
      <c r="I4299" s="1">
        <f t="shared" si="203"/>
        <v>0</v>
      </c>
    </row>
    <row r="4300" spans="1:9" hidden="1" x14ac:dyDescent="0.2">
      <c r="A4300" s="6">
        <v>44024.708333333336</v>
      </c>
      <c r="B4300" s="1" t="s">
        <v>23</v>
      </c>
      <c r="C4300">
        <v>4</v>
      </c>
      <c r="D4300">
        <v>0</v>
      </c>
      <c r="E4300">
        <v>80</v>
      </c>
      <c r="F4300">
        <v>1450</v>
      </c>
      <c r="G4300" s="3">
        <f t="shared" si="201"/>
        <v>2</v>
      </c>
      <c r="H4300" s="4">
        <f t="shared" si="202"/>
        <v>1.3793103448276334E-3</v>
      </c>
      <c r="I4300" s="1">
        <f t="shared" si="203"/>
        <v>0</v>
      </c>
    </row>
    <row r="4301" spans="1:9" hidden="1" x14ac:dyDescent="0.2">
      <c r="A4301" s="6">
        <v>44025.708333333336</v>
      </c>
      <c r="B4301" s="1" t="s">
        <v>23</v>
      </c>
      <c r="C4301">
        <v>4</v>
      </c>
      <c r="D4301">
        <v>0</v>
      </c>
      <c r="E4301">
        <v>80</v>
      </c>
      <c r="F4301">
        <v>1450</v>
      </c>
      <c r="G4301" s="3">
        <f t="shared" si="201"/>
        <v>0</v>
      </c>
      <c r="H4301" s="4">
        <f t="shared" si="202"/>
        <v>0</v>
      </c>
      <c r="I4301" s="1">
        <f t="shared" si="203"/>
        <v>0</v>
      </c>
    </row>
    <row r="4302" spans="1:9" hidden="1" x14ac:dyDescent="0.2">
      <c r="A4302" s="6">
        <v>44026.708333333336</v>
      </c>
      <c r="B4302" s="1" t="s">
        <v>23</v>
      </c>
      <c r="C4302">
        <v>4</v>
      </c>
      <c r="D4302">
        <v>0</v>
      </c>
      <c r="E4302">
        <v>80</v>
      </c>
      <c r="F4302">
        <v>1450</v>
      </c>
      <c r="G4302" s="3">
        <f t="shared" si="201"/>
        <v>0</v>
      </c>
      <c r="H4302" s="4">
        <f t="shared" si="202"/>
        <v>0</v>
      </c>
      <c r="I4302" s="1">
        <f t="shared" si="203"/>
        <v>0</v>
      </c>
    </row>
    <row r="4303" spans="1:9" hidden="1" x14ac:dyDescent="0.2">
      <c r="A4303" s="6">
        <v>44027.708333333336</v>
      </c>
      <c r="B4303" s="1" t="s">
        <v>23</v>
      </c>
      <c r="C4303">
        <v>5</v>
      </c>
      <c r="D4303">
        <v>0</v>
      </c>
      <c r="E4303">
        <v>80</v>
      </c>
      <c r="F4303">
        <v>1452</v>
      </c>
      <c r="G4303" s="3">
        <f t="shared" si="201"/>
        <v>2</v>
      </c>
      <c r="H4303" s="4">
        <f t="shared" si="202"/>
        <v>1.3774104683195176E-3</v>
      </c>
      <c r="I4303" s="1">
        <f t="shared" si="203"/>
        <v>0</v>
      </c>
    </row>
    <row r="4304" spans="1:9" hidden="1" x14ac:dyDescent="0.2">
      <c r="A4304" s="6">
        <v>44028.708333333336</v>
      </c>
      <c r="B4304" s="1" t="s">
        <v>23</v>
      </c>
      <c r="C4304">
        <v>5</v>
      </c>
      <c r="D4304">
        <v>0</v>
      </c>
      <c r="E4304">
        <v>80</v>
      </c>
      <c r="F4304">
        <v>1452</v>
      </c>
      <c r="G4304" s="3">
        <f t="shared" si="201"/>
        <v>0</v>
      </c>
      <c r="H4304" s="4">
        <f t="shared" si="202"/>
        <v>0</v>
      </c>
      <c r="I4304" s="1">
        <f t="shared" si="203"/>
        <v>0</v>
      </c>
    </row>
    <row r="4305" spans="1:9" hidden="1" x14ac:dyDescent="0.2">
      <c r="A4305" s="6">
        <v>44029.708333333336</v>
      </c>
      <c r="B4305" s="1" t="s">
        <v>23</v>
      </c>
      <c r="C4305">
        <v>6</v>
      </c>
      <c r="D4305">
        <v>0</v>
      </c>
      <c r="E4305">
        <v>80</v>
      </c>
      <c r="F4305">
        <v>1454</v>
      </c>
      <c r="G4305" s="3">
        <f t="shared" si="201"/>
        <v>2</v>
      </c>
      <c r="H4305" s="4">
        <f t="shared" si="202"/>
        <v>1.3755158184318717E-3</v>
      </c>
      <c r="I4305" s="1">
        <f t="shared" si="203"/>
        <v>0</v>
      </c>
    </row>
    <row r="4306" spans="1:9" hidden="1" x14ac:dyDescent="0.2">
      <c r="A4306" s="6">
        <v>44030.708333333336</v>
      </c>
      <c r="B4306" s="1" t="s">
        <v>23</v>
      </c>
      <c r="C4306">
        <v>6</v>
      </c>
      <c r="D4306">
        <v>0</v>
      </c>
      <c r="E4306">
        <v>80</v>
      </c>
      <c r="F4306">
        <v>1456</v>
      </c>
      <c r="G4306" s="3">
        <f t="shared" si="201"/>
        <v>2</v>
      </c>
      <c r="H4306" s="4">
        <f t="shared" si="202"/>
        <v>1.3736263736263687E-3</v>
      </c>
      <c r="I4306" s="1">
        <f t="shared" si="203"/>
        <v>0</v>
      </c>
    </row>
    <row r="4307" spans="1:9" hidden="1" x14ac:dyDescent="0.2">
      <c r="A4307" s="6">
        <v>44031.708333333336</v>
      </c>
      <c r="B4307" s="1" t="s">
        <v>23</v>
      </c>
      <c r="C4307">
        <v>6</v>
      </c>
      <c r="D4307">
        <v>0</v>
      </c>
      <c r="E4307">
        <v>80</v>
      </c>
      <c r="F4307">
        <v>1456</v>
      </c>
      <c r="G4307" s="3">
        <f t="shared" si="201"/>
        <v>0</v>
      </c>
      <c r="H4307" s="4">
        <f t="shared" si="202"/>
        <v>0</v>
      </c>
      <c r="I4307" s="1">
        <f t="shared" si="203"/>
        <v>0</v>
      </c>
    </row>
    <row r="4308" spans="1:9" hidden="1" x14ac:dyDescent="0.2">
      <c r="A4308" s="6">
        <v>44032.708333333336</v>
      </c>
      <c r="B4308" s="1" t="s">
        <v>23</v>
      </c>
      <c r="C4308">
        <v>6</v>
      </c>
      <c r="D4308">
        <v>0</v>
      </c>
      <c r="E4308">
        <v>80</v>
      </c>
      <c r="F4308">
        <v>1456</v>
      </c>
      <c r="G4308" s="3">
        <f t="shared" si="201"/>
        <v>0</v>
      </c>
      <c r="H4308" s="4">
        <f t="shared" si="202"/>
        <v>0</v>
      </c>
      <c r="I4308" s="1">
        <f t="shared" si="203"/>
        <v>0</v>
      </c>
    </row>
    <row r="4309" spans="1:9" hidden="1" x14ac:dyDescent="0.2">
      <c r="A4309" s="6">
        <v>44033.708333333336</v>
      </c>
      <c r="B4309" s="1" t="s">
        <v>23</v>
      </c>
      <c r="C4309">
        <v>6</v>
      </c>
      <c r="D4309">
        <v>0</v>
      </c>
      <c r="E4309">
        <v>80</v>
      </c>
      <c r="F4309">
        <v>1459</v>
      </c>
      <c r="G4309" s="3">
        <f t="shared" si="201"/>
        <v>3</v>
      </c>
      <c r="H4309" s="4">
        <f t="shared" si="202"/>
        <v>2.0562028786840214E-3</v>
      </c>
      <c r="I4309" s="1">
        <f t="shared" si="203"/>
        <v>0</v>
      </c>
    </row>
    <row r="4310" spans="1:9" hidden="1" x14ac:dyDescent="0.2">
      <c r="A4310" s="6">
        <v>44034.708333333336</v>
      </c>
      <c r="B4310" s="1" t="s">
        <v>23</v>
      </c>
      <c r="C4310">
        <v>6</v>
      </c>
      <c r="D4310">
        <v>0</v>
      </c>
      <c r="E4310">
        <v>80</v>
      </c>
      <c r="F4310">
        <v>1461</v>
      </c>
      <c r="G4310" s="3">
        <f t="shared" si="201"/>
        <v>2</v>
      </c>
      <c r="H4310" s="4">
        <f t="shared" si="202"/>
        <v>1.3689253935660339E-3</v>
      </c>
      <c r="I4310" s="1">
        <f t="shared" si="203"/>
        <v>0</v>
      </c>
    </row>
    <row r="4311" spans="1:9" hidden="1" x14ac:dyDescent="0.2">
      <c r="A4311" s="6">
        <v>44035.708333333336</v>
      </c>
      <c r="B4311" s="1" t="s">
        <v>23</v>
      </c>
      <c r="C4311">
        <v>6</v>
      </c>
      <c r="D4311">
        <v>0</v>
      </c>
      <c r="E4311">
        <v>80</v>
      </c>
      <c r="F4311">
        <v>1463</v>
      </c>
      <c r="G4311" s="3">
        <f t="shared" si="201"/>
        <v>2</v>
      </c>
      <c r="H4311" s="4">
        <f t="shared" si="202"/>
        <v>1.3670539986329056E-3</v>
      </c>
      <c r="I4311" s="1">
        <f t="shared" si="203"/>
        <v>0</v>
      </c>
    </row>
    <row r="4312" spans="1:9" hidden="1" x14ac:dyDescent="0.2">
      <c r="A4312" s="6">
        <v>44036.708333333336</v>
      </c>
      <c r="B4312" s="1" t="s">
        <v>23</v>
      </c>
      <c r="C4312">
        <v>7</v>
      </c>
      <c r="D4312">
        <v>0</v>
      </c>
      <c r="E4312">
        <v>80</v>
      </c>
      <c r="F4312">
        <v>1465</v>
      </c>
      <c r="G4312" s="3">
        <f t="shared" si="201"/>
        <v>2</v>
      </c>
      <c r="H4312" s="4">
        <f t="shared" si="202"/>
        <v>1.3651877133106227E-3</v>
      </c>
      <c r="I4312" s="1">
        <f t="shared" si="203"/>
        <v>0</v>
      </c>
    </row>
    <row r="4313" spans="1:9" hidden="1" x14ac:dyDescent="0.2">
      <c r="A4313" s="6">
        <v>44037.708333333336</v>
      </c>
      <c r="B4313" s="1" t="s">
        <v>23</v>
      </c>
      <c r="C4313">
        <v>7</v>
      </c>
      <c r="D4313">
        <v>0</v>
      </c>
      <c r="E4313">
        <v>80</v>
      </c>
      <c r="F4313">
        <v>1465</v>
      </c>
      <c r="G4313" s="3">
        <f t="shared" si="201"/>
        <v>0</v>
      </c>
      <c r="H4313" s="4">
        <f t="shared" si="202"/>
        <v>0</v>
      </c>
      <c r="I4313" s="1">
        <f t="shared" si="203"/>
        <v>0</v>
      </c>
    </row>
    <row r="4314" spans="1:9" hidden="1" x14ac:dyDescent="0.2">
      <c r="A4314" s="6">
        <v>44038.708333333336</v>
      </c>
      <c r="B4314" s="1" t="s">
        <v>23</v>
      </c>
      <c r="C4314">
        <v>7</v>
      </c>
      <c r="D4314">
        <v>0</v>
      </c>
      <c r="E4314">
        <v>80</v>
      </c>
      <c r="F4314">
        <v>1465</v>
      </c>
      <c r="G4314" s="3">
        <f t="shared" si="201"/>
        <v>0</v>
      </c>
      <c r="H4314" s="4">
        <f t="shared" si="202"/>
        <v>0</v>
      </c>
      <c r="I4314" s="1">
        <f t="shared" si="203"/>
        <v>0</v>
      </c>
    </row>
    <row r="4315" spans="1:9" hidden="1" x14ac:dyDescent="0.2">
      <c r="A4315" s="6">
        <v>44039.708333333336</v>
      </c>
      <c r="B4315" s="1" t="s">
        <v>23</v>
      </c>
      <c r="C4315">
        <v>7</v>
      </c>
      <c r="D4315">
        <v>1</v>
      </c>
      <c r="E4315">
        <v>80</v>
      </c>
      <c r="F4315">
        <v>1465</v>
      </c>
      <c r="G4315" s="3">
        <f t="shared" si="201"/>
        <v>0</v>
      </c>
      <c r="H4315" s="4">
        <f t="shared" si="202"/>
        <v>0</v>
      </c>
      <c r="I4315" s="1">
        <f t="shared" si="203"/>
        <v>0</v>
      </c>
    </row>
    <row r="4316" spans="1:9" hidden="1" x14ac:dyDescent="0.2">
      <c r="A4316" s="6">
        <v>44040.708333333336</v>
      </c>
      <c r="B4316" s="1" t="s">
        <v>23</v>
      </c>
      <c r="C4316">
        <v>7</v>
      </c>
      <c r="D4316">
        <v>1</v>
      </c>
      <c r="E4316">
        <v>80</v>
      </c>
      <c r="F4316">
        <v>1465</v>
      </c>
      <c r="G4316" s="3">
        <f t="shared" si="201"/>
        <v>0</v>
      </c>
      <c r="H4316" s="4">
        <f t="shared" si="202"/>
        <v>0</v>
      </c>
      <c r="I4316" s="1">
        <f t="shared" si="203"/>
        <v>0</v>
      </c>
    </row>
    <row r="4317" spans="1:9" hidden="1" x14ac:dyDescent="0.2">
      <c r="A4317" s="6">
        <v>44041.708333333336</v>
      </c>
      <c r="B4317" s="1" t="s">
        <v>23</v>
      </c>
      <c r="C4317">
        <v>7</v>
      </c>
      <c r="D4317">
        <v>1</v>
      </c>
      <c r="E4317">
        <v>80</v>
      </c>
      <c r="F4317">
        <v>1465</v>
      </c>
      <c r="G4317" s="3">
        <f t="shared" si="201"/>
        <v>0</v>
      </c>
      <c r="H4317" s="4">
        <f t="shared" si="202"/>
        <v>0</v>
      </c>
      <c r="I4317" s="1">
        <f t="shared" si="203"/>
        <v>0</v>
      </c>
    </row>
    <row r="4318" spans="1:9" hidden="1" x14ac:dyDescent="0.2">
      <c r="A4318" s="6">
        <v>44042.708333333336</v>
      </c>
      <c r="B4318" s="1" t="s">
        <v>23</v>
      </c>
      <c r="C4318">
        <v>7</v>
      </c>
      <c r="D4318">
        <v>0</v>
      </c>
      <c r="E4318">
        <v>80</v>
      </c>
      <c r="F4318">
        <v>1465</v>
      </c>
      <c r="G4318" s="3">
        <f t="shared" si="201"/>
        <v>0</v>
      </c>
      <c r="H4318" s="4">
        <f t="shared" si="202"/>
        <v>0</v>
      </c>
      <c r="I4318" s="1">
        <f t="shared" si="203"/>
        <v>0</v>
      </c>
    </row>
    <row r="4319" spans="1:9" hidden="1" x14ac:dyDescent="0.2">
      <c r="A4319" s="6">
        <v>44043.708333333336</v>
      </c>
      <c r="B4319" s="1" t="s">
        <v>23</v>
      </c>
      <c r="C4319">
        <v>6</v>
      </c>
      <c r="D4319">
        <v>0</v>
      </c>
      <c r="E4319">
        <v>80</v>
      </c>
      <c r="F4319">
        <v>1466</v>
      </c>
      <c r="G4319" s="3">
        <f t="shared" si="201"/>
        <v>1</v>
      </c>
      <c r="H4319" s="4">
        <f t="shared" si="202"/>
        <v>6.8212824010915885E-4</v>
      </c>
      <c r="I4319" s="1">
        <f t="shared" si="203"/>
        <v>0</v>
      </c>
    </row>
    <row r="4320" spans="1:9" hidden="1" x14ac:dyDescent="0.2">
      <c r="A4320" s="6">
        <v>44044.708333333336</v>
      </c>
      <c r="B4320" s="1" t="s">
        <v>23</v>
      </c>
      <c r="C4320">
        <v>7</v>
      </c>
      <c r="D4320">
        <v>0</v>
      </c>
      <c r="E4320">
        <v>80</v>
      </c>
      <c r="F4320">
        <v>1472</v>
      </c>
      <c r="G4320" s="3">
        <f t="shared" si="201"/>
        <v>6</v>
      </c>
      <c r="H4320" s="4">
        <f t="shared" si="202"/>
        <v>4.0760869565217295E-3</v>
      </c>
      <c r="I4320" s="1">
        <f t="shared" si="203"/>
        <v>0</v>
      </c>
    </row>
    <row r="4321" spans="1:9" hidden="1" x14ac:dyDescent="0.2">
      <c r="A4321" s="6">
        <v>44045.708333333336</v>
      </c>
      <c r="B4321" s="1" t="s">
        <v>23</v>
      </c>
      <c r="C4321">
        <v>7</v>
      </c>
      <c r="D4321">
        <v>0</v>
      </c>
      <c r="E4321">
        <v>80</v>
      </c>
      <c r="F4321">
        <v>1474</v>
      </c>
      <c r="G4321" s="3">
        <f t="shared" si="201"/>
        <v>2</v>
      </c>
      <c r="H4321" s="4">
        <f t="shared" si="202"/>
        <v>1.3568521031207537E-3</v>
      </c>
      <c r="I4321" s="1">
        <f t="shared" si="203"/>
        <v>0</v>
      </c>
    </row>
    <row r="4322" spans="1:9" hidden="1" x14ac:dyDescent="0.2">
      <c r="A4322" s="6">
        <v>44046.708333333336</v>
      </c>
      <c r="B4322" s="1" t="s">
        <v>23</v>
      </c>
      <c r="C4322">
        <v>7</v>
      </c>
      <c r="D4322">
        <v>0</v>
      </c>
      <c r="E4322">
        <v>80</v>
      </c>
      <c r="F4322">
        <v>1475</v>
      </c>
      <c r="G4322" s="3">
        <f t="shared" si="201"/>
        <v>1</v>
      </c>
      <c r="H4322" s="4">
        <f t="shared" si="202"/>
        <v>6.7796610169490457E-4</v>
      </c>
      <c r="I4322" s="1">
        <f t="shared" si="203"/>
        <v>0</v>
      </c>
    </row>
    <row r="4323" spans="1:9" hidden="1" x14ac:dyDescent="0.2">
      <c r="A4323" s="6">
        <v>44047.708333333336</v>
      </c>
      <c r="B4323" s="1" t="s">
        <v>23</v>
      </c>
      <c r="C4323">
        <v>7</v>
      </c>
      <c r="D4323">
        <v>0</v>
      </c>
      <c r="E4323">
        <v>80</v>
      </c>
      <c r="F4323">
        <v>1477</v>
      </c>
      <c r="G4323" s="3">
        <f t="shared" si="201"/>
        <v>2</v>
      </c>
      <c r="H4323" s="4">
        <f t="shared" si="202"/>
        <v>1.3540961408260443E-3</v>
      </c>
      <c r="I4323" s="1">
        <f t="shared" si="203"/>
        <v>0</v>
      </c>
    </row>
    <row r="4324" spans="1:9" hidden="1" x14ac:dyDescent="0.2">
      <c r="A4324" s="6">
        <v>44048.708333333336</v>
      </c>
      <c r="B4324" s="1" t="s">
        <v>23</v>
      </c>
      <c r="C4324">
        <v>6</v>
      </c>
      <c r="D4324">
        <v>0</v>
      </c>
      <c r="E4324">
        <v>80</v>
      </c>
      <c r="F4324">
        <v>1479</v>
      </c>
      <c r="G4324" s="3">
        <f t="shared" si="201"/>
        <v>2</v>
      </c>
      <c r="H4324" s="4">
        <f t="shared" si="202"/>
        <v>1.3522650439485862E-3</v>
      </c>
      <c r="I4324" s="1">
        <f t="shared" si="203"/>
        <v>0</v>
      </c>
    </row>
    <row r="4325" spans="1:9" hidden="1" x14ac:dyDescent="0.2">
      <c r="A4325" s="6">
        <v>44049.708333333336</v>
      </c>
      <c r="B4325" s="1" t="s">
        <v>23</v>
      </c>
      <c r="C4325">
        <v>8</v>
      </c>
      <c r="D4325">
        <v>0</v>
      </c>
      <c r="E4325">
        <v>80</v>
      </c>
      <c r="F4325">
        <v>1482</v>
      </c>
      <c r="G4325" s="3">
        <f t="shared" si="201"/>
        <v>3</v>
      </c>
      <c r="H4325" s="4">
        <f t="shared" si="202"/>
        <v>2.0242914979756721E-3</v>
      </c>
      <c r="I4325" s="1">
        <f t="shared" si="203"/>
        <v>0</v>
      </c>
    </row>
    <row r="4326" spans="1:9" hidden="1" x14ac:dyDescent="0.2">
      <c r="A4326" s="6">
        <v>44050.708333333336</v>
      </c>
      <c r="B4326" s="1" t="s">
        <v>23</v>
      </c>
      <c r="C4326">
        <v>8</v>
      </c>
      <c r="D4326">
        <v>0</v>
      </c>
      <c r="E4326">
        <v>80</v>
      </c>
      <c r="F4326">
        <v>1488</v>
      </c>
      <c r="G4326" s="3">
        <f t="shared" si="201"/>
        <v>6</v>
      </c>
      <c r="H4326" s="4">
        <f t="shared" si="202"/>
        <v>4.0322580645161255E-3</v>
      </c>
      <c r="I4326" s="1">
        <f t="shared" si="203"/>
        <v>0</v>
      </c>
    </row>
    <row r="4327" spans="1:9" hidden="1" x14ac:dyDescent="0.2">
      <c r="A4327" s="6">
        <v>44051.708333333336</v>
      </c>
      <c r="B4327" s="1" t="s">
        <v>23</v>
      </c>
      <c r="C4327">
        <v>8</v>
      </c>
      <c r="D4327">
        <v>0</v>
      </c>
      <c r="E4327">
        <v>80</v>
      </c>
      <c r="F4327">
        <v>1498</v>
      </c>
      <c r="G4327" s="3">
        <f t="shared" si="201"/>
        <v>10</v>
      </c>
      <c r="H4327" s="4">
        <f t="shared" si="202"/>
        <v>6.6755674232309437E-3</v>
      </c>
      <c r="I4327" s="1">
        <f t="shared" si="203"/>
        <v>0</v>
      </c>
    </row>
    <row r="4328" spans="1:9" hidden="1" x14ac:dyDescent="0.2">
      <c r="A4328" s="6">
        <v>44052.708333333336</v>
      </c>
      <c r="B4328" s="1" t="s">
        <v>23</v>
      </c>
      <c r="C4328">
        <v>8</v>
      </c>
      <c r="D4328">
        <v>0</v>
      </c>
      <c r="E4328">
        <v>80</v>
      </c>
      <c r="F4328">
        <v>1505</v>
      </c>
      <c r="G4328" s="3">
        <f t="shared" si="201"/>
        <v>7</v>
      </c>
      <c r="H4328" s="4">
        <f t="shared" si="202"/>
        <v>4.6511627906976605E-3</v>
      </c>
      <c r="I4328" s="1">
        <f t="shared" si="203"/>
        <v>0</v>
      </c>
    </row>
    <row r="4329" spans="1:9" hidden="1" x14ac:dyDescent="0.2">
      <c r="A4329" s="6">
        <v>44053.708333333336</v>
      </c>
      <c r="B4329" s="1" t="s">
        <v>23</v>
      </c>
      <c r="C4329">
        <v>8</v>
      </c>
      <c r="D4329">
        <v>0</v>
      </c>
      <c r="E4329">
        <v>80</v>
      </c>
      <c r="F4329">
        <v>1510</v>
      </c>
      <c r="G4329" s="3">
        <f t="shared" si="201"/>
        <v>5</v>
      </c>
      <c r="H4329" s="4">
        <f t="shared" si="202"/>
        <v>3.3112582781457123E-3</v>
      </c>
      <c r="I4329" s="1">
        <f t="shared" si="203"/>
        <v>0</v>
      </c>
    </row>
    <row r="4330" spans="1:9" hidden="1" x14ac:dyDescent="0.2">
      <c r="A4330" s="6">
        <v>44054.708333333336</v>
      </c>
      <c r="B4330" s="1" t="s">
        <v>23</v>
      </c>
      <c r="C4330">
        <v>9</v>
      </c>
      <c r="D4330">
        <v>0</v>
      </c>
      <c r="E4330">
        <v>80</v>
      </c>
      <c r="F4330">
        <v>1511</v>
      </c>
      <c r="G4330" s="3">
        <f t="shared" si="201"/>
        <v>1</v>
      </c>
      <c r="H4330" s="4">
        <f t="shared" si="202"/>
        <v>6.6181336863002649E-4</v>
      </c>
      <c r="I4330" s="1">
        <f t="shared" si="203"/>
        <v>0</v>
      </c>
    </row>
    <row r="4331" spans="1:9" hidden="1" x14ac:dyDescent="0.2">
      <c r="A4331" s="6">
        <v>44055.708333333336</v>
      </c>
      <c r="B4331" s="1" t="s">
        <v>23</v>
      </c>
      <c r="C4331">
        <v>9</v>
      </c>
      <c r="D4331">
        <v>0</v>
      </c>
      <c r="E4331">
        <v>80</v>
      </c>
      <c r="F4331">
        <v>1517</v>
      </c>
      <c r="G4331" s="3">
        <f t="shared" si="201"/>
        <v>6</v>
      </c>
      <c r="H4331" s="4">
        <f t="shared" si="202"/>
        <v>3.9551746868820015E-3</v>
      </c>
      <c r="I4331" s="1">
        <f t="shared" si="203"/>
        <v>0</v>
      </c>
    </row>
    <row r="4332" spans="1:9" hidden="1" x14ac:dyDescent="0.2">
      <c r="A4332" s="6">
        <v>44056.708333333336</v>
      </c>
      <c r="B4332" s="1" t="s">
        <v>23</v>
      </c>
      <c r="C4332">
        <v>10</v>
      </c>
      <c r="D4332">
        <v>0</v>
      </c>
      <c r="E4332">
        <v>80</v>
      </c>
      <c r="F4332">
        <v>1524</v>
      </c>
      <c r="G4332" s="3">
        <f t="shared" si="201"/>
        <v>7</v>
      </c>
      <c r="H4332" s="4">
        <f t="shared" si="202"/>
        <v>4.5931758530183275E-3</v>
      </c>
      <c r="I4332" s="1">
        <f t="shared" si="203"/>
        <v>0</v>
      </c>
    </row>
    <row r="4333" spans="1:9" hidden="1" x14ac:dyDescent="0.2">
      <c r="A4333" s="6">
        <v>44057.708333333336</v>
      </c>
      <c r="B4333" s="1" t="s">
        <v>23</v>
      </c>
      <c r="C4333">
        <v>10</v>
      </c>
      <c r="D4333">
        <v>0</v>
      </c>
      <c r="E4333">
        <v>80</v>
      </c>
      <c r="F4333">
        <v>1532</v>
      </c>
      <c r="G4333" s="3">
        <f t="shared" si="201"/>
        <v>8</v>
      </c>
      <c r="H4333" s="4">
        <f t="shared" si="202"/>
        <v>5.2219321148825326E-3</v>
      </c>
      <c r="I4333" s="1">
        <f t="shared" si="203"/>
        <v>0</v>
      </c>
    </row>
    <row r="4334" spans="1:9" hidden="1" x14ac:dyDescent="0.2">
      <c r="A4334" s="6">
        <v>44058.708333333336</v>
      </c>
      <c r="B4334" s="1" t="s">
        <v>23</v>
      </c>
      <c r="C4334">
        <v>9</v>
      </c>
      <c r="D4334">
        <v>1</v>
      </c>
      <c r="E4334">
        <v>80</v>
      </c>
      <c r="F4334">
        <v>1545</v>
      </c>
      <c r="G4334" s="3">
        <f t="shared" si="201"/>
        <v>13</v>
      </c>
      <c r="H4334" s="4">
        <f t="shared" si="202"/>
        <v>8.4142394822006583E-3</v>
      </c>
      <c r="I4334" s="1">
        <f t="shared" si="203"/>
        <v>0</v>
      </c>
    </row>
    <row r="4335" spans="1:9" hidden="1" x14ac:dyDescent="0.2">
      <c r="A4335" s="6">
        <v>44059.708333333336</v>
      </c>
      <c r="B4335" s="1" t="s">
        <v>23</v>
      </c>
      <c r="C4335">
        <v>10</v>
      </c>
      <c r="D4335">
        <v>1</v>
      </c>
      <c r="E4335">
        <v>80</v>
      </c>
      <c r="F4335">
        <v>1548</v>
      </c>
      <c r="G4335" s="3">
        <f t="shared" si="201"/>
        <v>3</v>
      </c>
      <c r="H4335" s="4">
        <f t="shared" si="202"/>
        <v>1.9379844961240345E-3</v>
      </c>
      <c r="I4335" s="1">
        <f t="shared" si="203"/>
        <v>0</v>
      </c>
    </row>
    <row r="4336" spans="1:9" hidden="1" x14ac:dyDescent="0.2">
      <c r="A4336" s="6">
        <v>44060.708333333336</v>
      </c>
      <c r="B4336" s="1" t="s">
        <v>23</v>
      </c>
      <c r="C4336">
        <v>10</v>
      </c>
      <c r="D4336">
        <v>1</v>
      </c>
      <c r="E4336">
        <v>80</v>
      </c>
      <c r="F4336">
        <v>1549</v>
      </c>
      <c r="G4336" s="3">
        <f t="shared" si="201"/>
        <v>1</v>
      </c>
      <c r="H4336" s="4">
        <f t="shared" si="202"/>
        <v>6.4557779212393029E-4</v>
      </c>
      <c r="I4336" s="1">
        <f t="shared" si="203"/>
        <v>0</v>
      </c>
    </row>
    <row r="4337" spans="1:9" hidden="1" x14ac:dyDescent="0.2">
      <c r="A4337" s="6">
        <v>44061.708333333336</v>
      </c>
      <c r="B4337" s="1" t="s">
        <v>23</v>
      </c>
      <c r="C4337">
        <v>9</v>
      </c>
      <c r="D4337">
        <v>1</v>
      </c>
      <c r="E4337">
        <v>80</v>
      </c>
      <c r="F4337">
        <v>1559</v>
      </c>
      <c r="G4337" s="3">
        <f t="shared" si="201"/>
        <v>10</v>
      </c>
      <c r="H4337" s="4">
        <f t="shared" si="202"/>
        <v>6.414368184733843E-3</v>
      </c>
      <c r="I4337" s="1">
        <f t="shared" si="203"/>
        <v>0</v>
      </c>
    </row>
    <row r="4338" spans="1:9" hidden="1" x14ac:dyDescent="0.2">
      <c r="A4338" s="6">
        <v>44062.708333333336</v>
      </c>
      <c r="B4338" s="1" t="s">
        <v>23</v>
      </c>
      <c r="C4338">
        <v>9</v>
      </c>
      <c r="D4338">
        <v>2</v>
      </c>
      <c r="E4338">
        <v>80</v>
      </c>
      <c r="F4338">
        <v>1563</v>
      </c>
      <c r="G4338" s="3">
        <f t="shared" si="201"/>
        <v>4</v>
      </c>
      <c r="H4338" s="4">
        <f t="shared" si="202"/>
        <v>2.5591810620601008E-3</v>
      </c>
      <c r="I4338" s="1">
        <f t="shared" si="203"/>
        <v>0</v>
      </c>
    </row>
    <row r="4339" spans="1:9" hidden="1" x14ac:dyDescent="0.2">
      <c r="A4339" s="6">
        <v>44063.708333333336</v>
      </c>
      <c r="B4339" s="1" t="s">
        <v>23</v>
      </c>
      <c r="C4339">
        <v>10</v>
      </c>
      <c r="D4339">
        <v>1</v>
      </c>
      <c r="E4339">
        <v>80</v>
      </c>
      <c r="F4339">
        <v>1580</v>
      </c>
      <c r="G4339" s="3">
        <f t="shared" si="201"/>
        <v>17</v>
      </c>
      <c r="H4339" s="4">
        <f t="shared" si="202"/>
        <v>1.0759493670886022E-2</v>
      </c>
      <c r="I4339" s="1">
        <f t="shared" si="203"/>
        <v>0</v>
      </c>
    </row>
    <row r="4340" spans="1:9" hidden="1" x14ac:dyDescent="0.2">
      <c r="A4340" s="6">
        <v>44064.708333333336</v>
      </c>
      <c r="B4340" s="1" t="s">
        <v>23</v>
      </c>
      <c r="C4340">
        <v>10</v>
      </c>
      <c r="D4340">
        <v>1</v>
      </c>
      <c r="E4340">
        <v>80</v>
      </c>
      <c r="F4340">
        <v>1602</v>
      </c>
      <c r="G4340" s="3">
        <f t="shared" si="201"/>
        <v>22</v>
      </c>
      <c r="H4340" s="4">
        <f t="shared" si="202"/>
        <v>1.3732833957553092E-2</v>
      </c>
      <c r="I4340" s="1">
        <f t="shared" si="203"/>
        <v>0</v>
      </c>
    </row>
    <row r="4341" spans="1:9" hidden="1" x14ac:dyDescent="0.2">
      <c r="A4341" s="6">
        <v>44065.708333333336</v>
      </c>
      <c r="B4341" s="1" t="s">
        <v>23</v>
      </c>
      <c r="C4341">
        <v>12</v>
      </c>
      <c r="D4341">
        <v>1</v>
      </c>
      <c r="E4341">
        <v>80</v>
      </c>
      <c r="F4341">
        <v>1620</v>
      </c>
      <c r="G4341" s="3">
        <f t="shared" si="201"/>
        <v>18</v>
      </c>
      <c r="H4341" s="4">
        <f t="shared" si="202"/>
        <v>1.1111111111111072E-2</v>
      </c>
      <c r="I4341" s="1">
        <f t="shared" si="203"/>
        <v>0</v>
      </c>
    </row>
    <row r="4342" spans="1:9" hidden="1" x14ac:dyDescent="0.2">
      <c r="A4342" s="6">
        <v>44066.708333333336</v>
      </c>
      <c r="B4342" s="1" t="s">
        <v>23</v>
      </c>
      <c r="C4342">
        <v>11</v>
      </c>
      <c r="D4342">
        <v>1</v>
      </c>
      <c r="E4342">
        <v>80</v>
      </c>
      <c r="F4342">
        <v>1639</v>
      </c>
      <c r="G4342" s="3">
        <f t="shared" si="201"/>
        <v>19</v>
      </c>
      <c r="H4342" s="4">
        <f t="shared" si="202"/>
        <v>1.1592434411226371E-2</v>
      </c>
      <c r="I4342" s="1">
        <f t="shared" si="203"/>
        <v>0</v>
      </c>
    </row>
    <row r="4343" spans="1:9" hidden="1" x14ac:dyDescent="0.2">
      <c r="A4343" s="6">
        <v>44067.708333333336</v>
      </c>
      <c r="B4343" s="1" t="s">
        <v>23</v>
      </c>
      <c r="C4343">
        <v>12</v>
      </c>
      <c r="D4343">
        <v>1</v>
      </c>
      <c r="E4343">
        <v>80</v>
      </c>
      <c r="F4343">
        <v>1650</v>
      </c>
      <c r="G4343" s="3">
        <f t="shared" si="201"/>
        <v>11</v>
      </c>
      <c r="H4343" s="4">
        <f t="shared" si="202"/>
        <v>6.6666666666667096E-3</v>
      </c>
      <c r="I4343" s="1">
        <f t="shared" si="203"/>
        <v>0</v>
      </c>
    </row>
    <row r="4344" spans="1:9" hidden="1" x14ac:dyDescent="0.2">
      <c r="A4344" s="6">
        <v>44068.708333333336</v>
      </c>
      <c r="B4344" s="1" t="s">
        <v>23</v>
      </c>
      <c r="C4344">
        <v>12</v>
      </c>
      <c r="D4344">
        <v>1</v>
      </c>
      <c r="E4344">
        <v>80</v>
      </c>
      <c r="F4344">
        <v>1679</v>
      </c>
      <c r="G4344" s="3">
        <f t="shared" si="201"/>
        <v>29</v>
      </c>
      <c r="H4344" s="4">
        <f t="shared" si="202"/>
        <v>1.7272185824895758E-2</v>
      </c>
      <c r="I4344" s="1">
        <f t="shared" si="203"/>
        <v>0</v>
      </c>
    </row>
    <row r="4345" spans="1:9" hidden="1" x14ac:dyDescent="0.2">
      <c r="A4345" s="6">
        <v>44069.708333333336</v>
      </c>
      <c r="B4345" s="1" t="s">
        <v>23</v>
      </c>
      <c r="C4345">
        <v>11</v>
      </c>
      <c r="D4345">
        <v>1</v>
      </c>
      <c r="E4345">
        <v>80</v>
      </c>
      <c r="F4345">
        <v>1699</v>
      </c>
      <c r="G4345" s="3">
        <f t="shared" si="201"/>
        <v>20</v>
      </c>
      <c r="H4345" s="4">
        <f t="shared" si="202"/>
        <v>1.1771630370806307E-2</v>
      </c>
      <c r="I4345" s="1">
        <f t="shared" si="203"/>
        <v>0</v>
      </c>
    </row>
    <row r="4346" spans="1:9" hidden="1" x14ac:dyDescent="0.2">
      <c r="A4346" s="6">
        <v>44070.708333333336</v>
      </c>
      <c r="B4346" s="1" t="s">
        <v>23</v>
      </c>
      <c r="C4346">
        <v>12</v>
      </c>
      <c r="D4346">
        <v>1</v>
      </c>
      <c r="E4346">
        <v>80</v>
      </c>
      <c r="F4346">
        <v>1719</v>
      </c>
      <c r="G4346" s="3">
        <f t="shared" si="201"/>
        <v>20</v>
      </c>
      <c r="H4346" s="4">
        <f t="shared" si="202"/>
        <v>1.1634671320535195E-2</v>
      </c>
      <c r="I4346" s="1">
        <f t="shared" si="203"/>
        <v>0</v>
      </c>
    </row>
    <row r="4347" spans="1:9" hidden="1" x14ac:dyDescent="0.2">
      <c r="A4347" s="6">
        <v>44071.708333333336</v>
      </c>
      <c r="B4347" s="1" t="s">
        <v>23</v>
      </c>
      <c r="C4347">
        <v>12</v>
      </c>
      <c r="D4347">
        <v>0</v>
      </c>
      <c r="E4347">
        <v>80</v>
      </c>
      <c r="F4347">
        <v>1741</v>
      </c>
      <c r="G4347" s="3">
        <f t="shared" si="201"/>
        <v>22</v>
      </c>
      <c r="H4347" s="4">
        <f t="shared" si="202"/>
        <v>1.2636415852958049E-2</v>
      </c>
      <c r="I4347" s="1">
        <f t="shared" si="203"/>
        <v>0</v>
      </c>
    </row>
    <row r="4348" spans="1:9" hidden="1" x14ac:dyDescent="0.2">
      <c r="A4348" s="6">
        <v>44072.708333333336</v>
      </c>
      <c r="B4348" s="1" t="s">
        <v>23</v>
      </c>
      <c r="C4348">
        <v>11</v>
      </c>
      <c r="D4348">
        <v>1</v>
      </c>
      <c r="E4348">
        <v>80</v>
      </c>
      <c r="F4348">
        <v>1753</v>
      </c>
      <c r="G4348" s="3">
        <f t="shared" si="201"/>
        <v>12</v>
      </c>
      <c r="H4348" s="4">
        <f t="shared" si="202"/>
        <v>6.8454078722191003E-3</v>
      </c>
      <c r="I4348" s="1">
        <f t="shared" si="203"/>
        <v>0</v>
      </c>
    </row>
    <row r="4349" spans="1:9" hidden="1" x14ac:dyDescent="0.2">
      <c r="A4349" s="6">
        <v>44073.708333333336</v>
      </c>
      <c r="B4349" s="1" t="s">
        <v>23</v>
      </c>
      <c r="C4349">
        <v>10</v>
      </c>
      <c r="D4349">
        <v>1</v>
      </c>
      <c r="E4349">
        <v>80</v>
      </c>
      <c r="F4349">
        <v>1784</v>
      </c>
      <c r="G4349" s="3">
        <f t="shared" si="201"/>
        <v>31</v>
      </c>
      <c r="H4349" s="4">
        <f t="shared" si="202"/>
        <v>1.7376681614349798E-2</v>
      </c>
      <c r="I4349" s="1">
        <f t="shared" si="203"/>
        <v>0</v>
      </c>
    </row>
    <row r="4350" spans="1:9" hidden="1" x14ac:dyDescent="0.2">
      <c r="A4350" s="6">
        <v>44074.708333333336</v>
      </c>
      <c r="B4350" s="1" t="s">
        <v>23</v>
      </c>
      <c r="C4350">
        <v>10</v>
      </c>
      <c r="D4350">
        <v>2</v>
      </c>
      <c r="E4350">
        <v>80</v>
      </c>
      <c r="F4350">
        <v>1793</v>
      </c>
      <c r="G4350" s="3">
        <f t="shared" si="201"/>
        <v>9</v>
      </c>
      <c r="H4350" s="4">
        <f t="shared" si="202"/>
        <v>5.0195203569436408E-3</v>
      </c>
      <c r="I4350" s="1">
        <f t="shared" si="203"/>
        <v>0</v>
      </c>
    </row>
    <row r="4351" spans="1:9" hidden="1" x14ac:dyDescent="0.2">
      <c r="A4351" s="6">
        <v>44075.708333333336</v>
      </c>
      <c r="B4351" s="1" t="s">
        <v>23</v>
      </c>
      <c r="C4351">
        <v>9</v>
      </c>
      <c r="D4351">
        <v>2</v>
      </c>
      <c r="E4351">
        <v>80</v>
      </c>
      <c r="F4351">
        <v>1803</v>
      </c>
      <c r="G4351" s="3">
        <f t="shared" si="201"/>
        <v>10</v>
      </c>
      <c r="H4351" s="4">
        <f t="shared" si="202"/>
        <v>5.5463117027176878E-3</v>
      </c>
      <c r="I4351" s="1">
        <f t="shared" si="203"/>
        <v>0</v>
      </c>
    </row>
    <row r="4352" spans="1:9" hidden="1" x14ac:dyDescent="0.2">
      <c r="A4352" s="6">
        <v>44076.708333333336</v>
      </c>
      <c r="B4352" s="1" t="s">
        <v>23</v>
      </c>
      <c r="C4352">
        <v>8</v>
      </c>
      <c r="D4352">
        <v>2</v>
      </c>
      <c r="E4352">
        <v>80</v>
      </c>
      <c r="F4352">
        <v>1830</v>
      </c>
      <c r="G4352" s="3">
        <f t="shared" si="201"/>
        <v>27</v>
      </c>
      <c r="H4352" s="4">
        <f t="shared" si="202"/>
        <v>1.4754098360655776E-2</v>
      </c>
      <c r="I4352" s="1">
        <f t="shared" si="203"/>
        <v>0</v>
      </c>
    </row>
    <row r="4353" spans="1:9" hidden="1" x14ac:dyDescent="0.2">
      <c r="A4353" s="6">
        <v>44077.708333333336</v>
      </c>
      <c r="B4353" s="1" t="s">
        <v>23</v>
      </c>
      <c r="C4353">
        <v>10</v>
      </c>
      <c r="D4353">
        <v>2</v>
      </c>
      <c r="E4353">
        <v>80</v>
      </c>
      <c r="F4353">
        <v>1839</v>
      </c>
      <c r="G4353" s="3">
        <f t="shared" si="201"/>
        <v>9</v>
      </c>
      <c r="H4353" s="4">
        <f t="shared" si="202"/>
        <v>4.8939641109299048E-3</v>
      </c>
      <c r="I4353" s="1">
        <f t="shared" si="203"/>
        <v>0</v>
      </c>
    </row>
    <row r="4354" spans="1:9" hidden="1" x14ac:dyDescent="0.2">
      <c r="A4354" s="6">
        <v>44078.708333333336</v>
      </c>
      <c r="B4354" s="1" t="s">
        <v>23</v>
      </c>
      <c r="C4354">
        <v>11</v>
      </c>
      <c r="D4354">
        <v>3</v>
      </c>
      <c r="E4354">
        <v>80</v>
      </c>
      <c r="F4354">
        <v>1874</v>
      </c>
      <c r="G4354" s="3">
        <f t="shared" si="201"/>
        <v>35</v>
      </c>
      <c r="H4354" s="4">
        <f t="shared" si="202"/>
        <v>1.8676627534685131E-2</v>
      </c>
      <c r="I4354" s="1">
        <f t="shared" si="203"/>
        <v>0</v>
      </c>
    </row>
    <row r="4355" spans="1:9" hidden="1" x14ac:dyDescent="0.2">
      <c r="A4355" s="6">
        <v>44079.708333333336</v>
      </c>
      <c r="B4355" s="1" t="s">
        <v>23</v>
      </c>
      <c r="C4355">
        <v>13</v>
      </c>
      <c r="D4355">
        <v>2</v>
      </c>
      <c r="E4355">
        <v>81</v>
      </c>
      <c r="F4355">
        <v>1890</v>
      </c>
      <c r="G4355" s="3">
        <f t="shared" ref="G4355:G4418" si="204">IF(AND(F4355&gt;0,AND(B4355=B4354,F4355&gt;0)),F4355-F4354,0)</f>
        <v>16</v>
      </c>
      <c r="H4355" s="4">
        <f t="shared" ref="H4355:H4418" si="205">IF(AND(F4354&gt;0,AND(B4355=B4354,F4354&gt;0)),1-(F4354/F4355),0)</f>
        <v>8.4656084656085095E-3</v>
      </c>
      <c r="I4355" s="1">
        <f t="shared" ref="I4355:I4418" si="206">IF(AND(E4355&gt;0,AND(B4355=B4354,E4355&gt;0)),E4355-E4354,0)</f>
        <v>1</v>
      </c>
    </row>
    <row r="4356" spans="1:9" hidden="1" x14ac:dyDescent="0.2">
      <c r="A4356" s="6">
        <v>44080.708333333336</v>
      </c>
      <c r="B4356" s="1" t="s">
        <v>23</v>
      </c>
      <c r="C4356">
        <v>13</v>
      </c>
      <c r="D4356">
        <v>2</v>
      </c>
      <c r="E4356">
        <v>81</v>
      </c>
      <c r="F4356">
        <v>1915</v>
      </c>
      <c r="G4356" s="3">
        <f t="shared" si="204"/>
        <v>25</v>
      </c>
      <c r="H4356" s="4">
        <f t="shared" si="205"/>
        <v>1.3054830287206221E-2</v>
      </c>
      <c r="I4356" s="1">
        <f t="shared" si="206"/>
        <v>0</v>
      </c>
    </row>
    <row r="4357" spans="1:9" hidden="1" x14ac:dyDescent="0.2">
      <c r="A4357" s="6">
        <v>44081.708333333336</v>
      </c>
      <c r="B4357" s="1" t="s">
        <v>23</v>
      </c>
      <c r="C4357">
        <v>15</v>
      </c>
      <c r="D4357">
        <v>2</v>
      </c>
      <c r="E4357">
        <v>81</v>
      </c>
      <c r="F4357">
        <v>1928</v>
      </c>
      <c r="G4357" s="3">
        <f t="shared" si="204"/>
        <v>13</v>
      </c>
      <c r="H4357" s="4">
        <f t="shared" si="205"/>
        <v>6.7427385892115943E-3</v>
      </c>
      <c r="I4357" s="1">
        <f t="shared" si="206"/>
        <v>0</v>
      </c>
    </row>
    <row r="4358" spans="1:9" hidden="1" x14ac:dyDescent="0.2">
      <c r="A4358" s="6">
        <v>44082.708333333336</v>
      </c>
      <c r="B4358" s="1" t="s">
        <v>23</v>
      </c>
      <c r="C4358">
        <v>15</v>
      </c>
      <c r="D4358">
        <v>2</v>
      </c>
      <c r="E4358">
        <v>81</v>
      </c>
      <c r="F4358">
        <v>1935</v>
      </c>
      <c r="G4358" s="3">
        <f t="shared" si="204"/>
        <v>7</v>
      </c>
      <c r="H4358" s="4">
        <f t="shared" si="205"/>
        <v>3.6175710594315014E-3</v>
      </c>
      <c r="I4358" s="1">
        <f t="shared" si="206"/>
        <v>0</v>
      </c>
    </row>
    <row r="4359" spans="1:9" hidden="1" x14ac:dyDescent="0.2">
      <c r="A4359" s="6">
        <v>44083.708333333336</v>
      </c>
      <c r="B4359" s="1" t="s">
        <v>23</v>
      </c>
      <c r="C4359">
        <v>17</v>
      </c>
      <c r="D4359">
        <v>2</v>
      </c>
      <c r="E4359">
        <v>81</v>
      </c>
      <c r="F4359">
        <v>1968</v>
      </c>
      <c r="G4359" s="3">
        <f t="shared" si="204"/>
        <v>33</v>
      </c>
      <c r="H4359" s="4">
        <f t="shared" si="205"/>
        <v>1.6768292682926789E-2</v>
      </c>
      <c r="I4359" s="1">
        <f t="shared" si="206"/>
        <v>0</v>
      </c>
    </row>
    <row r="4360" spans="1:9" hidden="1" x14ac:dyDescent="0.2">
      <c r="A4360" s="6">
        <v>44084.708333333336</v>
      </c>
      <c r="B4360" s="1" t="s">
        <v>23</v>
      </c>
      <c r="C4360">
        <v>16</v>
      </c>
      <c r="D4360">
        <v>3</v>
      </c>
      <c r="E4360">
        <v>81</v>
      </c>
      <c r="F4360">
        <v>1992</v>
      </c>
      <c r="G4360" s="3">
        <f t="shared" si="204"/>
        <v>24</v>
      </c>
      <c r="H4360" s="4">
        <f t="shared" si="205"/>
        <v>1.2048192771084376E-2</v>
      </c>
      <c r="I4360" s="1">
        <f t="shared" si="206"/>
        <v>0</v>
      </c>
    </row>
    <row r="4361" spans="1:9" hidden="1" x14ac:dyDescent="0.2">
      <c r="A4361" s="6">
        <v>44085.708333333336</v>
      </c>
      <c r="B4361" s="1" t="s">
        <v>23</v>
      </c>
      <c r="C4361">
        <v>19</v>
      </c>
      <c r="D4361">
        <v>4</v>
      </c>
      <c r="E4361">
        <v>81</v>
      </c>
      <c r="F4361">
        <v>2009</v>
      </c>
      <c r="G4361" s="3">
        <f t="shared" si="204"/>
        <v>17</v>
      </c>
      <c r="H4361" s="4">
        <f t="shared" si="205"/>
        <v>8.4619213539074423E-3</v>
      </c>
      <c r="I4361" s="1">
        <f t="shared" si="206"/>
        <v>0</v>
      </c>
    </row>
    <row r="4362" spans="1:9" hidden="1" x14ac:dyDescent="0.2">
      <c r="A4362" s="6">
        <v>44086.708333333336</v>
      </c>
      <c r="B4362" s="1" t="s">
        <v>23</v>
      </c>
      <c r="C4362">
        <v>18</v>
      </c>
      <c r="D4362">
        <v>4</v>
      </c>
      <c r="E4362">
        <v>81</v>
      </c>
      <c r="F4362">
        <v>2042</v>
      </c>
      <c r="G4362" s="3">
        <f t="shared" si="204"/>
        <v>33</v>
      </c>
      <c r="H4362" s="4">
        <f t="shared" si="205"/>
        <v>1.6160626836434822E-2</v>
      </c>
      <c r="I4362" s="1">
        <f t="shared" si="206"/>
        <v>0</v>
      </c>
    </row>
    <row r="4363" spans="1:9" hidden="1" x14ac:dyDescent="0.2">
      <c r="A4363" s="6">
        <v>44087.708333333336</v>
      </c>
      <c r="B4363" s="1" t="s">
        <v>23</v>
      </c>
      <c r="C4363">
        <v>19</v>
      </c>
      <c r="D4363">
        <v>4</v>
      </c>
      <c r="E4363">
        <v>81</v>
      </c>
      <c r="F4363">
        <v>2066</v>
      </c>
      <c r="G4363" s="3">
        <f t="shared" si="204"/>
        <v>24</v>
      </c>
      <c r="H4363" s="4">
        <f t="shared" si="205"/>
        <v>1.1616650532429773E-2</v>
      </c>
      <c r="I4363" s="1">
        <f t="shared" si="206"/>
        <v>0</v>
      </c>
    </row>
    <row r="4364" spans="1:9" hidden="1" x14ac:dyDescent="0.2">
      <c r="A4364" s="6">
        <v>44088.708333333336</v>
      </c>
      <c r="B4364" s="1" t="s">
        <v>23</v>
      </c>
      <c r="C4364">
        <v>19</v>
      </c>
      <c r="D4364">
        <v>5</v>
      </c>
      <c r="E4364">
        <v>81</v>
      </c>
      <c r="F4364">
        <v>2078</v>
      </c>
      <c r="G4364" s="3">
        <f t="shared" si="204"/>
        <v>12</v>
      </c>
      <c r="H4364" s="4">
        <f t="shared" si="205"/>
        <v>5.7747834456207681E-3</v>
      </c>
      <c r="I4364" s="1">
        <f t="shared" si="206"/>
        <v>0</v>
      </c>
    </row>
    <row r="4365" spans="1:9" hidden="1" x14ac:dyDescent="0.2">
      <c r="A4365" s="6">
        <v>44089.708333333336</v>
      </c>
      <c r="B4365" s="1" t="s">
        <v>23</v>
      </c>
      <c r="C4365">
        <v>23</v>
      </c>
      <c r="D4365">
        <v>6</v>
      </c>
      <c r="E4365">
        <v>81</v>
      </c>
      <c r="F4365">
        <v>2100</v>
      </c>
      <c r="G4365" s="3">
        <f t="shared" si="204"/>
        <v>22</v>
      </c>
      <c r="H4365" s="4">
        <f t="shared" si="205"/>
        <v>1.0476190476190528E-2</v>
      </c>
      <c r="I4365" s="1">
        <f t="shared" si="206"/>
        <v>0</v>
      </c>
    </row>
    <row r="4366" spans="1:9" hidden="1" x14ac:dyDescent="0.2">
      <c r="A4366" s="6">
        <v>44090.708333333336</v>
      </c>
      <c r="B4366" s="1" t="s">
        <v>23</v>
      </c>
      <c r="C4366">
        <v>27</v>
      </c>
      <c r="D4366">
        <v>5</v>
      </c>
      <c r="E4366">
        <v>81</v>
      </c>
      <c r="F4366">
        <v>2117</v>
      </c>
      <c r="G4366" s="3">
        <f t="shared" si="204"/>
        <v>17</v>
      </c>
      <c r="H4366" s="4">
        <f t="shared" si="205"/>
        <v>8.03023145961268E-3</v>
      </c>
      <c r="I4366" s="1">
        <f t="shared" si="206"/>
        <v>0</v>
      </c>
    </row>
    <row r="4367" spans="1:9" hidden="1" x14ac:dyDescent="0.2">
      <c r="A4367" s="6">
        <v>44091.708333333336</v>
      </c>
      <c r="B4367" s="1" t="s">
        <v>23</v>
      </c>
      <c r="C4367">
        <v>25</v>
      </c>
      <c r="D4367">
        <v>5</v>
      </c>
      <c r="E4367">
        <v>82</v>
      </c>
      <c r="F4367">
        <v>2139</v>
      </c>
      <c r="G4367" s="3">
        <f t="shared" si="204"/>
        <v>22</v>
      </c>
      <c r="H4367" s="4">
        <f t="shared" si="205"/>
        <v>1.0285179990649818E-2</v>
      </c>
      <c r="I4367" s="1">
        <f t="shared" si="206"/>
        <v>1</v>
      </c>
    </row>
    <row r="4368" spans="1:9" hidden="1" x14ac:dyDescent="0.2">
      <c r="A4368" s="6">
        <v>44092.708333333336</v>
      </c>
      <c r="B4368" s="1" t="s">
        <v>23</v>
      </c>
      <c r="C4368">
        <v>27</v>
      </c>
      <c r="D4368">
        <v>5</v>
      </c>
      <c r="E4368">
        <v>82</v>
      </c>
      <c r="F4368">
        <v>2160</v>
      </c>
      <c r="G4368" s="3">
        <f t="shared" si="204"/>
        <v>21</v>
      </c>
      <c r="H4368" s="4">
        <f t="shared" si="205"/>
        <v>9.7222222222221877E-3</v>
      </c>
      <c r="I4368" s="1">
        <f t="shared" si="206"/>
        <v>0</v>
      </c>
    </row>
    <row r="4369" spans="1:9" hidden="1" x14ac:dyDescent="0.2">
      <c r="A4369" s="6">
        <v>44093.708333333336</v>
      </c>
      <c r="B4369" s="1" t="s">
        <v>23</v>
      </c>
      <c r="C4369">
        <v>27</v>
      </c>
      <c r="D4369">
        <v>4</v>
      </c>
      <c r="E4369">
        <v>83</v>
      </c>
      <c r="F4369">
        <v>2192</v>
      </c>
      <c r="G4369" s="3">
        <f t="shared" si="204"/>
        <v>32</v>
      </c>
      <c r="H4369" s="4">
        <f t="shared" si="205"/>
        <v>1.4598540145985384E-2</v>
      </c>
      <c r="I4369" s="1">
        <f t="shared" si="206"/>
        <v>1</v>
      </c>
    </row>
    <row r="4370" spans="1:9" hidden="1" x14ac:dyDescent="0.2">
      <c r="A4370" s="6">
        <v>44094.708333333336</v>
      </c>
      <c r="B4370" s="1" t="s">
        <v>23</v>
      </c>
      <c r="C4370">
        <v>29</v>
      </c>
      <c r="D4370">
        <v>4</v>
      </c>
      <c r="E4370">
        <v>83</v>
      </c>
      <c r="F4370">
        <v>2216</v>
      </c>
      <c r="G4370" s="3">
        <f t="shared" si="204"/>
        <v>24</v>
      </c>
      <c r="H4370" s="4">
        <f t="shared" si="205"/>
        <v>1.0830324909747335E-2</v>
      </c>
      <c r="I4370" s="1">
        <f t="shared" si="206"/>
        <v>0</v>
      </c>
    </row>
    <row r="4371" spans="1:9" hidden="1" x14ac:dyDescent="0.2">
      <c r="A4371" s="6">
        <v>44095.708333333336</v>
      </c>
      <c r="B4371" s="1" t="s">
        <v>23</v>
      </c>
      <c r="C4371">
        <v>25</v>
      </c>
      <c r="D4371">
        <v>4</v>
      </c>
      <c r="E4371">
        <v>84</v>
      </c>
      <c r="F4371">
        <v>2221</v>
      </c>
      <c r="G4371" s="3">
        <f t="shared" si="204"/>
        <v>5</v>
      </c>
      <c r="H4371" s="4">
        <f t="shared" si="205"/>
        <v>2.2512381809995929E-3</v>
      </c>
      <c r="I4371" s="1">
        <f t="shared" si="206"/>
        <v>1</v>
      </c>
    </row>
    <row r="4372" spans="1:9" hidden="1" x14ac:dyDescent="0.2">
      <c r="A4372" s="6">
        <v>44096.708333333336</v>
      </c>
      <c r="B4372" s="1" t="s">
        <v>23</v>
      </c>
      <c r="C4372">
        <v>28</v>
      </c>
      <c r="D4372">
        <v>4</v>
      </c>
      <c r="E4372">
        <v>84</v>
      </c>
      <c r="F4372">
        <v>2247</v>
      </c>
      <c r="G4372" s="3">
        <f t="shared" si="204"/>
        <v>26</v>
      </c>
      <c r="H4372" s="4">
        <f t="shared" si="205"/>
        <v>1.157098353360031E-2</v>
      </c>
      <c r="I4372" s="1">
        <f t="shared" si="206"/>
        <v>0</v>
      </c>
    </row>
    <row r="4373" spans="1:9" hidden="1" x14ac:dyDescent="0.2">
      <c r="A4373" s="6">
        <v>44097.708333333336</v>
      </c>
      <c r="B4373" s="1" t="s">
        <v>23</v>
      </c>
      <c r="C4373">
        <v>30</v>
      </c>
      <c r="D4373">
        <v>3</v>
      </c>
      <c r="E4373">
        <v>85</v>
      </c>
      <c r="F4373">
        <v>2266</v>
      </c>
      <c r="G4373" s="3">
        <f t="shared" si="204"/>
        <v>19</v>
      </c>
      <c r="H4373" s="4">
        <f t="shared" si="205"/>
        <v>8.3848190644306708E-3</v>
      </c>
      <c r="I4373" s="1">
        <f t="shared" si="206"/>
        <v>1</v>
      </c>
    </row>
    <row r="4374" spans="1:9" hidden="1" x14ac:dyDescent="0.2">
      <c r="A4374" s="6">
        <v>44098.708333333336</v>
      </c>
      <c r="B4374" s="1" t="s">
        <v>23</v>
      </c>
      <c r="C4374">
        <v>30</v>
      </c>
      <c r="D4374">
        <v>3</v>
      </c>
      <c r="E4374">
        <v>85</v>
      </c>
      <c r="F4374">
        <v>2295</v>
      </c>
      <c r="G4374" s="3">
        <f t="shared" si="204"/>
        <v>29</v>
      </c>
      <c r="H4374" s="4">
        <f t="shared" si="205"/>
        <v>1.263616557734204E-2</v>
      </c>
      <c r="I4374" s="1">
        <f t="shared" si="206"/>
        <v>0</v>
      </c>
    </row>
    <row r="4375" spans="1:9" hidden="1" x14ac:dyDescent="0.2">
      <c r="A4375" s="6">
        <v>44099.708333333336</v>
      </c>
      <c r="B4375" s="1" t="s">
        <v>23</v>
      </c>
      <c r="C4375">
        <v>32</v>
      </c>
      <c r="D4375">
        <v>3</v>
      </c>
      <c r="E4375">
        <v>85</v>
      </c>
      <c r="F4375">
        <v>2318</v>
      </c>
      <c r="G4375" s="3">
        <f t="shared" si="204"/>
        <v>23</v>
      </c>
      <c r="H4375" s="4">
        <f t="shared" si="205"/>
        <v>9.9223468507333434E-3</v>
      </c>
      <c r="I4375" s="1">
        <f t="shared" si="206"/>
        <v>0</v>
      </c>
    </row>
    <row r="4376" spans="1:9" hidden="1" x14ac:dyDescent="0.2">
      <c r="A4376" s="6">
        <v>44100.708333333336</v>
      </c>
      <c r="B4376" s="1" t="s">
        <v>23</v>
      </c>
      <c r="C4376">
        <v>34</v>
      </c>
      <c r="D4376">
        <v>3</v>
      </c>
      <c r="E4376">
        <v>85</v>
      </c>
      <c r="F4376">
        <v>2353</v>
      </c>
      <c r="G4376" s="3">
        <f t="shared" si="204"/>
        <v>35</v>
      </c>
      <c r="H4376" s="4">
        <f t="shared" si="205"/>
        <v>1.487462813429663E-2</v>
      </c>
      <c r="I4376" s="1">
        <f t="shared" si="206"/>
        <v>0</v>
      </c>
    </row>
    <row r="4377" spans="1:9" hidden="1" x14ac:dyDescent="0.2">
      <c r="A4377" s="6">
        <v>44101.708333333336</v>
      </c>
      <c r="B4377" s="1" t="s">
        <v>23</v>
      </c>
      <c r="C4377">
        <v>33</v>
      </c>
      <c r="D4377">
        <v>3</v>
      </c>
      <c r="E4377">
        <v>85</v>
      </c>
      <c r="F4377">
        <v>2374</v>
      </c>
      <c r="G4377" s="3">
        <f t="shared" si="204"/>
        <v>21</v>
      </c>
      <c r="H4377" s="4">
        <f t="shared" si="205"/>
        <v>8.845829823083351E-3</v>
      </c>
      <c r="I4377" s="1">
        <f t="shared" si="206"/>
        <v>0</v>
      </c>
    </row>
    <row r="4378" spans="1:9" hidden="1" x14ac:dyDescent="0.2">
      <c r="A4378" s="6">
        <v>44102.708333333336</v>
      </c>
      <c r="B4378" s="1" t="s">
        <v>23</v>
      </c>
      <c r="C4378">
        <v>38</v>
      </c>
      <c r="D4378">
        <v>3</v>
      </c>
      <c r="E4378">
        <v>85</v>
      </c>
      <c r="F4378">
        <v>2385</v>
      </c>
      <c r="G4378" s="3">
        <f t="shared" si="204"/>
        <v>11</v>
      </c>
      <c r="H4378" s="4">
        <f t="shared" si="205"/>
        <v>4.6121593291404972E-3</v>
      </c>
      <c r="I4378" s="1">
        <f t="shared" si="206"/>
        <v>0</v>
      </c>
    </row>
    <row r="4379" spans="1:9" hidden="1" x14ac:dyDescent="0.2">
      <c r="A4379" s="6">
        <v>44103.708333333336</v>
      </c>
      <c r="B4379" s="1" t="s">
        <v>23</v>
      </c>
      <c r="C4379">
        <v>39</v>
      </c>
      <c r="D4379">
        <v>3</v>
      </c>
      <c r="E4379">
        <v>85</v>
      </c>
      <c r="F4379">
        <v>2408</v>
      </c>
      <c r="G4379" s="3">
        <f t="shared" si="204"/>
        <v>23</v>
      </c>
      <c r="H4379" s="4">
        <f t="shared" si="205"/>
        <v>9.5514950166113444E-3</v>
      </c>
      <c r="I4379" s="1">
        <f t="shared" si="206"/>
        <v>0</v>
      </c>
    </row>
    <row r="4380" spans="1:9" hidden="1" x14ac:dyDescent="0.2">
      <c r="A4380" s="6">
        <v>44104.708333333336</v>
      </c>
      <c r="B4380" s="1" t="s">
        <v>23</v>
      </c>
      <c r="C4380">
        <v>39</v>
      </c>
      <c r="D4380">
        <v>3</v>
      </c>
      <c r="E4380">
        <v>85</v>
      </c>
      <c r="F4380">
        <v>2454</v>
      </c>
      <c r="G4380" s="3">
        <f t="shared" si="204"/>
        <v>46</v>
      </c>
      <c r="H4380" s="4">
        <f t="shared" si="205"/>
        <v>1.8744906275468654E-2</v>
      </c>
      <c r="I4380" s="1">
        <f t="shared" si="206"/>
        <v>0</v>
      </c>
    </row>
    <row r="4381" spans="1:9" hidden="1" x14ac:dyDescent="0.2">
      <c r="A4381" s="6">
        <v>44105.708333333336</v>
      </c>
      <c r="B4381" s="1" t="s">
        <v>23</v>
      </c>
      <c r="C4381">
        <v>38</v>
      </c>
      <c r="D4381">
        <v>3</v>
      </c>
      <c r="E4381">
        <v>85</v>
      </c>
      <c r="F4381">
        <v>2500</v>
      </c>
      <c r="G4381" s="3">
        <f t="shared" si="204"/>
        <v>46</v>
      </c>
      <c r="H4381" s="4">
        <f t="shared" si="205"/>
        <v>1.8399999999999972E-2</v>
      </c>
      <c r="I4381" s="1">
        <f t="shared" si="206"/>
        <v>0</v>
      </c>
    </row>
    <row r="4382" spans="1:9" hidden="1" x14ac:dyDescent="0.2">
      <c r="A4382" s="6">
        <v>44106.708333333336</v>
      </c>
      <c r="B4382" s="1" t="s">
        <v>23</v>
      </c>
      <c r="C4382">
        <v>39</v>
      </c>
      <c r="D4382">
        <v>4</v>
      </c>
      <c r="E4382">
        <v>85</v>
      </c>
      <c r="F4382">
        <v>2562</v>
      </c>
      <c r="G4382" s="3">
        <f t="shared" si="204"/>
        <v>62</v>
      </c>
      <c r="H4382" s="4">
        <f t="shared" si="205"/>
        <v>2.4199843871975046E-2</v>
      </c>
      <c r="I4382" s="1">
        <f t="shared" si="206"/>
        <v>0</v>
      </c>
    </row>
    <row r="4383" spans="1:9" hidden="1" x14ac:dyDescent="0.2">
      <c r="A4383" s="6">
        <v>44107.708333333336</v>
      </c>
      <c r="B4383" s="1" t="s">
        <v>23</v>
      </c>
      <c r="C4383">
        <v>41</v>
      </c>
      <c r="D4383">
        <v>5</v>
      </c>
      <c r="E4383">
        <v>85</v>
      </c>
      <c r="F4383">
        <v>2604</v>
      </c>
      <c r="G4383" s="3">
        <f t="shared" si="204"/>
        <v>42</v>
      </c>
      <c r="H4383" s="4">
        <f t="shared" si="205"/>
        <v>1.6129032258064502E-2</v>
      </c>
      <c r="I4383" s="1">
        <f t="shared" si="206"/>
        <v>0</v>
      </c>
    </row>
    <row r="4384" spans="1:9" hidden="1" x14ac:dyDescent="0.2">
      <c r="A4384" s="6">
        <v>44108.708333333336</v>
      </c>
      <c r="B4384" s="1" t="s">
        <v>23</v>
      </c>
      <c r="C4384">
        <v>42</v>
      </c>
      <c r="D4384">
        <v>4</v>
      </c>
      <c r="E4384">
        <v>86</v>
      </c>
      <c r="F4384">
        <v>2676</v>
      </c>
      <c r="G4384" s="3">
        <f t="shared" si="204"/>
        <v>72</v>
      </c>
      <c r="H4384" s="4">
        <f t="shared" si="205"/>
        <v>2.6905829596412523E-2</v>
      </c>
      <c r="I4384" s="1">
        <f t="shared" si="206"/>
        <v>1</v>
      </c>
    </row>
    <row r="4385" spans="1:9" hidden="1" x14ac:dyDescent="0.2">
      <c r="A4385" s="6">
        <v>44109.708333333336</v>
      </c>
      <c r="B4385" s="1" t="s">
        <v>23</v>
      </c>
      <c r="C4385">
        <v>42</v>
      </c>
      <c r="D4385">
        <v>5</v>
      </c>
      <c r="E4385">
        <v>86</v>
      </c>
      <c r="F4385">
        <v>2695</v>
      </c>
      <c r="G4385" s="3">
        <f t="shared" si="204"/>
        <v>19</v>
      </c>
      <c r="H4385" s="4">
        <f t="shared" si="205"/>
        <v>7.0500927643785127E-3</v>
      </c>
      <c r="I4385" s="1">
        <f t="shared" si="206"/>
        <v>0</v>
      </c>
    </row>
    <row r="4386" spans="1:9" hidden="1" x14ac:dyDescent="0.2">
      <c r="A4386" s="6">
        <v>44110.708333333336</v>
      </c>
      <c r="B4386" s="1" t="s">
        <v>23</v>
      </c>
      <c r="C4386">
        <v>45</v>
      </c>
      <c r="D4386">
        <v>5</v>
      </c>
      <c r="E4386">
        <v>86</v>
      </c>
      <c r="F4386">
        <v>2757</v>
      </c>
      <c r="G4386" s="3">
        <f t="shared" si="204"/>
        <v>62</v>
      </c>
      <c r="H4386" s="4">
        <f t="shared" si="205"/>
        <v>2.2488211824446824E-2</v>
      </c>
      <c r="I4386" s="1">
        <f t="shared" si="206"/>
        <v>0</v>
      </c>
    </row>
    <row r="4387" spans="1:9" hidden="1" x14ac:dyDescent="0.2">
      <c r="A4387" s="6">
        <v>44111.708333333336</v>
      </c>
      <c r="B4387" s="1" t="s">
        <v>23</v>
      </c>
      <c r="C4387">
        <v>44</v>
      </c>
      <c r="D4387">
        <v>8</v>
      </c>
      <c r="E4387">
        <v>86</v>
      </c>
      <c r="F4387">
        <v>2822</v>
      </c>
      <c r="G4387" s="3">
        <f t="shared" si="204"/>
        <v>65</v>
      </c>
      <c r="H4387" s="4">
        <f t="shared" si="205"/>
        <v>2.3033309709425964E-2</v>
      </c>
      <c r="I4387" s="1">
        <f t="shared" si="206"/>
        <v>0</v>
      </c>
    </row>
    <row r="4388" spans="1:9" hidden="1" x14ac:dyDescent="0.2">
      <c r="A4388" s="6">
        <v>44112.708333333336</v>
      </c>
      <c r="B4388" s="1" t="s">
        <v>23</v>
      </c>
      <c r="C4388">
        <v>50</v>
      </c>
      <c r="D4388">
        <v>8</v>
      </c>
      <c r="E4388">
        <v>87</v>
      </c>
      <c r="F4388">
        <v>2906</v>
      </c>
      <c r="G4388" s="3">
        <f t="shared" si="204"/>
        <v>84</v>
      </c>
      <c r="H4388" s="4">
        <f t="shared" si="205"/>
        <v>2.890571231933925E-2</v>
      </c>
      <c r="I4388" s="1">
        <f t="shared" si="206"/>
        <v>1</v>
      </c>
    </row>
    <row r="4389" spans="1:9" hidden="1" x14ac:dyDescent="0.2">
      <c r="A4389" s="6">
        <v>44113.708333333336</v>
      </c>
      <c r="B4389" s="1" t="s">
        <v>23</v>
      </c>
      <c r="C4389">
        <v>55</v>
      </c>
      <c r="D4389">
        <v>8</v>
      </c>
      <c r="E4389">
        <v>87</v>
      </c>
      <c r="F4389">
        <v>3057</v>
      </c>
      <c r="G4389" s="3">
        <f t="shared" si="204"/>
        <v>151</v>
      </c>
      <c r="H4389" s="4">
        <f t="shared" si="205"/>
        <v>4.9394831534183892E-2</v>
      </c>
      <c r="I4389" s="1">
        <f t="shared" si="206"/>
        <v>0</v>
      </c>
    </row>
    <row r="4390" spans="1:9" hidden="1" x14ac:dyDescent="0.2">
      <c r="A4390" s="6">
        <v>44114.708333333336</v>
      </c>
      <c r="B4390" s="1" t="s">
        <v>23</v>
      </c>
      <c r="C4390">
        <v>56</v>
      </c>
      <c r="D4390">
        <v>8</v>
      </c>
      <c r="E4390">
        <v>88</v>
      </c>
      <c r="F4390">
        <v>3189</v>
      </c>
      <c r="G4390" s="3">
        <f t="shared" si="204"/>
        <v>132</v>
      </c>
      <c r="H4390" s="4">
        <f t="shared" si="205"/>
        <v>4.1392285983066768E-2</v>
      </c>
      <c r="I4390" s="1">
        <f t="shared" si="206"/>
        <v>1</v>
      </c>
    </row>
    <row r="4391" spans="1:9" hidden="1" x14ac:dyDescent="0.2">
      <c r="A4391" s="6">
        <v>44115.708333333336</v>
      </c>
      <c r="B4391" s="1" t="s">
        <v>23</v>
      </c>
      <c r="C4391">
        <v>58</v>
      </c>
      <c r="D4391">
        <v>9</v>
      </c>
      <c r="E4391">
        <v>88</v>
      </c>
      <c r="F4391">
        <v>3324</v>
      </c>
      <c r="G4391" s="3">
        <f t="shared" si="204"/>
        <v>135</v>
      </c>
      <c r="H4391" s="4">
        <f t="shared" si="205"/>
        <v>4.0613718411552369E-2</v>
      </c>
      <c r="I4391" s="1">
        <f t="shared" si="206"/>
        <v>0</v>
      </c>
    </row>
    <row r="4392" spans="1:9" hidden="1" x14ac:dyDescent="0.2">
      <c r="A4392" s="6">
        <v>43885.75</v>
      </c>
      <c r="B4392" s="1" t="s">
        <v>24</v>
      </c>
      <c r="C4392">
        <v>0</v>
      </c>
      <c r="D4392">
        <v>0</v>
      </c>
      <c r="E4392">
        <v>0</v>
      </c>
      <c r="F4392">
        <v>0</v>
      </c>
      <c r="G4392" s="3">
        <f t="shared" si="204"/>
        <v>0</v>
      </c>
      <c r="H4392" s="4">
        <f t="shared" si="205"/>
        <v>0</v>
      </c>
      <c r="I4392" s="1">
        <f t="shared" si="206"/>
        <v>0</v>
      </c>
    </row>
    <row r="4393" spans="1:9" hidden="1" x14ac:dyDescent="0.2">
      <c r="A4393" s="6">
        <v>43886.75</v>
      </c>
      <c r="B4393" s="1" t="s">
        <v>24</v>
      </c>
      <c r="C4393">
        <v>0</v>
      </c>
      <c r="D4393">
        <v>0</v>
      </c>
      <c r="E4393">
        <v>0</v>
      </c>
      <c r="F4393">
        <v>0</v>
      </c>
      <c r="G4393" s="3">
        <f t="shared" si="204"/>
        <v>0</v>
      </c>
      <c r="H4393" s="4">
        <f t="shared" si="205"/>
        <v>0</v>
      </c>
      <c r="I4393" s="1">
        <f t="shared" si="206"/>
        <v>0</v>
      </c>
    </row>
    <row r="4394" spans="1:9" hidden="1" x14ac:dyDescent="0.2">
      <c r="A4394" s="6">
        <v>43887.75</v>
      </c>
      <c r="B4394" s="1" t="s">
        <v>24</v>
      </c>
      <c r="C4394">
        <v>0</v>
      </c>
      <c r="D4394">
        <v>0</v>
      </c>
      <c r="E4394">
        <v>0</v>
      </c>
      <c r="F4394">
        <v>0</v>
      </c>
      <c r="G4394" s="3">
        <f t="shared" si="204"/>
        <v>0</v>
      </c>
      <c r="H4394" s="4">
        <f t="shared" si="205"/>
        <v>0</v>
      </c>
      <c r="I4394" s="1">
        <f t="shared" si="206"/>
        <v>0</v>
      </c>
    </row>
    <row r="4395" spans="1:9" hidden="1" x14ac:dyDescent="0.2">
      <c r="A4395" s="6">
        <v>43888.75</v>
      </c>
      <c r="B4395" s="1" t="s">
        <v>24</v>
      </c>
      <c r="C4395">
        <v>0</v>
      </c>
      <c r="D4395">
        <v>0</v>
      </c>
      <c r="E4395">
        <v>0</v>
      </c>
      <c r="F4395">
        <v>0</v>
      </c>
      <c r="G4395" s="3">
        <f t="shared" si="204"/>
        <v>0</v>
      </c>
      <c r="H4395" s="4">
        <f t="shared" si="205"/>
        <v>0</v>
      </c>
      <c r="I4395" s="1">
        <f t="shared" si="206"/>
        <v>0</v>
      </c>
    </row>
    <row r="4396" spans="1:9" hidden="1" x14ac:dyDescent="0.2">
      <c r="A4396" s="6">
        <v>43889.75</v>
      </c>
      <c r="B4396" s="1" t="s">
        <v>24</v>
      </c>
      <c r="C4396">
        <v>0</v>
      </c>
      <c r="D4396">
        <v>0</v>
      </c>
      <c r="E4396">
        <v>0</v>
      </c>
      <c r="F4396">
        <v>0</v>
      </c>
      <c r="G4396" s="3">
        <f t="shared" si="204"/>
        <v>0</v>
      </c>
      <c r="H4396" s="4">
        <f t="shared" si="205"/>
        <v>0</v>
      </c>
      <c r="I4396" s="1">
        <f t="shared" si="206"/>
        <v>0</v>
      </c>
    </row>
    <row r="4397" spans="1:9" hidden="1" x14ac:dyDescent="0.2">
      <c r="A4397" s="6">
        <v>43890.708333333336</v>
      </c>
      <c r="B4397" s="1" t="s">
        <v>24</v>
      </c>
      <c r="C4397">
        <v>0</v>
      </c>
      <c r="D4397">
        <v>0</v>
      </c>
      <c r="E4397">
        <v>0</v>
      </c>
      <c r="F4397">
        <v>0</v>
      </c>
      <c r="G4397" s="3">
        <f t="shared" si="204"/>
        <v>0</v>
      </c>
      <c r="H4397" s="4">
        <f t="shared" si="205"/>
        <v>0</v>
      </c>
      <c r="I4397" s="1">
        <f t="shared" si="206"/>
        <v>0</v>
      </c>
    </row>
    <row r="4398" spans="1:9" hidden="1" x14ac:dyDescent="0.2">
      <c r="A4398" s="6">
        <v>43891.708333333336</v>
      </c>
      <c r="B4398" s="1" t="s">
        <v>24</v>
      </c>
      <c r="C4398">
        <v>0</v>
      </c>
      <c r="D4398">
        <v>0</v>
      </c>
      <c r="E4398">
        <v>0</v>
      </c>
      <c r="F4398">
        <v>0</v>
      </c>
      <c r="G4398" s="3">
        <f t="shared" si="204"/>
        <v>0</v>
      </c>
      <c r="H4398" s="4">
        <f t="shared" si="205"/>
        <v>0</v>
      </c>
      <c r="I4398" s="1">
        <f t="shared" si="206"/>
        <v>0</v>
      </c>
    </row>
    <row r="4399" spans="1:9" hidden="1" x14ac:dyDescent="0.2">
      <c r="A4399" s="6">
        <v>43892.75</v>
      </c>
      <c r="B4399" s="1" t="s">
        <v>24</v>
      </c>
      <c r="C4399">
        <v>0</v>
      </c>
      <c r="D4399">
        <v>0</v>
      </c>
      <c r="E4399">
        <v>0</v>
      </c>
      <c r="F4399">
        <v>0</v>
      </c>
      <c r="G4399" s="3">
        <f t="shared" si="204"/>
        <v>0</v>
      </c>
      <c r="H4399" s="4">
        <f t="shared" si="205"/>
        <v>0</v>
      </c>
      <c r="I4399" s="1">
        <f t="shared" si="206"/>
        <v>0</v>
      </c>
    </row>
    <row r="4400" spans="1:9" hidden="1" x14ac:dyDescent="0.2">
      <c r="A4400" s="6">
        <v>43893.75</v>
      </c>
      <c r="B4400" s="1" t="s">
        <v>24</v>
      </c>
      <c r="C4400">
        <v>0</v>
      </c>
      <c r="D4400">
        <v>0</v>
      </c>
      <c r="E4400">
        <v>0</v>
      </c>
      <c r="F4400">
        <v>0</v>
      </c>
      <c r="G4400" s="3">
        <f t="shared" si="204"/>
        <v>0</v>
      </c>
      <c r="H4400" s="4">
        <f t="shared" si="205"/>
        <v>0</v>
      </c>
      <c r="I4400" s="1">
        <f t="shared" si="206"/>
        <v>0</v>
      </c>
    </row>
    <row r="4401" spans="1:9" hidden="1" x14ac:dyDescent="0.2">
      <c r="A4401" s="6">
        <v>43894.708333333336</v>
      </c>
      <c r="B4401" s="1" t="s">
        <v>24</v>
      </c>
      <c r="C4401">
        <v>0</v>
      </c>
      <c r="D4401">
        <v>0</v>
      </c>
      <c r="E4401">
        <v>0</v>
      </c>
      <c r="F4401">
        <v>0</v>
      </c>
      <c r="G4401" s="3">
        <f t="shared" si="204"/>
        <v>0</v>
      </c>
      <c r="H4401" s="4">
        <f t="shared" si="205"/>
        <v>0</v>
      </c>
      <c r="I4401" s="1">
        <f t="shared" si="206"/>
        <v>0</v>
      </c>
    </row>
    <row r="4402" spans="1:9" hidden="1" x14ac:dyDescent="0.2">
      <c r="A4402" s="6">
        <v>43895.708333333336</v>
      </c>
      <c r="B4402" s="1" t="s">
        <v>24</v>
      </c>
      <c r="C4402">
        <v>0</v>
      </c>
      <c r="D4402">
        <v>0</v>
      </c>
      <c r="E4402">
        <v>0</v>
      </c>
      <c r="F4402">
        <v>2</v>
      </c>
      <c r="G4402" s="3">
        <f t="shared" si="204"/>
        <v>2</v>
      </c>
      <c r="H4402" s="4">
        <f t="shared" si="205"/>
        <v>0</v>
      </c>
      <c r="I4402" s="1">
        <f t="shared" si="206"/>
        <v>0</v>
      </c>
    </row>
    <row r="4403" spans="1:9" hidden="1" x14ac:dyDescent="0.2">
      <c r="A4403" s="6">
        <v>43896.708333333336</v>
      </c>
      <c r="B4403" s="1" t="s">
        <v>24</v>
      </c>
      <c r="C4403">
        <v>0</v>
      </c>
      <c r="D4403">
        <v>0</v>
      </c>
      <c r="E4403">
        <v>0</v>
      </c>
      <c r="F4403">
        <v>7</v>
      </c>
      <c r="G4403" s="3">
        <f t="shared" si="204"/>
        <v>5</v>
      </c>
      <c r="H4403" s="4">
        <f t="shared" si="205"/>
        <v>0.7142857142857143</v>
      </c>
      <c r="I4403" s="1">
        <f t="shared" si="206"/>
        <v>0</v>
      </c>
    </row>
    <row r="4404" spans="1:9" hidden="1" x14ac:dyDescent="0.2">
      <c r="A4404" s="6">
        <v>43897.75</v>
      </c>
      <c r="B4404" s="1" t="s">
        <v>24</v>
      </c>
      <c r="C4404">
        <v>1</v>
      </c>
      <c r="D4404">
        <v>0</v>
      </c>
      <c r="E4404">
        <v>0</v>
      </c>
      <c r="F4404">
        <v>8</v>
      </c>
      <c r="G4404" s="3">
        <f t="shared" si="204"/>
        <v>1</v>
      </c>
      <c r="H4404" s="4">
        <f t="shared" si="205"/>
        <v>0.125</v>
      </c>
      <c r="I4404" s="1">
        <f t="shared" si="206"/>
        <v>0</v>
      </c>
    </row>
    <row r="4405" spans="1:9" hidden="1" x14ac:dyDescent="0.2">
      <c r="A4405" s="6">
        <v>43898.75</v>
      </c>
      <c r="B4405" s="1" t="s">
        <v>24</v>
      </c>
      <c r="C4405">
        <v>1</v>
      </c>
      <c r="D4405">
        <v>0</v>
      </c>
      <c r="E4405">
        <v>0</v>
      </c>
      <c r="F4405">
        <v>9</v>
      </c>
      <c r="G4405" s="3">
        <f t="shared" si="204"/>
        <v>1</v>
      </c>
      <c r="H4405" s="4">
        <f t="shared" si="205"/>
        <v>0.11111111111111116</v>
      </c>
      <c r="I4405" s="1">
        <f t="shared" si="206"/>
        <v>0</v>
      </c>
    </row>
    <row r="4406" spans="1:9" hidden="1" x14ac:dyDescent="0.2">
      <c r="A4406" s="6">
        <v>43899.75</v>
      </c>
      <c r="B4406" s="1" t="s">
        <v>24</v>
      </c>
      <c r="C4406">
        <v>4</v>
      </c>
      <c r="D4406">
        <v>0</v>
      </c>
      <c r="E4406">
        <v>0</v>
      </c>
      <c r="F4406">
        <v>15</v>
      </c>
      <c r="G4406" s="3">
        <f t="shared" si="204"/>
        <v>6</v>
      </c>
      <c r="H4406" s="4">
        <f t="shared" si="205"/>
        <v>0.4</v>
      </c>
      <c r="I4406" s="1">
        <f t="shared" si="206"/>
        <v>0</v>
      </c>
    </row>
    <row r="4407" spans="1:9" hidden="1" x14ac:dyDescent="0.2">
      <c r="A4407" s="6">
        <v>43900.75</v>
      </c>
      <c r="B4407" s="1" t="s">
        <v>24</v>
      </c>
      <c r="C4407">
        <v>2</v>
      </c>
      <c r="D4407">
        <v>0</v>
      </c>
      <c r="E4407">
        <v>0</v>
      </c>
      <c r="F4407">
        <v>17</v>
      </c>
      <c r="G4407" s="3">
        <f t="shared" si="204"/>
        <v>2</v>
      </c>
      <c r="H4407" s="4">
        <f t="shared" si="205"/>
        <v>0.11764705882352944</v>
      </c>
      <c r="I4407" s="1">
        <f t="shared" si="206"/>
        <v>0</v>
      </c>
    </row>
    <row r="4408" spans="1:9" hidden="1" x14ac:dyDescent="0.2">
      <c r="A4408" s="6">
        <v>43901.708333333336</v>
      </c>
      <c r="B4408" s="1" t="s">
        <v>24</v>
      </c>
      <c r="C4408">
        <v>2</v>
      </c>
      <c r="D4408">
        <v>0</v>
      </c>
      <c r="E4408">
        <v>1</v>
      </c>
      <c r="F4408">
        <v>20</v>
      </c>
      <c r="G4408" s="3">
        <f t="shared" si="204"/>
        <v>3</v>
      </c>
      <c r="H4408" s="4">
        <f t="shared" si="205"/>
        <v>0.15000000000000002</v>
      </c>
      <c r="I4408" s="1">
        <f t="shared" si="206"/>
        <v>1</v>
      </c>
    </row>
    <row r="4409" spans="1:9" hidden="1" x14ac:dyDescent="0.2">
      <c r="A4409" s="6">
        <v>43902.708333333336</v>
      </c>
      <c r="B4409" s="1" t="s">
        <v>24</v>
      </c>
      <c r="C4409">
        <v>7</v>
      </c>
      <c r="D4409">
        <v>0</v>
      </c>
      <c r="E4409">
        <v>1</v>
      </c>
      <c r="F4409">
        <v>27</v>
      </c>
      <c r="G4409" s="3">
        <f t="shared" si="204"/>
        <v>7</v>
      </c>
      <c r="H4409" s="4">
        <f t="shared" si="205"/>
        <v>0.2592592592592593</v>
      </c>
      <c r="I4409" s="1">
        <f t="shared" si="206"/>
        <v>0</v>
      </c>
    </row>
    <row r="4410" spans="1:9" hidden="1" x14ac:dyDescent="0.2">
      <c r="A4410" s="6">
        <v>43903.708333333336</v>
      </c>
      <c r="B4410" s="1" t="s">
        <v>24</v>
      </c>
      <c r="C4410">
        <v>6</v>
      </c>
      <c r="D4410">
        <v>0</v>
      </c>
      <c r="E4410">
        <v>1</v>
      </c>
      <c r="F4410">
        <v>28</v>
      </c>
      <c r="G4410" s="3">
        <f t="shared" si="204"/>
        <v>1</v>
      </c>
      <c r="H4410" s="4">
        <f t="shared" si="205"/>
        <v>3.5714285714285698E-2</v>
      </c>
      <c r="I4410" s="1">
        <f t="shared" si="206"/>
        <v>0</v>
      </c>
    </row>
    <row r="4411" spans="1:9" hidden="1" x14ac:dyDescent="0.2">
      <c r="A4411" s="6">
        <v>43904.708333333336</v>
      </c>
      <c r="B4411" s="1" t="s">
        <v>24</v>
      </c>
      <c r="C4411">
        <v>12</v>
      </c>
      <c r="D4411">
        <v>0</v>
      </c>
      <c r="E4411">
        <v>1</v>
      </c>
      <c r="F4411">
        <v>42</v>
      </c>
      <c r="G4411" s="3">
        <f t="shared" si="204"/>
        <v>14</v>
      </c>
      <c r="H4411" s="4">
        <f t="shared" si="205"/>
        <v>0.33333333333333337</v>
      </c>
      <c r="I4411" s="1">
        <f t="shared" si="206"/>
        <v>0</v>
      </c>
    </row>
    <row r="4412" spans="1:9" hidden="1" x14ac:dyDescent="0.2">
      <c r="A4412" s="6">
        <v>43905.708333333336</v>
      </c>
      <c r="B4412" s="1" t="s">
        <v>24</v>
      </c>
      <c r="C4412">
        <v>10</v>
      </c>
      <c r="D4412">
        <v>3</v>
      </c>
      <c r="E4412">
        <v>1</v>
      </c>
      <c r="F4412">
        <v>57</v>
      </c>
      <c r="G4412" s="3">
        <f t="shared" si="204"/>
        <v>15</v>
      </c>
      <c r="H4412" s="4">
        <f t="shared" si="205"/>
        <v>0.26315789473684215</v>
      </c>
      <c r="I4412" s="1">
        <f t="shared" si="206"/>
        <v>0</v>
      </c>
    </row>
    <row r="4413" spans="1:9" hidden="1" x14ac:dyDescent="0.2">
      <c r="A4413" s="6">
        <v>43906.708333333336</v>
      </c>
      <c r="B4413" s="1" t="s">
        <v>24</v>
      </c>
      <c r="C4413">
        <v>28</v>
      </c>
      <c r="D4413">
        <v>5</v>
      </c>
      <c r="E4413">
        <v>2</v>
      </c>
      <c r="F4413">
        <v>105</v>
      </c>
      <c r="G4413" s="3">
        <f t="shared" si="204"/>
        <v>48</v>
      </c>
      <c r="H4413" s="4">
        <f t="shared" si="205"/>
        <v>0.45714285714285718</v>
      </c>
      <c r="I4413" s="1">
        <f t="shared" si="206"/>
        <v>1</v>
      </c>
    </row>
    <row r="4414" spans="1:9" hidden="1" x14ac:dyDescent="0.2">
      <c r="A4414" s="6">
        <v>43907.708333333336</v>
      </c>
      <c r="B4414" s="1" t="s">
        <v>24</v>
      </c>
      <c r="C4414">
        <v>35</v>
      </c>
      <c r="D4414">
        <v>6</v>
      </c>
      <c r="E4414">
        <v>2</v>
      </c>
      <c r="F4414">
        <v>136</v>
      </c>
      <c r="G4414" s="3">
        <f t="shared" si="204"/>
        <v>31</v>
      </c>
      <c r="H4414" s="4">
        <f t="shared" si="205"/>
        <v>0.2279411764705882</v>
      </c>
      <c r="I4414" s="1">
        <f t="shared" si="206"/>
        <v>0</v>
      </c>
    </row>
    <row r="4415" spans="1:9" hidden="1" x14ac:dyDescent="0.2">
      <c r="A4415" s="6">
        <v>43908.708333333336</v>
      </c>
      <c r="B4415" s="1" t="s">
        <v>24</v>
      </c>
      <c r="C4415">
        <v>41</v>
      </c>
      <c r="D4415">
        <v>3</v>
      </c>
      <c r="E4415">
        <v>3</v>
      </c>
      <c r="F4415">
        <v>165</v>
      </c>
      <c r="G4415" s="3">
        <f t="shared" si="204"/>
        <v>29</v>
      </c>
      <c r="H4415" s="4">
        <f t="shared" si="205"/>
        <v>0.17575757575757578</v>
      </c>
      <c r="I4415" s="1">
        <f t="shared" si="206"/>
        <v>1</v>
      </c>
    </row>
    <row r="4416" spans="1:9" hidden="1" x14ac:dyDescent="0.2">
      <c r="A4416" s="6">
        <v>43909.708333333336</v>
      </c>
      <c r="B4416" s="1" t="s">
        <v>24</v>
      </c>
      <c r="C4416">
        <v>47</v>
      </c>
      <c r="D4416">
        <v>9</v>
      </c>
      <c r="E4416">
        <v>6</v>
      </c>
      <c r="F4416">
        <v>215</v>
      </c>
      <c r="G4416" s="3">
        <f t="shared" si="204"/>
        <v>50</v>
      </c>
      <c r="H4416" s="4">
        <f t="shared" si="205"/>
        <v>0.23255813953488369</v>
      </c>
      <c r="I4416" s="1">
        <f t="shared" si="206"/>
        <v>3</v>
      </c>
    </row>
    <row r="4417" spans="1:9" hidden="1" x14ac:dyDescent="0.2">
      <c r="A4417" s="6">
        <v>43910.708333333336</v>
      </c>
      <c r="B4417" s="1" t="s">
        <v>24</v>
      </c>
      <c r="C4417">
        <v>54</v>
      </c>
      <c r="D4417">
        <v>9</v>
      </c>
      <c r="E4417">
        <v>7</v>
      </c>
      <c r="F4417">
        <v>264</v>
      </c>
      <c r="G4417" s="3">
        <f t="shared" si="204"/>
        <v>49</v>
      </c>
      <c r="H4417" s="4">
        <f t="shared" si="205"/>
        <v>0.18560606060606055</v>
      </c>
      <c r="I4417" s="1">
        <f t="shared" si="206"/>
        <v>1</v>
      </c>
    </row>
    <row r="4418" spans="1:9" hidden="1" x14ac:dyDescent="0.2">
      <c r="A4418" s="6">
        <v>43911.708333333336</v>
      </c>
      <c r="B4418" s="1" t="s">
        <v>24</v>
      </c>
      <c r="C4418">
        <v>62</v>
      </c>
      <c r="D4418">
        <v>15</v>
      </c>
      <c r="E4418">
        <v>8</v>
      </c>
      <c r="F4418">
        <v>313</v>
      </c>
      <c r="G4418" s="3">
        <f t="shared" si="204"/>
        <v>49</v>
      </c>
      <c r="H4418" s="4">
        <f t="shared" si="205"/>
        <v>0.1565495207667732</v>
      </c>
      <c r="I4418" s="1">
        <f t="shared" si="206"/>
        <v>1</v>
      </c>
    </row>
    <row r="4419" spans="1:9" hidden="1" x14ac:dyDescent="0.2">
      <c r="A4419" s="6">
        <v>43912.708333333336</v>
      </c>
      <c r="B4419" s="1" t="s">
        <v>24</v>
      </c>
      <c r="C4419">
        <v>63</v>
      </c>
      <c r="D4419">
        <v>21</v>
      </c>
      <c r="E4419">
        <v>9</v>
      </c>
      <c r="F4419">
        <v>364</v>
      </c>
      <c r="G4419" s="3">
        <f t="shared" ref="G4419:G4482" si="207">IF(AND(F4419&gt;0,AND(B4419=B4418,F4419&gt;0)),F4419-F4418,0)</f>
        <v>51</v>
      </c>
      <c r="H4419" s="4">
        <f t="shared" ref="H4419:H4482" si="208">IF(AND(F4418&gt;0,AND(B4419=B4418,F4418&gt;0)),1-(F4418/F4419),0)</f>
        <v>0.14010989010989006</v>
      </c>
      <c r="I4419" s="1">
        <f t="shared" ref="I4419:I4482" si="209">IF(AND(E4419&gt;0,AND(B4419=B4418,E4419&gt;0)),E4419-E4418,0)</f>
        <v>1</v>
      </c>
    </row>
    <row r="4420" spans="1:9" hidden="1" x14ac:dyDescent="0.2">
      <c r="A4420" s="6">
        <v>43913.708333333336</v>
      </c>
      <c r="B4420" s="1" t="s">
        <v>24</v>
      </c>
      <c r="C4420">
        <v>69</v>
      </c>
      <c r="D4420">
        <v>20</v>
      </c>
      <c r="E4420">
        <v>12</v>
      </c>
      <c r="F4420">
        <v>393</v>
      </c>
      <c r="G4420" s="3">
        <f t="shared" si="207"/>
        <v>29</v>
      </c>
      <c r="H4420" s="4">
        <f t="shared" si="208"/>
        <v>7.3791348600508955E-2</v>
      </c>
      <c r="I4420" s="1">
        <f t="shared" si="209"/>
        <v>3</v>
      </c>
    </row>
    <row r="4421" spans="1:9" hidden="1" x14ac:dyDescent="0.2">
      <c r="A4421" s="6">
        <v>43914.708333333336</v>
      </c>
      <c r="B4421" s="1" t="s">
        <v>24</v>
      </c>
      <c r="C4421">
        <v>71</v>
      </c>
      <c r="D4421">
        <v>20</v>
      </c>
      <c r="E4421">
        <v>19</v>
      </c>
      <c r="F4421">
        <v>400</v>
      </c>
      <c r="G4421" s="3">
        <f t="shared" si="207"/>
        <v>7</v>
      </c>
      <c r="H4421" s="4">
        <f t="shared" si="208"/>
        <v>1.749999999999996E-2</v>
      </c>
      <c r="I4421" s="1">
        <f t="shared" si="209"/>
        <v>7</v>
      </c>
    </row>
    <row r="4422" spans="1:9" hidden="1" x14ac:dyDescent="0.2">
      <c r="A4422" s="6">
        <v>43915.708333333336</v>
      </c>
      <c r="B4422" s="1" t="s">
        <v>24</v>
      </c>
      <c r="C4422">
        <v>70</v>
      </c>
      <c r="D4422">
        <v>25</v>
      </c>
      <c r="E4422">
        <v>24</v>
      </c>
      <c r="F4422">
        <v>401</v>
      </c>
      <c r="G4422" s="3">
        <f t="shared" si="207"/>
        <v>1</v>
      </c>
      <c r="H4422" s="4">
        <f t="shared" si="208"/>
        <v>2.4937655860348684E-3</v>
      </c>
      <c r="I4422" s="1">
        <f t="shared" si="209"/>
        <v>5</v>
      </c>
    </row>
    <row r="4423" spans="1:9" hidden="1" x14ac:dyDescent="0.2">
      <c r="A4423" s="6">
        <v>43916.708333333336</v>
      </c>
      <c r="B4423" s="1" t="s">
        <v>24</v>
      </c>
      <c r="C4423">
        <v>73</v>
      </c>
      <c r="D4423">
        <v>24</v>
      </c>
      <c r="E4423">
        <v>28</v>
      </c>
      <c r="F4423">
        <v>408</v>
      </c>
      <c r="G4423" s="3">
        <f t="shared" si="207"/>
        <v>7</v>
      </c>
      <c r="H4423" s="4">
        <f t="shared" si="208"/>
        <v>1.7156862745098089E-2</v>
      </c>
      <c r="I4423" s="1">
        <f t="shared" si="209"/>
        <v>4</v>
      </c>
    </row>
    <row r="4424" spans="1:9" hidden="1" x14ac:dyDescent="0.2">
      <c r="A4424" s="6">
        <v>43917.708333333336</v>
      </c>
      <c r="B4424" s="1" t="s">
        <v>24</v>
      </c>
      <c r="C4424">
        <v>91</v>
      </c>
      <c r="D4424">
        <v>24</v>
      </c>
      <c r="E4424">
        <v>37</v>
      </c>
      <c r="F4424">
        <v>452</v>
      </c>
      <c r="G4424" s="3">
        <f t="shared" si="207"/>
        <v>44</v>
      </c>
      <c r="H4424" s="4">
        <f t="shared" si="208"/>
        <v>9.7345132743362872E-2</v>
      </c>
      <c r="I4424" s="1">
        <f t="shared" si="209"/>
        <v>9</v>
      </c>
    </row>
    <row r="4425" spans="1:9" hidden="1" x14ac:dyDescent="0.2">
      <c r="A4425" s="6">
        <v>43918.708333333336</v>
      </c>
      <c r="B4425" s="1" t="s">
        <v>24</v>
      </c>
      <c r="C4425">
        <v>90</v>
      </c>
      <c r="D4425">
        <v>26</v>
      </c>
      <c r="E4425">
        <v>41</v>
      </c>
      <c r="F4425">
        <v>511</v>
      </c>
      <c r="G4425" s="3">
        <f t="shared" si="207"/>
        <v>59</v>
      </c>
      <c r="H4425" s="4">
        <f t="shared" si="208"/>
        <v>0.1154598825831703</v>
      </c>
      <c r="I4425" s="1">
        <f t="shared" si="209"/>
        <v>4</v>
      </c>
    </row>
    <row r="4426" spans="1:9" hidden="1" x14ac:dyDescent="0.2">
      <c r="A4426" s="6">
        <v>43919.708333333336</v>
      </c>
      <c r="B4426" s="1" t="s">
        <v>24</v>
      </c>
      <c r="C4426">
        <v>90</v>
      </c>
      <c r="D4426">
        <v>26</v>
      </c>
      <c r="E4426">
        <v>43</v>
      </c>
      <c r="F4426">
        <v>584</v>
      </c>
      <c r="G4426" s="3">
        <f t="shared" si="207"/>
        <v>73</v>
      </c>
      <c r="H4426" s="4">
        <f t="shared" si="208"/>
        <v>0.125</v>
      </c>
      <c r="I4426" s="1">
        <f t="shared" si="209"/>
        <v>2</v>
      </c>
    </row>
    <row r="4427" spans="1:9" hidden="1" x14ac:dyDescent="0.2">
      <c r="A4427" s="6">
        <v>43920.708333333336</v>
      </c>
      <c r="B4427" s="1" t="s">
        <v>24</v>
      </c>
      <c r="C4427">
        <v>92</v>
      </c>
      <c r="D4427">
        <v>26</v>
      </c>
      <c r="E4427">
        <v>50</v>
      </c>
      <c r="F4427">
        <v>584</v>
      </c>
      <c r="G4427" s="3">
        <f t="shared" si="207"/>
        <v>0</v>
      </c>
      <c r="H4427" s="4">
        <f t="shared" si="208"/>
        <v>0</v>
      </c>
      <c r="I4427" s="1">
        <f t="shared" si="209"/>
        <v>7</v>
      </c>
    </row>
    <row r="4428" spans="1:9" hidden="1" x14ac:dyDescent="0.2">
      <c r="A4428" s="6">
        <v>43921.708333333336</v>
      </c>
      <c r="B4428" s="1" t="s">
        <v>24</v>
      </c>
      <c r="C4428">
        <v>91</v>
      </c>
      <c r="D4428">
        <v>26</v>
      </c>
      <c r="E4428">
        <v>56</v>
      </c>
      <c r="F4428">
        <v>628</v>
      </c>
      <c r="G4428" s="3">
        <f t="shared" si="207"/>
        <v>44</v>
      </c>
      <c r="H4428" s="4">
        <f t="shared" si="208"/>
        <v>7.0063694267515908E-2</v>
      </c>
      <c r="I4428" s="1">
        <f t="shared" si="209"/>
        <v>6</v>
      </c>
    </row>
    <row r="4429" spans="1:9" hidden="1" x14ac:dyDescent="0.2">
      <c r="A4429" s="6">
        <v>43922.708333333336</v>
      </c>
      <c r="B4429" s="1" t="s">
        <v>24</v>
      </c>
      <c r="C4429">
        <v>85</v>
      </c>
      <c r="D4429">
        <v>27</v>
      </c>
      <c r="E4429">
        <v>59</v>
      </c>
      <c r="F4429">
        <v>631</v>
      </c>
      <c r="G4429" s="3">
        <f t="shared" si="207"/>
        <v>3</v>
      </c>
      <c r="H4429" s="4">
        <f t="shared" si="208"/>
        <v>4.7543581616481534E-3</v>
      </c>
      <c r="I4429" s="1">
        <f t="shared" si="209"/>
        <v>3</v>
      </c>
    </row>
    <row r="4430" spans="1:9" hidden="1" x14ac:dyDescent="0.2">
      <c r="A4430" s="6">
        <v>43923.708333333336</v>
      </c>
      <c r="B4430" s="1" t="s">
        <v>24</v>
      </c>
      <c r="C4430">
        <v>85</v>
      </c>
      <c r="D4430">
        <v>25</v>
      </c>
      <c r="E4430">
        <v>63</v>
      </c>
      <c r="F4430">
        <v>668</v>
      </c>
      <c r="G4430" s="3">
        <f t="shared" si="207"/>
        <v>37</v>
      </c>
      <c r="H4430" s="4">
        <f t="shared" si="208"/>
        <v>5.5389221556886192E-2</v>
      </c>
      <c r="I4430" s="1">
        <f t="shared" si="209"/>
        <v>4</v>
      </c>
    </row>
    <row r="4431" spans="1:9" hidden="1" x14ac:dyDescent="0.2">
      <c r="A4431" s="6">
        <v>43924.708333333336</v>
      </c>
      <c r="B4431" s="1" t="s">
        <v>24</v>
      </c>
      <c r="C4431">
        <v>85</v>
      </c>
      <c r="D4431">
        <v>25</v>
      </c>
      <c r="E4431">
        <v>70</v>
      </c>
      <c r="F4431">
        <v>719</v>
      </c>
      <c r="G4431" s="3">
        <f t="shared" si="207"/>
        <v>51</v>
      </c>
      <c r="H4431" s="4">
        <f t="shared" si="208"/>
        <v>7.09318497913769E-2</v>
      </c>
      <c r="I4431" s="1">
        <f t="shared" si="209"/>
        <v>7</v>
      </c>
    </row>
    <row r="4432" spans="1:9" hidden="1" x14ac:dyDescent="0.2">
      <c r="A4432" s="6">
        <v>43925.708333333336</v>
      </c>
      <c r="B4432" s="1" t="s">
        <v>24</v>
      </c>
      <c r="C4432">
        <v>63</v>
      </c>
      <c r="D4432">
        <v>23</v>
      </c>
      <c r="E4432">
        <v>82</v>
      </c>
      <c r="F4432">
        <v>748</v>
      </c>
      <c r="G4432" s="3">
        <f t="shared" si="207"/>
        <v>29</v>
      </c>
      <c r="H4432" s="4">
        <f t="shared" si="208"/>
        <v>3.8770053475935873E-2</v>
      </c>
      <c r="I4432" s="1">
        <f t="shared" si="209"/>
        <v>12</v>
      </c>
    </row>
    <row r="4433" spans="1:9" hidden="1" x14ac:dyDescent="0.2">
      <c r="A4433" s="6">
        <v>43926.708333333336</v>
      </c>
      <c r="B4433" s="1" t="s">
        <v>24</v>
      </c>
      <c r="C4433">
        <v>96</v>
      </c>
      <c r="D4433">
        <v>23</v>
      </c>
      <c r="E4433">
        <v>91</v>
      </c>
      <c r="F4433">
        <v>782</v>
      </c>
      <c r="G4433" s="3">
        <f t="shared" si="207"/>
        <v>34</v>
      </c>
      <c r="H4433" s="4">
        <f t="shared" si="208"/>
        <v>4.3478260869565188E-2</v>
      </c>
      <c r="I4433" s="1">
        <f t="shared" si="209"/>
        <v>9</v>
      </c>
    </row>
    <row r="4434" spans="1:9" hidden="1" x14ac:dyDescent="0.2">
      <c r="A4434" s="6">
        <v>43927.708333333336</v>
      </c>
      <c r="B4434" s="1" t="s">
        <v>24</v>
      </c>
      <c r="C4434">
        <v>109</v>
      </c>
      <c r="D4434">
        <v>21</v>
      </c>
      <c r="E4434">
        <v>96</v>
      </c>
      <c r="F4434">
        <v>805</v>
      </c>
      <c r="G4434" s="3">
        <f t="shared" si="207"/>
        <v>23</v>
      </c>
      <c r="H4434" s="4">
        <f t="shared" si="208"/>
        <v>2.8571428571428581E-2</v>
      </c>
      <c r="I4434" s="1">
        <f t="shared" si="209"/>
        <v>5</v>
      </c>
    </row>
    <row r="4435" spans="1:9" hidden="1" x14ac:dyDescent="0.2">
      <c r="A4435" s="6">
        <v>43928.708333333336</v>
      </c>
      <c r="B4435" s="1" t="s">
        <v>24</v>
      </c>
      <c r="C4435">
        <v>118</v>
      </c>
      <c r="D4435">
        <v>17</v>
      </c>
      <c r="E4435">
        <v>100</v>
      </c>
      <c r="F4435">
        <v>835</v>
      </c>
      <c r="G4435" s="3">
        <f t="shared" si="207"/>
        <v>30</v>
      </c>
      <c r="H4435" s="4">
        <f t="shared" si="208"/>
        <v>3.59281437125748E-2</v>
      </c>
      <c r="I4435" s="1">
        <f t="shared" si="209"/>
        <v>4</v>
      </c>
    </row>
    <row r="4436" spans="1:9" hidden="1" x14ac:dyDescent="0.2">
      <c r="A4436" s="6">
        <v>43929.708333333336</v>
      </c>
      <c r="B4436" s="1" t="s">
        <v>24</v>
      </c>
      <c r="C4436">
        <v>120</v>
      </c>
      <c r="D4436">
        <v>20</v>
      </c>
      <c r="E4436">
        <v>102</v>
      </c>
      <c r="F4436">
        <v>850</v>
      </c>
      <c r="G4436" s="3">
        <f t="shared" si="207"/>
        <v>15</v>
      </c>
      <c r="H4436" s="4">
        <f t="shared" si="208"/>
        <v>1.764705882352946E-2</v>
      </c>
      <c r="I4436" s="1">
        <f t="shared" si="209"/>
        <v>2</v>
      </c>
    </row>
    <row r="4437" spans="1:9" hidden="1" x14ac:dyDescent="0.2">
      <c r="A4437" s="6">
        <v>43930.708333333336</v>
      </c>
      <c r="B4437" s="1" t="s">
        <v>24</v>
      </c>
      <c r="C4437">
        <v>118</v>
      </c>
      <c r="D4437">
        <v>18</v>
      </c>
      <c r="E4437">
        <v>105</v>
      </c>
      <c r="F4437">
        <v>868</v>
      </c>
      <c r="G4437" s="3">
        <f t="shared" si="207"/>
        <v>18</v>
      </c>
      <c r="H4437" s="4">
        <f t="shared" si="208"/>
        <v>2.0737327188940058E-2</v>
      </c>
      <c r="I4437" s="1">
        <f t="shared" si="209"/>
        <v>3</v>
      </c>
    </row>
    <row r="4438" spans="1:9" hidden="1" x14ac:dyDescent="0.2">
      <c r="A4438" s="6">
        <v>43931.708333333336</v>
      </c>
      <c r="B4438" s="1" t="s">
        <v>24</v>
      </c>
      <c r="C4438">
        <v>131</v>
      </c>
      <c r="D4438">
        <v>16</v>
      </c>
      <c r="E4438">
        <v>107</v>
      </c>
      <c r="F4438">
        <v>879</v>
      </c>
      <c r="G4438" s="3">
        <f t="shared" si="207"/>
        <v>11</v>
      </c>
      <c r="H4438" s="4">
        <f t="shared" si="208"/>
        <v>1.2514220705347023E-2</v>
      </c>
      <c r="I4438" s="1">
        <f t="shared" si="209"/>
        <v>2</v>
      </c>
    </row>
    <row r="4439" spans="1:9" hidden="1" x14ac:dyDescent="0.2">
      <c r="A4439" s="6">
        <v>43932.708333333336</v>
      </c>
      <c r="B4439" s="1" t="s">
        <v>24</v>
      </c>
      <c r="C4439">
        <v>118</v>
      </c>
      <c r="D4439">
        <v>17</v>
      </c>
      <c r="E4439">
        <v>107</v>
      </c>
      <c r="F4439">
        <v>902</v>
      </c>
      <c r="G4439" s="3">
        <f t="shared" si="207"/>
        <v>23</v>
      </c>
      <c r="H4439" s="4">
        <f t="shared" si="208"/>
        <v>2.5498891352549902E-2</v>
      </c>
      <c r="I4439" s="1">
        <f t="shared" si="209"/>
        <v>0</v>
      </c>
    </row>
    <row r="4440" spans="1:9" hidden="1" x14ac:dyDescent="0.2">
      <c r="A4440" s="6">
        <v>43933.708333333336</v>
      </c>
      <c r="B4440" s="1" t="s">
        <v>24</v>
      </c>
      <c r="C4440">
        <v>109</v>
      </c>
      <c r="D4440">
        <v>16</v>
      </c>
      <c r="E4440">
        <v>112</v>
      </c>
      <c r="F4440">
        <v>921</v>
      </c>
      <c r="G4440" s="3">
        <f t="shared" si="207"/>
        <v>19</v>
      </c>
      <c r="H4440" s="4">
        <f t="shared" si="208"/>
        <v>2.0629750271444092E-2</v>
      </c>
      <c r="I4440" s="1">
        <f t="shared" si="209"/>
        <v>5</v>
      </c>
    </row>
    <row r="4441" spans="1:9" hidden="1" x14ac:dyDescent="0.2">
      <c r="A4441" s="6">
        <v>43934.708333333336</v>
      </c>
      <c r="B4441" s="1" t="s">
        <v>24</v>
      </c>
      <c r="C4441">
        <v>109</v>
      </c>
      <c r="D4441">
        <v>15</v>
      </c>
      <c r="E4441">
        <v>115</v>
      </c>
      <c r="F4441">
        <v>927</v>
      </c>
      <c r="G4441" s="3">
        <f t="shared" si="207"/>
        <v>6</v>
      </c>
      <c r="H4441" s="4">
        <f t="shared" si="208"/>
        <v>6.4724919093851474E-3</v>
      </c>
      <c r="I4441" s="1">
        <f t="shared" si="209"/>
        <v>3</v>
      </c>
    </row>
    <row r="4442" spans="1:9" hidden="1" x14ac:dyDescent="0.2">
      <c r="A4442" s="6">
        <v>43935.708333333336</v>
      </c>
      <c r="B4442" s="1" t="s">
        <v>24</v>
      </c>
      <c r="C4442">
        <v>112</v>
      </c>
      <c r="D4442">
        <v>14</v>
      </c>
      <c r="E4442">
        <v>118</v>
      </c>
      <c r="F4442">
        <v>947</v>
      </c>
      <c r="G4442" s="3">
        <f t="shared" si="207"/>
        <v>20</v>
      </c>
      <c r="H4442" s="4">
        <f t="shared" si="208"/>
        <v>2.1119324181626209E-2</v>
      </c>
      <c r="I4442" s="1">
        <f t="shared" si="209"/>
        <v>3</v>
      </c>
    </row>
    <row r="4443" spans="1:9" hidden="1" x14ac:dyDescent="0.2">
      <c r="A4443" s="6">
        <v>43936.708333333336</v>
      </c>
      <c r="B4443" s="1" t="s">
        <v>24</v>
      </c>
      <c r="C4443">
        <v>112</v>
      </c>
      <c r="D4443">
        <v>11</v>
      </c>
      <c r="E4443">
        <v>121</v>
      </c>
      <c r="F4443">
        <v>958</v>
      </c>
      <c r="G4443" s="3">
        <f t="shared" si="207"/>
        <v>11</v>
      </c>
      <c r="H4443" s="4">
        <f t="shared" si="208"/>
        <v>1.1482254697286032E-2</v>
      </c>
      <c r="I4443" s="1">
        <f t="shared" si="209"/>
        <v>3</v>
      </c>
    </row>
    <row r="4444" spans="1:9" hidden="1" x14ac:dyDescent="0.2">
      <c r="A4444" s="6">
        <v>43937.708333333336</v>
      </c>
      <c r="B4444" s="1" t="s">
        <v>24</v>
      </c>
      <c r="C4444">
        <v>105</v>
      </c>
      <c r="D4444">
        <v>12</v>
      </c>
      <c r="E4444">
        <v>122</v>
      </c>
      <c r="F4444">
        <v>971</v>
      </c>
      <c r="G4444" s="3">
        <f t="shared" si="207"/>
        <v>13</v>
      </c>
      <c r="H4444" s="4">
        <f t="shared" si="208"/>
        <v>1.3388259526261548E-2</v>
      </c>
      <c r="I4444" s="1">
        <f t="shared" si="209"/>
        <v>1</v>
      </c>
    </row>
    <row r="4445" spans="1:9" hidden="1" x14ac:dyDescent="0.2">
      <c r="A4445" s="6">
        <v>43938.708333333336</v>
      </c>
      <c r="B4445" s="1" t="s">
        <v>24</v>
      </c>
      <c r="C4445">
        <v>108</v>
      </c>
      <c r="D4445">
        <v>9</v>
      </c>
      <c r="E4445">
        <v>123</v>
      </c>
      <c r="F4445">
        <v>993</v>
      </c>
      <c r="G4445" s="3">
        <f t="shared" si="207"/>
        <v>22</v>
      </c>
      <c r="H4445" s="4">
        <f t="shared" si="208"/>
        <v>2.2155085599194324E-2</v>
      </c>
      <c r="I4445" s="1">
        <f t="shared" si="209"/>
        <v>1</v>
      </c>
    </row>
    <row r="4446" spans="1:9" hidden="1" x14ac:dyDescent="0.2">
      <c r="A4446" s="6">
        <v>43939.708333333336</v>
      </c>
      <c r="B4446" s="1" t="s">
        <v>24</v>
      </c>
      <c r="C4446">
        <v>107</v>
      </c>
      <c r="D4446">
        <v>10</v>
      </c>
      <c r="E4446">
        <v>124</v>
      </c>
      <c r="F4446">
        <v>1073</v>
      </c>
      <c r="G4446" s="3">
        <f t="shared" si="207"/>
        <v>80</v>
      </c>
      <c r="H4446" s="4">
        <f t="shared" si="208"/>
        <v>7.4557315936626289E-2</v>
      </c>
      <c r="I4446" s="1">
        <f t="shared" si="209"/>
        <v>1</v>
      </c>
    </row>
    <row r="4447" spans="1:9" hidden="1" x14ac:dyDescent="0.2">
      <c r="A4447" s="6">
        <v>43940.708333333336</v>
      </c>
      <c r="B4447" s="1" t="s">
        <v>24</v>
      </c>
      <c r="C4447">
        <v>102</v>
      </c>
      <c r="D4447">
        <v>10</v>
      </c>
      <c r="E4447">
        <v>125</v>
      </c>
      <c r="F4447">
        <v>1088</v>
      </c>
      <c r="G4447" s="3">
        <f t="shared" si="207"/>
        <v>15</v>
      </c>
      <c r="H4447" s="4">
        <f t="shared" si="208"/>
        <v>1.3786764705882359E-2</v>
      </c>
      <c r="I4447" s="1">
        <f t="shared" si="209"/>
        <v>1</v>
      </c>
    </row>
    <row r="4448" spans="1:9" hidden="1" x14ac:dyDescent="0.2">
      <c r="A4448" s="6">
        <v>43941.708333333336</v>
      </c>
      <c r="B4448" s="1" t="s">
        <v>24</v>
      </c>
      <c r="C4448">
        <v>102</v>
      </c>
      <c r="D4448">
        <v>8</v>
      </c>
      <c r="E4448">
        <v>127</v>
      </c>
      <c r="F4448">
        <v>1088</v>
      </c>
      <c r="G4448" s="3">
        <f t="shared" si="207"/>
        <v>0</v>
      </c>
      <c r="H4448" s="4">
        <f t="shared" si="208"/>
        <v>0</v>
      </c>
      <c r="I4448" s="1">
        <f t="shared" si="209"/>
        <v>2</v>
      </c>
    </row>
    <row r="4449" spans="1:9" hidden="1" x14ac:dyDescent="0.2">
      <c r="A4449" s="6">
        <v>43942.708333333336</v>
      </c>
      <c r="B4449" s="1" t="s">
        <v>24</v>
      </c>
      <c r="C4449">
        <v>99</v>
      </c>
      <c r="D4449">
        <v>8</v>
      </c>
      <c r="E4449">
        <v>126</v>
      </c>
      <c r="F4449">
        <v>1093</v>
      </c>
      <c r="G4449" s="3">
        <f t="shared" si="207"/>
        <v>5</v>
      </c>
      <c r="H4449" s="4">
        <f t="shared" si="208"/>
        <v>4.5745654162854255E-3</v>
      </c>
      <c r="I4449" s="1">
        <f t="shared" si="209"/>
        <v>-1</v>
      </c>
    </row>
    <row r="4450" spans="1:9" hidden="1" x14ac:dyDescent="0.2">
      <c r="A4450" s="6">
        <v>43943.708333333336</v>
      </c>
      <c r="B4450" s="1" t="s">
        <v>24</v>
      </c>
      <c r="C4450">
        <v>92</v>
      </c>
      <c r="D4450">
        <v>8</v>
      </c>
      <c r="E4450">
        <v>127</v>
      </c>
      <c r="F4450">
        <v>1095</v>
      </c>
      <c r="G4450" s="3">
        <f t="shared" si="207"/>
        <v>2</v>
      </c>
      <c r="H4450" s="4">
        <f t="shared" si="208"/>
        <v>1.8264840182647957E-3</v>
      </c>
      <c r="I4450" s="1">
        <f t="shared" si="209"/>
        <v>1</v>
      </c>
    </row>
    <row r="4451" spans="1:9" hidden="1" x14ac:dyDescent="0.2">
      <c r="A4451" s="6">
        <v>43944.708333333336</v>
      </c>
      <c r="B4451" s="1" t="s">
        <v>24</v>
      </c>
      <c r="C4451">
        <v>91</v>
      </c>
      <c r="D4451">
        <v>9</v>
      </c>
      <c r="E4451">
        <v>127</v>
      </c>
      <c r="F4451">
        <v>1096</v>
      </c>
      <c r="G4451" s="3">
        <f t="shared" si="207"/>
        <v>1</v>
      </c>
      <c r="H4451" s="4">
        <f t="shared" si="208"/>
        <v>9.1240875912412811E-4</v>
      </c>
      <c r="I4451" s="1">
        <f t="shared" si="209"/>
        <v>0</v>
      </c>
    </row>
    <row r="4452" spans="1:9" hidden="1" x14ac:dyDescent="0.2">
      <c r="A4452" s="6">
        <v>43945.708333333336</v>
      </c>
      <c r="B4452" s="1" t="s">
        <v>24</v>
      </c>
      <c r="C4452">
        <v>88</v>
      </c>
      <c r="D4452">
        <v>7</v>
      </c>
      <c r="E4452">
        <v>129</v>
      </c>
      <c r="F4452">
        <v>1100</v>
      </c>
      <c r="G4452" s="3">
        <f t="shared" si="207"/>
        <v>4</v>
      </c>
      <c r="H4452" s="4">
        <f t="shared" si="208"/>
        <v>3.6363636363636598E-3</v>
      </c>
      <c r="I4452" s="1">
        <f t="shared" si="209"/>
        <v>2</v>
      </c>
    </row>
    <row r="4453" spans="1:9" hidden="1" x14ac:dyDescent="0.2">
      <c r="A4453" s="6">
        <v>43946.708333333336</v>
      </c>
      <c r="B4453" s="1" t="s">
        <v>24</v>
      </c>
      <c r="C4453">
        <v>83</v>
      </c>
      <c r="D4453">
        <v>6</v>
      </c>
      <c r="E4453">
        <v>130</v>
      </c>
      <c r="F4453">
        <v>1100</v>
      </c>
      <c r="G4453" s="3">
        <f t="shared" si="207"/>
        <v>0</v>
      </c>
      <c r="H4453" s="4">
        <f t="shared" si="208"/>
        <v>0</v>
      </c>
      <c r="I4453" s="1">
        <f t="shared" si="209"/>
        <v>1</v>
      </c>
    </row>
    <row r="4454" spans="1:9" hidden="1" x14ac:dyDescent="0.2">
      <c r="A4454" s="6">
        <v>43947.708333333336</v>
      </c>
      <c r="B4454" s="1" t="s">
        <v>24</v>
      </c>
      <c r="C4454">
        <v>82</v>
      </c>
      <c r="D4454">
        <v>7</v>
      </c>
      <c r="E4454">
        <v>131</v>
      </c>
      <c r="F4454">
        <v>1106</v>
      </c>
      <c r="G4454" s="3">
        <f t="shared" si="207"/>
        <v>6</v>
      </c>
      <c r="H4454" s="4">
        <f t="shared" si="208"/>
        <v>5.4249547920434127E-3</v>
      </c>
      <c r="I4454" s="1">
        <f t="shared" si="209"/>
        <v>1</v>
      </c>
    </row>
    <row r="4455" spans="1:9" hidden="1" x14ac:dyDescent="0.2">
      <c r="A4455" s="6">
        <v>43948.708333333336</v>
      </c>
      <c r="B4455" s="1" t="s">
        <v>24</v>
      </c>
      <c r="C4455">
        <v>86</v>
      </c>
      <c r="D4455">
        <v>7</v>
      </c>
      <c r="E4455">
        <v>133</v>
      </c>
      <c r="F4455">
        <v>1111</v>
      </c>
      <c r="G4455" s="3">
        <f t="shared" si="207"/>
        <v>5</v>
      </c>
      <c r="H4455" s="4">
        <f t="shared" si="208"/>
        <v>4.5004500450045448E-3</v>
      </c>
      <c r="I4455" s="1">
        <f t="shared" si="209"/>
        <v>2</v>
      </c>
    </row>
    <row r="4456" spans="1:9" hidden="1" x14ac:dyDescent="0.2">
      <c r="A4456" s="6">
        <v>43949.708333333336</v>
      </c>
      <c r="B4456" s="1" t="s">
        <v>24</v>
      </c>
      <c r="C4456">
        <v>81</v>
      </c>
      <c r="D4456">
        <v>5</v>
      </c>
      <c r="E4456">
        <v>135</v>
      </c>
      <c r="F4456">
        <v>1119</v>
      </c>
      <c r="G4456" s="3">
        <f t="shared" si="207"/>
        <v>8</v>
      </c>
      <c r="H4456" s="4">
        <f t="shared" si="208"/>
        <v>7.1492403932081894E-3</v>
      </c>
      <c r="I4456" s="1">
        <f t="shared" si="209"/>
        <v>2</v>
      </c>
    </row>
    <row r="4457" spans="1:9" hidden="1" x14ac:dyDescent="0.2">
      <c r="A4457" s="6">
        <v>43950.708333333336</v>
      </c>
      <c r="B4457" s="1" t="s">
        <v>24</v>
      </c>
      <c r="C4457">
        <v>78</v>
      </c>
      <c r="D4457">
        <v>5</v>
      </c>
      <c r="E4457">
        <v>137</v>
      </c>
      <c r="F4457">
        <v>1124</v>
      </c>
      <c r="G4457" s="3">
        <f t="shared" si="207"/>
        <v>5</v>
      </c>
      <c r="H4457" s="4">
        <f t="shared" si="208"/>
        <v>4.4483985765124689E-3</v>
      </c>
      <c r="I4457" s="1">
        <f t="shared" si="209"/>
        <v>2</v>
      </c>
    </row>
    <row r="4458" spans="1:9" hidden="1" x14ac:dyDescent="0.2">
      <c r="A4458" s="6">
        <v>43951.708333333336</v>
      </c>
      <c r="B4458" s="1" t="s">
        <v>24</v>
      </c>
      <c r="C4458">
        <v>76</v>
      </c>
      <c r="D4458">
        <v>4</v>
      </c>
      <c r="E4458">
        <v>137</v>
      </c>
      <c r="F4458">
        <v>1128</v>
      </c>
      <c r="G4458" s="3">
        <f t="shared" si="207"/>
        <v>4</v>
      </c>
      <c r="H4458" s="4">
        <f t="shared" si="208"/>
        <v>3.5460992907800915E-3</v>
      </c>
      <c r="I4458" s="1">
        <f t="shared" si="209"/>
        <v>0</v>
      </c>
    </row>
    <row r="4459" spans="1:9" hidden="1" x14ac:dyDescent="0.2">
      <c r="A4459" s="6">
        <v>43952.708333333336</v>
      </c>
      <c r="B4459" s="1" t="s">
        <v>24</v>
      </c>
      <c r="C4459">
        <v>72</v>
      </c>
      <c r="D4459">
        <v>3</v>
      </c>
      <c r="E4459">
        <v>137</v>
      </c>
      <c r="F4459">
        <v>1133</v>
      </c>
      <c r="G4459" s="3">
        <f t="shared" si="207"/>
        <v>5</v>
      </c>
      <c r="H4459" s="4">
        <f t="shared" si="208"/>
        <v>4.4130626654897975E-3</v>
      </c>
      <c r="I4459" s="1">
        <f t="shared" si="209"/>
        <v>0</v>
      </c>
    </row>
    <row r="4460" spans="1:9" hidden="1" x14ac:dyDescent="0.2">
      <c r="A4460" s="6">
        <v>43953.708333333336</v>
      </c>
      <c r="B4460" s="1" t="s">
        <v>24</v>
      </c>
      <c r="C4460">
        <v>70</v>
      </c>
      <c r="D4460">
        <v>3</v>
      </c>
      <c r="E4460">
        <v>137</v>
      </c>
      <c r="F4460">
        <v>1136</v>
      </c>
      <c r="G4460" s="3">
        <f t="shared" si="207"/>
        <v>3</v>
      </c>
      <c r="H4460" s="4">
        <f t="shared" si="208"/>
        <v>2.6408450704225039E-3</v>
      </c>
      <c r="I4460" s="1">
        <f t="shared" si="209"/>
        <v>0</v>
      </c>
    </row>
    <row r="4461" spans="1:9" hidden="1" x14ac:dyDescent="0.2">
      <c r="A4461" s="6">
        <v>43954.708333333336</v>
      </c>
      <c r="B4461" s="1" t="s">
        <v>24</v>
      </c>
      <c r="C4461">
        <v>74</v>
      </c>
      <c r="D4461">
        <v>2</v>
      </c>
      <c r="E4461">
        <v>138</v>
      </c>
      <c r="F4461">
        <v>1142</v>
      </c>
      <c r="G4461" s="3">
        <f t="shared" si="207"/>
        <v>6</v>
      </c>
      <c r="H4461" s="4">
        <f t="shared" si="208"/>
        <v>5.2539404553415547E-3</v>
      </c>
      <c r="I4461" s="1">
        <f t="shared" si="209"/>
        <v>1</v>
      </c>
    </row>
    <row r="4462" spans="1:9" hidden="1" x14ac:dyDescent="0.2">
      <c r="A4462" s="6">
        <v>43955.708333333336</v>
      </c>
      <c r="B4462" s="1" t="s">
        <v>24</v>
      </c>
      <c r="C4462">
        <v>74</v>
      </c>
      <c r="D4462">
        <v>2</v>
      </c>
      <c r="E4462">
        <v>139</v>
      </c>
      <c r="F4462">
        <v>1143</v>
      </c>
      <c r="G4462" s="3">
        <f t="shared" si="207"/>
        <v>1</v>
      </c>
      <c r="H4462" s="4">
        <f t="shared" si="208"/>
        <v>8.7489063867018935E-4</v>
      </c>
      <c r="I4462" s="1">
        <f t="shared" si="209"/>
        <v>1</v>
      </c>
    </row>
    <row r="4463" spans="1:9" hidden="1" x14ac:dyDescent="0.2">
      <c r="A4463" s="6">
        <v>43956.708333333336</v>
      </c>
      <c r="B4463" s="1" t="s">
        <v>24</v>
      </c>
      <c r="C4463">
        <v>56</v>
      </c>
      <c r="D4463">
        <v>3</v>
      </c>
      <c r="E4463">
        <v>139</v>
      </c>
      <c r="F4463">
        <v>1143</v>
      </c>
      <c r="G4463" s="3">
        <f t="shared" si="207"/>
        <v>0</v>
      </c>
      <c r="H4463" s="4">
        <f t="shared" si="208"/>
        <v>0</v>
      </c>
      <c r="I4463" s="1">
        <f t="shared" si="209"/>
        <v>0</v>
      </c>
    </row>
    <row r="4464" spans="1:9" hidden="1" x14ac:dyDescent="0.2">
      <c r="A4464" s="6">
        <v>43957.708333333336</v>
      </c>
      <c r="B4464" s="1" t="s">
        <v>24</v>
      </c>
      <c r="C4464">
        <v>50</v>
      </c>
      <c r="D4464">
        <v>3</v>
      </c>
      <c r="E4464">
        <v>139</v>
      </c>
      <c r="F4464">
        <v>1146</v>
      </c>
      <c r="G4464" s="3">
        <f t="shared" si="207"/>
        <v>3</v>
      </c>
      <c r="H4464" s="4">
        <f t="shared" si="208"/>
        <v>2.6178010471203939E-3</v>
      </c>
      <c r="I4464" s="1">
        <f t="shared" si="209"/>
        <v>0</v>
      </c>
    </row>
    <row r="4465" spans="1:9" hidden="1" x14ac:dyDescent="0.2">
      <c r="A4465" s="6">
        <v>43958.708333333336</v>
      </c>
      <c r="B4465" s="1" t="s">
        <v>24</v>
      </c>
      <c r="C4465">
        <v>49</v>
      </c>
      <c r="D4465">
        <v>2</v>
      </c>
      <c r="E4465">
        <v>139</v>
      </c>
      <c r="F4465">
        <v>1150</v>
      </c>
      <c r="G4465" s="3">
        <f t="shared" si="207"/>
        <v>4</v>
      </c>
      <c r="H4465" s="4">
        <f t="shared" si="208"/>
        <v>3.4782608695652639E-3</v>
      </c>
      <c r="I4465" s="1">
        <f t="shared" si="209"/>
        <v>0</v>
      </c>
    </row>
    <row r="4466" spans="1:9" hidden="1" x14ac:dyDescent="0.2">
      <c r="A4466" s="6">
        <v>43959.708333333336</v>
      </c>
      <c r="B4466" s="1" t="s">
        <v>24</v>
      </c>
      <c r="C4466">
        <v>45</v>
      </c>
      <c r="D4466">
        <v>2</v>
      </c>
      <c r="E4466">
        <v>139</v>
      </c>
      <c r="F4466">
        <v>1151</v>
      </c>
      <c r="G4466" s="3">
        <f t="shared" si="207"/>
        <v>1</v>
      </c>
      <c r="H4466" s="4">
        <f t="shared" si="208"/>
        <v>8.6880973066894018E-4</v>
      </c>
      <c r="I4466" s="1">
        <f t="shared" si="209"/>
        <v>0</v>
      </c>
    </row>
    <row r="4467" spans="1:9" hidden="1" x14ac:dyDescent="0.2">
      <c r="A4467" s="6">
        <v>43960.708333333336</v>
      </c>
      <c r="B4467" s="1" t="s">
        <v>24</v>
      </c>
      <c r="C4467">
        <v>45</v>
      </c>
      <c r="D4467">
        <v>3</v>
      </c>
      <c r="E4467">
        <v>139</v>
      </c>
      <c r="F4467">
        <v>1152</v>
      </c>
      <c r="G4467" s="3">
        <f t="shared" si="207"/>
        <v>1</v>
      </c>
      <c r="H4467" s="4">
        <f t="shared" si="208"/>
        <v>8.6805555555558023E-4</v>
      </c>
      <c r="I4467" s="1">
        <f t="shared" si="209"/>
        <v>0</v>
      </c>
    </row>
    <row r="4468" spans="1:9" hidden="1" x14ac:dyDescent="0.2">
      <c r="A4468" s="6">
        <v>43961.708333333336</v>
      </c>
      <c r="B4468" s="1" t="s">
        <v>24</v>
      </c>
      <c r="C4468">
        <v>46</v>
      </c>
      <c r="D4468">
        <v>2</v>
      </c>
      <c r="E4468">
        <v>139</v>
      </c>
      <c r="F4468">
        <v>1157</v>
      </c>
      <c r="G4468" s="3">
        <f t="shared" si="207"/>
        <v>5</v>
      </c>
      <c r="H4468" s="4">
        <f t="shared" si="208"/>
        <v>4.321521175453813E-3</v>
      </c>
      <c r="I4468" s="1">
        <f t="shared" si="209"/>
        <v>0</v>
      </c>
    </row>
    <row r="4469" spans="1:9" hidden="1" x14ac:dyDescent="0.2">
      <c r="A4469" s="6">
        <v>43962.708333333336</v>
      </c>
      <c r="B4469" s="1" t="s">
        <v>24</v>
      </c>
      <c r="C4469">
        <v>44</v>
      </c>
      <c r="D4469">
        <v>1</v>
      </c>
      <c r="E4469">
        <v>139</v>
      </c>
      <c r="F4469">
        <v>1158</v>
      </c>
      <c r="G4469" s="3">
        <f t="shared" si="207"/>
        <v>1</v>
      </c>
      <c r="H4469" s="4">
        <f t="shared" si="208"/>
        <v>8.635578583765513E-4</v>
      </c>
      <c r="I4469" s="1">
        <f t="shared" si="209"/>
        <v>0</v>
      </c>
    </row>
    <row r="4470" spans="1:9" hidden="1" x14ac:dyDescent="0.2">
      <c r="A4470" s="6">
        <v>43963.708333333336</v>
      </c>
      <c r="B4470" s="1" t="s">
        <v>24</v>
      </c>
      <c r="C4470">
        <v>45</v>
      </c>
      <c r="D4470">
        <v>0</v>
      </c>
      <c r="E4470">
        <v>140</v>
      </c>
      <c r="F4470">
        <v>1160</v>
      </c>
      <c r="G4470" s="3">
        <f t="shared" si="207"/>
        <v>2</v>
      </c>
      <c r="H4470" s="4">
        <f t="shared" si="208"/>
        <v>1.7241379310344307E-3</v>
      </c>
      <c r="I4470" s="1">
        <f t="shared" si="209"/>
        <v>1</v>
      </c>
    </row>
    <row r="4471" spans="1:9" hidden="1" x14ac:dyDescent="0.2">
      <c r="A4471" s="6">
        <v>43964.708333333336</v>
      </c>
      <c r="B4471" s="1" t="s">
        <v>24</v>
      </c>
      <c r="C4471">
        <v>38</v>
      </c>
      <c r="D4471">
        <v>0</v>
      </c>
      <c r="E4471">
        <v>141</v>
      </c>
      <c r="F4471">
        <v>1163</v>
      </c>
      <c r="G4471" s="3">
        <f t="shared" si="207"/>
        <v>3</v>
      </c>
      <c r="H4471" s="4">
        <f t="shared" si="208"/>
        <v>2.579535683576939E-3</v>
      </c>
      <c r="I4471" s="1">
        <f t="shared" si="209"/>
        <v>1</v>
      </c>
    </row>
    <row r="4472" spans="1:9" hidden="1" x14ac:dyDescent="0.2">
      <c r="A4472" s="6">
        <v>43965.708333333336</v>
      </c>
      <c r="B4472" s="1" t="s">
        <v>24</v>
      </c>
      <c r="C4472">
        <v>38</v>
      </c>
      <c r="D4472">
        <v>0</v>
      </c>
      <c r="E4472">
        <v>141</v>
      </c>
      <c r="F4472">
        <v>1166</v>
      </c>
      <c r="G4472" s="3">
        <f t="shared" si="207"/>
        <v>3</v>
      </c>
      <c r="H4472" s="4">
        <f t="shared" si="208"/>
        <v>2.572898799313883E-3</v>
      </c>
      <c r="I4472" s="1">
        <f t="shared" si="209"/>
        <v>0</v>
      </c>
    </row>
    <row r="4473" spans="1:9" hidden="1" x14ac:dyDescent="0.2">
      <c r="A4473" s="6">
        <v>43966.708333333336</v>
      </c>
      <c r="B4473" s="1" t="s">
        <v>24</v>
      </c>
      <c r="C4473">
        <v>37</v>
      </c>
      <c r="D4473">
        <v>0</v>
      </c>
      <c r="E4473">
        <v>142</v>
      </c>
      <c r="F4473">
        <v>1172</v>
      </c>
      <c r="G4473" s="3">
        <f t="shared" si="207"/>
        <v>6</v>
      </c>
      <c r="H4473" s="4">
        <f t="shared" si="208"/>
        <v>5.1194539249146409E-3</v>
      </c>
      <c r="I4473" s="1">
        <f t="shared" si="209"/>
        <v>1</v>
      </c>
    </row>
    <row r="4474" spans="1:9" hidden="1" x14ac:dyDescent="0.2">
      <c r="A4474" s="6">
        <v>43967.708333333336</v>
      </c>
      <c r="B4474" s="1" t="s">
        <v>24</v>
      </c>
      <c r="C4474">
        <v>33</v>
      </c>
      <c r="D4474">
        <v>0</v>
      </c>
      <c r="E4474">
        <v>142</v>
      </c>
      <c r="F4474">
        <v>1173</v>
      </c>
      <c r="G4474" s="3">
        <f t="shared" si="207"/>
        <v>1</v>
      </c>
      <c r="H4474" s="4">
        <f t="shared" si="208"/>
        <v>8.5251491901106036E-4</v>
      </c>
      <c r="I4474" s="1">
        <f t="shared" si="209"/>
        <v>0</v>
      </c>
    </row>
    <row r="4475" spans="1:9" hidden="1" x14ac:dyDescent="0.2">
      <c r="A4475" s="6">
        <v>43968.708333333336</v>
      </c>
      <c r="B4475" s="1" t="s">
        <v>24</v>
      </c>
      <c r="C4475">
        <v>31</v>
      </c>
      <c r="D4475">
        <v>0</v>
      </c>
      <c r="E4475">
        <v>143</v>
      </c>
      <c r="F4475">
        <v>1173</v>
      </c>
      <c r="G4475" s="3">
        <f t="shared" si="207"/>
        <v>0</v>
      </c>
      <c r="H4475" s="4">
        <f t="shared" si="208"/>
        <v>0</v>
      </c>
      <c r="I4475" s="1">
        <f t="shared" si="209"/>
        <v>1</v>
      </c>
    </row>
    <row r="4476" spans="1:9" hidden="1" x14ac:dyDescent="0.2">
      <c r="A4476" s="6">
        <v>43969.708333333336</v>
      </c>
      <c r="B4476" s="1" t="s">
        <v>24</v>
      </c>
      <c r="C4476">
        <v>30</v>
      </c>
      <c r="D4476">
        <v>0</v>
      </c>
      <c r="E4476">
        <v>143</v>
      </c>
      <c r="F4476">
        <v>1174</v>
      </c>
      <c r="G4476" s="3">
        <f t="shared" si="207"/>
        <v>1</v>
      </c>
      <c r="H4476" s="4">
        <f t="shared" si="208"/>
        <v>8.5178875638836082E-4</v>
      </c>
      <c r="I4476" s="1">
        <f t="shared" si="209"/>
        <v>0</v>
      </c>
    </row>
    <row r="4477" spans="1:9" hidden="1" x14ac:dyDescent="0.2">
      <c r="A4477" s="6">
        <v>43970.708333333336</v>
      </c>
      <c r="B4477" s="1" t="s">
        <v>24</v>
      </c>
      <c r="C4477">
        <v>26</v>
      </c>
      <c r="D4477">
        <v>1</v>
      </c>
      <c r="E4477">
        <v>143</v>
      </c>
      <c r="F4477">
        <v>1175</v>
      </c>
      <c r="G4477" s="3">
        <f t="shared" si="207"/>
        <v>1</v>
      </c>
      <c r="H4477" s="4">
        <f t="shared" si="208"/>
        <v>8.5106382978727968E-4</v>
      </c>
      <c r="I4477" s="1">
        <f t="shared" si="209"/>
        <v>0</v>
      </c>
    </row>
    <row r="4478" spans="1:9" hidden="1" x14ac:dyDescent="0.2">
      <c r="A4478" s="6">
        <v>43971.708333333336</v>
      </c>
      <c r="B4478" s="1" t="s">
        <v>24</v>
      </c>
      <c r="C4478">
        <v>25</v>
      </c>
      <c r="D4478">
        <v>1</v>
      </c>
      <c r="E4478">
        <v>143</v>
      </c>
      <c r="F4478">
        <v>1175</v>
      </c>
      <c r="G4478" s="3">
        <f t="shared" si="207"/>
        <v>0</v>
      </c>
      <c r="H4478" s="4">
        <f t="shared" si="208"/>
        <v>0</v>
      </c>
      <c r="I4478" s="1">
        <f t="shared" si="209"/>
        <v>0</v>
      </c>
    </row>
    <row r="4479" spans="1:9" hidden="1" x14ac:dyDescent="0.2">
      <c r="A4479" s="6">
        <v>43972.708333333336</v>
      </c>
      <c r="B4479" s="1" t="s">
        <v>24</v>
      </c>
      <c r="C4479">
        <v>26</v>
      </c>
      <c r="D4479">
        <v>1</v>
      </c>
      <c r="E4479">
        <v>143</v>
      </c>
      <c r="F4479">
        <v>1176</v>
      </c>
      <c r="G4479" s="3">
        <f t="shared" si="207"/>
        <v>1</v>
      </c>
      <c r="H4479" s="4">
        <f t="shared" si="208"/>
        <v>8.5034013605445047E-4</v>
      </c>
      <c r="I4479" s="1">
        <f t="shared" si="209"/>
        <v>0</v>
      </c>
    </row>
    <row r="4480" spans="1:9" hidden="1" x14ac:dyDescent="0.2">
      <c r="A4480" s="6">
        <v>43973.708333333336</v>
      </c>
      <c r="B4480" s="1" t="s">
        <v>24</v>
      </c>
      <c r="C4480">
        <v>22</v>
      </c>
      <c r="D4480">
        <v>2</v>
      </c>
      <c r="E4480">
        <v>143</v>
      </c>
      <c r="F4480">
        <v>1177</v>
      </c>
      <c r="G4480" s="3">
        <f t="shared" si="207"/>
        <v>1</v>
      </c>
      <c r="H4480" s="4">
        <f t="shared" si="208"/>
        <v>8.4961767204760896E-4</v>
      </c>
      <c r="I4480" s="1">
        <f t="shared" si="209"/>
        <v>0</v>
      </c>
    </row>
    <row r="4481" spans="1:9" hidden="1" x14ac:dyDescent="0.2">
      <c r="A4481" s="6">
        <v>43974.708333333336</v>
      </c>
      <c r="B4481" s="1" t="s">
        <v>24</v>
      </c>
      <c r="C4481">
        <v>23</v>
      </c>
      <c r="D4481">
        <v>2</v>
      </c>
      <c r="E4481">
        <v>143</v>
      </c>
      <c r="F4481">
        <v>1177</v>
      </c>
      <c r="G4481" s="3">
        <f t="shared" si="207"/>
        <v>0</v>
      </c>
      <c r="H4481" s="4">
        <f t="shared" si="208"/>
        <v>0</v>
      </c>
      <c r="I4481" s="1">
        <f t="shared" si="209"/>
        <v>0</v>
      </c>
    </row>
    <row r="4482" spans="1:9" hidden="1" x14ac:dyDescent="0.2">
      <c r="A4482" s="6">
        <v>43975.708333333336</v>
      </c>
      <c r="B4482" s="1" t="s">
        <v>24</v>
      </c>
      <c r="C4482">
        <v>23</v>
      </c>
      <c r="D4482">
        <v>1</v>
      </c>
      <c r="E4482">
        <v>143</v>
      </c>
      <c r="F4482">
        <v>1178</v>
      </c>
      <c r="G4482" s="3">
        <f t="shared" si="207"/>
        <v>1</v>
      </c>
      <c r="H4482" s="4">
        <f t="shared" si="208"/>
        <v>8.4889643463492703E-4</v>
      </c>
      <c r="I4482" s="1">
        <f t="shared" si="209"/>
        <v>0</v>
      </c>
    </row>
    <row r="4483" spans="1:9" hidden="1" x14ac:dyDescent="0.2">
      <c r="A4483" s="6">
        <v>43976.708333333336</v>
      </c>
      <c r="B4483" s="1" t="s">
        <v>24</v>
      </c>
      <c r="C4483">
        <v>19</v>
      </c>
      <c r="D4483">
        <v>1</v>
      </c>
      <c r="E4483">
        <v>143</v>
      </c>
      <c r="F4483">
        <v>1179</v>
      </c>
      <c r="G4483" s="3">
        <f t="shared" ref="G4483:G4546" si="210">IF(AND(F4483&gt;0,AND(B4483=B4482,F4483&gt;0)),F4483-F4482,0)</f>
        <v>1</v>
      </c>
      <c r="H4483" s="4">
        <f t="shared" ref="H4483:H4546" si="211">IF(AND(F4482&gt;0,AND(B4483=B4482,F4482&gt;0)),1-(F4482/F4483),0)</f>
        <v>8.4817642069545673E-4</v>
      </c>
      <c r="I4483" s="1">
        <f t="shared" ref="I4483:I4546" si="212">IF(AND(E4483&gt;0,AND(B4483=B4482,E4483&gt;0)),E4483-E4482,0)</f>
        <v>0</v>
      </c>
    </row>
    <row r="4484" spans="1:9" hidden="1" x14ac:dyDescent="0.2">
      <c r="A4484" s="6">
        <v>43977.708333333336</v>
      </c>
      <c r="B4484" s="1" t="s">
        <v>24</v>
      </c>
      <c r="C4484">
        <v>17</v>
      </c>
      <c r="D4484">
        <v>1</v>
      </c>
      <c r="E4484">
        <v>143</v>
      </c>
      <c r="F4484">
        <v>1181</v>
      </c>
      <c r="G4484" s="3">
        <f t="shared" si="210"/>
        <v>2</v>
      </c>
      <c r="H4484" s="4">
        <f t="shared" si="211"/>
        <v>1.6934801016088574E-3</v>
      </c>
      <c r="I4484" s="1">
        <f t="shared" si="212"/>
        <v>0</v>
      </c>
    </row>
    <row r="4485" spans="1:9" hidden="1" x14ac:dyDescent="0.2">
      <c r="A4485" s="6">
        <v>43978.708333333336</v>
      </c>
      <c r="B4485" s="1" t="s">
        <v>24</v>
      </c>
      <c r="C4485">
        <v>17</v>
      </c>
      <c r="D4485">
        <v>1</v>
      </c>
      <c r="E4485">
        <v>143</v>
      </c>
      <c r="F4485">
        <v>1181</v>
      </c>
      <c r="G4485" s="3">
        <f t="shared" si="210"/>
        <v>0</v>
      </c>
      <c r="H4485" s="4">
        <f t="shared" si="211"/>
        <v>0</v>
      </c>
      <c r="I4485" s="1">
        <f t="shared" si="212"/>
        <v>0</v>
      </c>
    </row>
    <row r="4486" spans="1:9" hidden="1" x14ac:dyDescent="0.2">
      <c r="A4486" s="6">
        <v>43979.708333333336</v>
      </c>
      <c r="B4486" s="1" t="s">
        <v>24</v>
      </c>
      <c r="C4486">
        <v>16</v>
      </c>
      <c r="D4486">
        <v>0</v>
      </c>
      <c r="E4486">
        <v>143</v>
      </c>
      <c r="F4486">
        <v>1182</v>
      </c>
      <c r="G4486" s="3">
        <f t="shared" si="210"/>
        <v>1</v>
      </c>
      <c r="H4486" s="4">
        <f t="shared" si="211"/>
        <v>8.460236886632666E-4</v>
      </c>
      <c r="I4486" s="1">
        <f t="shared" si="212"/>
        <v>0</v>
      </c>
    </row>
    <row r="4487" spans="1:9" hidden="1" x14ac:dyDescent="0.2">
      <c r="A4487" s="6">
        <v>43980.708333333336</v>
      </c>
      <c r="B4487" s="1" t="s">
        <v>24</v>
      </c>
      <c r="C4487">
        <v>12</v>
      </c>
      <c r="D4487">
        <v>0</v>
      </c>
      <c r="E4487">
        <v>143</v>
      </c>
      <c r="F4487">
        <v>1182</v>
      </c>
      <c r="G4487" s="3">
        <f t="shared" si="210"/>
        <v>0</v>
      </c>
      <c r="H4487" s="4">
        <f t="shared" si="211"/>
        <v>0</v>
      </c>
      <c r="I4487" s="1">
        <f t="shared" si="212"/>
        <v>0</v>
      </c>
    </row>
    <row r="4488" spans="1:9" hidden="1" x14ac:dyDescent="0.2">
      <c r="A4488" s="6">
        <v>43981.708333333336</v>
      </c>
      <c r="B4488" s="1" t="s">
        <v>24</v>
      </c>
      <c r="C4488">
        <v>13</v>
      </c>
      <c r="D4488">
        <v>0</v>
      </c>
      <c r="E4488">
        <v>143</v>
      </c>
      <c r="F4488">
        <v>1183</v>
      </c>
      <c r="G4488" s="3">
        <f t="shared" si="210"/>
        <v>1</v>
      </c>
      <c r="H4488" s="4">
        <f t="shared" si="211"/>
        <v>8.4530853761621838E-4</v>
      </c>
      <c r="I4488" s="1">
        <f t="shared" si="212"/>
        <v>0</v>
      </c>
    </row>
    <row r="4489" spans="1:9" hidden="1" x14ac:dyDescent="0.2">
      <c r="A4489" s="6">
        <v>43982.708333333336</v>
      </c>
      <c r="B4489" s="1" t="s">
        <v>24</v>
      </c>
      <c r="C4489">
        <v>12</v>
      </c>
      <c r="D4489">
        <v>0</v>
      </c>
      <c r="E4489">
        <v>143</v>
      </c>
      <c r="F4489">
        <v>1184</v>
      </c>
      <c r="G4489" s="3">
        <f t="shared" si="210"/>
        <v>1</v>
      </c>
      <c r="H4489" s="4">
        <f t="shared" si="211"/>
        <v>8.445945945946276E-4</v>
      </c>
      <c r="I4489" s="1">
        <f t="shared" si="212"/>
        <v>0</v>
      </c>
    </row>
    <row r="4490" spans="1:9" hidden="1" x14ac:dyDescent="0.2">
      <c r="A4490" s="6">
        <v>43983.708333333336</v>
      </c>
      <c r="B4490" s="1" t="s">
        <v>24</v>
      </c>
      <c r="C4490">
        <v>11</v>
      </c>
      <c r="D4490">
        <v>0</v>
      </c>
      <c r="E4490">
        <v>143</v>
      </c>
      <c r="F4490">
        <v>1187</v>
      </c>
      <c r="G4490" s="3">
        <f t="shared" si="210"/>
        <v>3</v>
      </c>
      <c r="H4490" s="4">
        <f t="shared" si="211"/>
        <v>2.5273799494524019E-3</v>
      </c>
      <c r="I4490" s="1">
        <f t="shared" si="212"/>
        <v>0</v>
      </c>
    </row>
    <row r="4491" spans="1:9" hidden="1" x14ac:dyDescent="0.2">
      <c r="A4491" s="6">
        <v>43984.708333333336</v>
      </c>
      <c r="B4491" s="1" t="s">
        <v>24</v>
      </c>
      <c r="C4491">
        <v>10</v>
      </c>
      <c r="D4491">
        <v>0</v>
      </c>
      <c r="E4491">
        <v>143</v>
      </c>
      <c r="F4491">
        <v>1187</v>
      </c>
      <c r="G4491" s="3">
        <f t="shared" si="210"/>
        <v>0</v>
      </c>
      <c r="H4491" s="4">
        <f t="shared" si="211"/>
        <v>0</v>
      </c>
      <c r="I4491" s="1">
        <f t="shared" si="212"/>
        <v>0</v>
      </c>
    </row>
    <row r="4492" spans="1:9" hidden="1" x14ac:dyDescent="0.2">
      <c r="A4492" s="6">
        <v>43985.708333333336</v>
      </c>
      <c r="B4492" s="1" t="s">
        <v>24</v>
      </c>
      <c r="C4492">
        <v>9</v>
      </c>
      <c r="D4492">
        <v>0</v>
      </c>
      <c r="E4492">
        <v>143</v>
      </c>
      <c r="F4492">
        <v>1187</v>
      </c>
      <c r="G4492" s="3">
        <f t="shared" si="210"/>
        <v>0</v>
      </c>
      <c r="H4492" s="4">
        <f t="shared" si="211"/>
        <v>0</v>
      </c>
      <c r="I4492" s="1">
        <f t="shared" si="212"/>
        <v>0</v>
      </c>
    </row>
    <row r="4493" spans="1:9" hidden="1" x14ac:dyDescent="0.2">
      <c r="A4493" s="6">
        <v>43986.708333333336</v>
      </c>
      <c r="B4493" s="1" t="s">
        <v>24</v>
      </c>
      <c r="C4493">
        <v>9</v>
      </c>
      <c r="D4493">
        <v>0</v>
      </c>
      <c r="E4493">
        <v>143</v>
      </c>
      <c r="F4493">
        <v>1187</v>
      </c>
      <c r="G4493" s="3">
        <f t="shared" si="210"/>
        <v>0</v>
      </c>
      <c r="H4493" s="4">
        <f t="shared" si="211"/>
        <v>0</v>
      </c>
      <c r="I4493" s="1">
        <f t="shared" si="212"/>
        <v>0</v>
      </c>
    </row>
    <row r="4494" spans="1:9" hidden="1" x14ac:dyDescent="0.2">
      <c r="A4494" s="6">
        <v>43987.708333333336</v>
      </c>
      <c r="B4494" s="1" t="s">
        <v>24</v>
      </c>
      <c r="C4494">
        <v>9</v>
      </c>
      <c r="D4494">
        <v>0</v>
      </c>
      <c r="E4494">
        <v>143</v>
      </c>
      <c r="F4494">
        <v>1187</v>
      </c>
      <c r="G4494" s="3">
        <f t="shared" si="210"/>
        <v>0</v>
      </c>
      <c r="H4494" s="4">
        <f t="shared" si="211"/>
        <v>0</v>
      </c>
      <c r="I4494" s="1">
        <f t="shared" si="212"/>
        <v>0</v>
      </c>
    </row>
    <row r="4495" spans="1:9" hidden="1" x14ac:dyDescent="0.2">
      <c r="A4495" s="6">
        <v>43988.708333333336</v>
      </c>
      <c r="B4495" s="1" t="s">
        <v>24</v>
      </c>
      <c r="C4495">
        <v>7</v>
      </c>
      <c r="D4495">
        <v>0</v>
      </c>
      <c r="E4495">
        <v>144</v>
      </c>
      <c r="F4495">
        <v>1189</v>
      </c>
      <c r="G4495" s="3">
        <f t="shared" si="210"/>
        <v>2</v>
      </c>
      <c r="H4495" s="4">
        <f t="shared" si="211"/>
        <v>1.682085786375076E-3</v>
      </c>
      <c r="I4495" s="1">
        <f t="shared" si="212"/>
        <v>1</v>
      </c>
    </row>
    <row r="4496" spans="1:9" hidden="1" x14ac:dyDescent="0.2">
      <c r="A4496" s="6">
        <v>43989.708333333336</v>
      </c>
      <c r="B4496" s="1" t="s">
        <v>24</v>
      </c>
      <c r="C4496">
        <v>6</v>
      </c>
      <c r="D4496">
        <v>0</v>
      </c>
      <c r="E4496">
        <v>144</v>
      </c>
      <c r="F4496">
        <v>1191</v>
      </c>
      <c r="G4496" s="3">
        <f t="shared" si="210"/>
        <v>2</v>
      </c>
      <c r="H4496" s="4">
        <f t="shared" si="211"/>
        <v>1.6792611251049694E-3</v>
      </c>
      <c r="I4496" s="1">
        <f t="shared" si="212"/>
        <v>0</v>
      </c>
    </row>
    <row r="4497" spans="1:9" hidden="1" x14ac:dyDescent="0.2">
      <c r="A4497" s="6">
        <v>43990.708333333336</v>
      </c>
      <c r="B4497" s="1" t="s">
        <v>24</v>
      </c>
      <c r="C4497">
        <v>7</v>
      </c>
      <c r="D4497">
        <v>0</v>
      </c>
      <c r="E4497">
        <v>144</v>
      </c>
      <c r="F4497">
        <v>1191</v>
      </c>
      <c r="G4497" s="3">
        <f t="shared" si="210"/>
        <v>0</v>
      </c>
      <c r="H4497" s="4">
        <f t="shared" si="211"/>
        <v>0</v>
      </c>
      <c r="I4497" s="1">
        <f t="shared" si="212"/>
        <v>0</v>
      </c>
    </row>
    <row r="4498" spans="1:9" hidden="1" x14ac:dyDescent="0.2">
      <c r="A4498" s="6">
        <v>43991.708333333336</v>
      </c>
      <c r="B4498" s="1" t="s">
        <v>24</v>
      </c>
      <c r="C4498">
        <v>7</v>
      </c>
      <c r="D4498">
        <v>0</v>
      </c>
      <c r="E4498">
        <v>144</v>
      </c>
      <c r="F4498">
        <v>1191</v>
      </c>
      <c r="G4498" s="3">
        <f t="shared" si="210"/>
        <v>0</v>
      </c>
      <c r="H4498" s="4">
        <f t="shared" si="211"/>
        <v>0</v>
      </c>
      <c r="I4498" s="1">
        <f t="shared" si="212"/>
        <v>0</v>
      </c>
    </row>
    <row r="4499" spans="1:9" hidden="1" x14ac:dyDescent="0.2">
      <c r="A4499" s="6">
        <v>43992.708333333336</v>
      </c>
      <c r="B4499" s="1" t="s">
        <v>24</v>
      </c>
      <c r="C4499">
        <v>3</v>
      </c>
      <c r="D4499">
        <v>0</v>
      </c>
      <c r="E4499">
        <v>144</v>
      </c>
      <c r="F4499">
        <v>1191</v>
      </c>
      <c r="G4499" s="3">
        <f t="shared" si="210"/>
        <v>0</v>
      </c>
      <c r="H4499" s="4">
        <f t="shared" si="211"/>
        <v>0</v>
      </c>
      <c r="I4499" s="1">
        <f t="shared" si="212"/>
        <v>0</v>
      </c>
    </row>
    <row r="4500" spans="1:9" hidden="1" x14ac:dyDescent="0.2">
      <c r="A4500" s="6">
        <v>43993.708333333336</v>
      </c>
      <c r="B4500" s="1" t="s">
        <v>24</v>
      </c>
      <c r="C4500">
        <v>6</v>
      </c>
      <c r="D4500">
        <v>0</v>
      </c>
      <c r="E4500">
        <v>144</v>
      </c>
      <c r="F4500">
        <v>1191</v>
      </c>
      <c r="G4500" s="3">
        <f t="shared" si="210"/>
        <v>0</v>
      </c>
      <c r="H4500" s="4">
        <f t="shared" si="211"/>
        <v>0</v>
      </c>
      <c r="I4500" s="1">
        <f t="shared" si="212"/>
        <v>0</v>
      </c>
    </row>
    <row r="4501" spans="1:9" hidden="1" x14ac:dyDescent="0.2">
      <c r="A4501" s="6">
        <v>43994.708333333336</v>
      </c>
      <c r="B4501" s="1" t="s">
        <v>24</v>
      </c>
      <c r="C4501">
        <v>6</v>
      </c>
      <c r="D4501">
        <v>0</v>
      </c>
      <c r="E4501">
        <v>144</v>
      </c>
      <c r="F4501">
        <v>1191</v>
      </c>
      <c r="G4501" s="3">
        <f t="shared" si="210"/>
        <v>0</v>
      </c>
      <c r="H4501" s="4">
        <f t="shared" si="211"/>
        <v>0</v>
      </c>
      <c r="I4501" s="1">
        <f t="shared" si="212"/>
        <v>0</v>
      </c>
    </row>
    <row r="4502" spans="1:9" hidden="1" x14ac:dyDescent="0.2">
      <c r="A4502" s="6">
        <v>43995.708333333336</v>
      </c>
      <c r="B4502" s="1" t="s">
        <v>24</v>
      </c>
      <c r="C4502">
        <v>7</v>
      </c>
      <c r="D4502">
        <v>0</v>
      </c>
      <c r="E4502">
        <v>144</v>
      </c>
      <c r="F4502">
        <v>1191</v>
      </c>
      <c r="G4502" s="3">
        <f t="shared" si="210"/>
        <v>0</v>
      </c>
      <c r="H4502" s="4">
        <f t="shared" si="211"/>
        <v>0</v>
      </c>
      <c r="I4502" s="1">
        <f t="shared" si="212"/>
        <v>0</v>
      </c>
    </row>
    <row r="4503" spans="1:9" hidden="1" x14ac:dyDescent="0.2">
      <c r="A4503" s="6">
        <v>43996.708333333336</v>
      </c>
      <c r="B4503" s="1" t="s">
        <v>24</v>
      </c>
      <c r="C4503">
        <v>7</v>
      </c>
      <c r="D4503">
        <v>0</v>
      </c>
      <c r="E4503">
        <v>144</v>
      </c>
      <c r="F4503">
        <v>1191</v>
      </c>
      <c r="G4503" s="3">
        <f t="shared" si="210"/>
        <v>0</v>
      </c>
      <c r="H4503" s="4">
        <f t="shared" si="211"/>
        <v>0</v>
      </c>
      <c r="I4503" s="1">
        <f t="shared" si="212"/>
        <v>0</v>
      </c>
    </row>
    <row r="4504" spans="1:9" hidden="1" x14ac:dyDescent="0.2">
      <c r="A4504" s="6">
        <v>43997.708333333336</v>
      </c>
      <c r="B4504" s="1" t="s">
        <v>24</v>
      </c>
      <c r="C4504">
        <v>7</v>
      </c>
      <c r="D4504">
        <v>0</v>
      </c>
      <c r="E4504">
        <v>144</v>
      </c>
      <c r="F4504">
        <v>1191</v>
      </c>
      <c r="G4504" s="3">
        <f t="shared" si="210"/>
        <v>0</v>
      </c>
      <c r="H4504" s="4">
        <f t="shared" si="211"/>
        <v>0</v>
      </c>
      <c r="I4504" s="1">
        <f t="shared" si="212"/>
        <v>0</v>
      </c>
    </row>
    <row r="4505" spans="1:9" hidden="1" x14ac:dyDescent="0.2">
      <c r="A4505" s="6">
        <v>43998.708333333336</v>
      </c>
      <c r="B4505" s="1" t="s">
        <v>24</v>
      </c>
      <c r="C4505">
        <v>6</v>
      </c>
      <c r="D4505">
        <v>0</v>
      </c>
      <c r="E4505">
        <v>144</v>
      </c>
      <c r="F4505">
        <v>1191</v>
      </c>
      <c r="G4505" s="3">
        <f t="shared" si="210"/>
        <v>0</v>
      </c>
      <c r="H4505" s="4">
        <f t="shared" si="211"/>
        <v>0</v>
      </c>
      <c r="I4505" s="1">
        <f t="shared" si="212"/>
        <v>0</v>
      </c>
    </row>
    <row r="4506" spans="1:9" hidden="1" x14ac:dyDescent="0.2">
      <c r="A4506" s="6">
        <v>43999.708333333336</v>
      </c>
      <c r="B4506" s="1" t="s">
        <v>24</v>
      </c>
      <c r="C4506">
        <v>5</v>
      </c>
      <c r="D4506">
        <v>0</v>
      </c>
      <c r="E4506">
        <v>144</v>
      </c>
      <c r="F4506">
        <v>1191</v>
      </c>
      <c r="G4506" s="3">
        <f t="shared" si="210"/>
        <v>0</v>
      </c>
      <c r="H4506" s="4">
        <f t="shared" si="211"/>
        <v>0</v>
      </c>
      <c r="I4506" s="1">
        <f t="shared" si="212"/>
        <v>0</v>
      </c>
    </row>
    <row r="4507" spans="1:9" hidden="1" x14ac:dyDescent="0.2">
      <c r="A4507" s="6">
        <v>44000.708333333336</v>
      </c>
      <c r="B4507" s="1" t="s">
        <v>24</v>
      </c>
      <c r="C4507">
        <v>5</v>
      </c>
      <c r="D4507">
        <v>0</v>
      </c>
      <c r="E4507">
        <v>145</v>
      </c>
      <c r="F4507">
        <v>1191</v>
      </c>
      <c r="G4507" s="3">
        <f t="shared" si="210"/>
        <v>0</v>
      </c>
      <c r="H4507" s="4">
        <f t="shared" si="211"/>
        <v>0</v>
      </c>
      <c r="I4507" s="1">
        <f t="shared" si="212"/>
        <v>1</v>
      </c>
    </row>
    <row r="4508" spans="1:9" hidden="1" x14ac:dyDescent="0.2">
      <c r="A4508" s="6">
        <v>44001.708333333336</v>
      </c>
      <c r="B4508" s="1" t="s">
        <v>24</v>
      </c>
      <c r="C4508">
        <v>4</v>
      </c>
      <c r="D4508">
        <v>0</v>
      </c>
      <c r="E4508">
        <v>146</v>
      </c>
      <c r="F4508">
        <v>1191</v>
      </c>
      <c r="G4508" s="3">
        <f t="shared" si="210"/>
        <v>0</v>
      </c>
      <c r="H4508" s="4">
        <f t="shared" si="211"/>
        <v>0</v>
      </c>
      <c r="I4508" s="1">
        <f t="shared" si="212"/>
        <v>1</v>
      </c>
    </row>
    <row r="4509" spans="1:9" hidden="1" x14ac:dyDescent="0.2">
      <c r="A4509" s="6">
        <v>44002.708333333336</v>
      </c>
      <c r="B4509" s="1" t="s">
        <v>24</v>
      </c>
      <c r="C4509">
        <v>4</v>
      </c>
      <c r="D4509">
        <v>0</v>
      </c>
      <c r="E4509">
        <v>146</v>
      </c>
      <c r="F4509">
        <v>1193</v>
      </c>
      <c r="G4509" s="3">
        <f t="shared" si="210"/>
        <v>2</v>
      </c>
      <c r="H4509" s="4">
        <f t="shared" si="211"/>
        <v>1.6764459346185756E-3</v>
      </c>
      <c r="I4509" s="1">
        <f t="shared" si="212"/>
        <v>0</v>
      </c>
    </row>
    <row r="4510" spans="1:9" hidden="1" x14ac:dyDescent="0.2">
      <c r="A4510" s="6">
        <v>44003.708333333336</v>
      </c>
      <c r="B4510" s="1" t="s">
        <v>24</v>
      </c>
      <c r="C4510">
        <v>4</v>
      </c>
      <c r="D4510">
        <v>0</v>
      </c>
      <c r="E4510">
        <v>146</v>
      </c>
      <c r="F4510">
        <v>1193</v>
      </c>
      <c r="G4510" s="3">
        <f t="shared" si="210"/>
        <v>0</v>
      </c>
      <c r="H4510" s="4">
        <f t="shared" si="211"/>
        <v>0</v>
      </c>
      <c r="I4510" s="1">
        <f t="shared" si="212"/>
        <v>0</v>
      </c>
    </row>
    <row r="4511" spans="1:9" hidden="1" x14ac:dyDescent="0.2">
      <c r="A4511" s="6">
        <v>44004.708333333336</v>
      </c>
      <c r="B4511" s="1" t="s">
        <v>24</v>
      </c>
      <c r="C4511">
        <v>4</v>
      </c>
      <c r="D4511">
        <v>0</v>
      </c>
      <c r="E4511">
        <v>146</v>
      </c>
      <c r="F4511">
        <v>1193</v>
      </c>
      <c r="G4511" s="3">
        <f t="shared" si="210"/>
        <v>0</v>
      </c>
      <c r="H4511" s="4">
        <f t="shared" si="211"/>
        <v>0</v>
      </c>
      <c r="I4511" s="1">
        <f t="shared" si="212"/>
        <v>0</v>
      </c>
    </row>
    <row r="4512" spans="1:9" hidden="1" x14ac:dyDescent="0.2">
      <c r="A4512" s="6">
        <v>44005.708333333336</v>
      </c>
      <c r="B4512" s="1" t="s">
        <v>24</v>
      </c>
      <c r="C4512">
        <v>3</v>
      </c>
      <c r="D4512">
        <v>0</v>
      </c>
      <c r="E4512">
        <v>146</v>
      </c>
      <c r="F4512">
        <v>1193</v>
      </c>
      <c r="G4512" s="3">
        <f t="shared" si="210"/>
        <v>0</v>
      </c>
      <c r="H4512" s="4">
        <f t="shared" si="211"/>
        <v>0</v>
      </c>
      <c r="I4512" s="1">
        <f t="shared" si="212"/>
        <v>0</v>
      </c>
    </row>
    <row r="4513" spans="1:9" hidden="1" x14ac:dyDescent="0.2">
      <c r="A4513" s="6">
        <v>44006.708333333336</v>
      </c>
      <c r="B4513" s="1" t="s">
        <v>24</v>
      </c>
      <c r="C4513">
        <v>3</v>
      </c>
      <c r="D4513">
        <v>0</v>
      </c>
      <c r="E4513">
        <v>146</v>
      </c>
      <c r="F4513">
        <v>1194</v>
      </c>
      <c r="G4513" s="3">
        <f t="shared" si="210"/>
        <v>1</v>
      </c>
      <c r="H4513" s="4">
        <f t="shared" si="211"/>
        <v>8.3752093802347272E-4</v>
      </c>
      <c r="I4513" s="1">
        <f t="shared" si="212"/>
        <v>0</v>
      </c>
    </row>
    <row r="4514" spans="1:9" hidden="1" x14ac:dyDescent="0.2">
      <c r="A4514" s="6">
        <v>44007.708333333336</v>
      </c>
      <c r="B4514" s="1" t="s">
        <v>24</v>
      </c>
      <c r="C4514">
        <v>2</v>
      </c>
      <c r="D4514">
        <v>0</v>
      </c>
      <c r="E4514">
        <v>146</v>
      </c>
      <c r="F4514">
        <v>1194</v>
      </c>
      <c r="G4514" s="3">
        <f t="shared" si="210"/>
        <v>0</v>
      </c>
      <c r="H4514" s="4">
        <f t="shared" si="211"/>
        <v>0</v>
      </c>
      <c r="I4514" s="1">
        <f t="shared" si="212"/>
        <v>0</v>
      </c>
    </row>
    <row r="4515" spans="1:9" hidden="1" x14ac:dyDescent="0.2">
      <c r="A4515" s="6">
        <v>44008.708333333336</v>
      </c>
      <c r="B4515" s="1" t="s">
        <v>24</v>
      </c>
      <c r="C4515">
        <v>2</v>
      </c>
      <c r="D4515">
        <v>0</v>
      </c>
      <c r="E4515">
        <v>146</v>
      </c>
      <c r="F4515">
        <v>1194</v>
      </c>
      <c r="G4515" s="3">
        <f t="shared" si="210"/>
        <v>0</v>
      </c>
      <c r="H4515" s="4">
        <f t="shared" si="211"/>
        <v>0</v>
      </c>
      <c r="I4515" s="1">
        <f t="shared" si="212"/>
        <v>0</v>
      </c>
    </row>
    <row r="4516" spans="1:9" hidden="1" x14ac:dyDescent="0.2">
      <c r="A4516" s="6">
        <v>44009.708333333336</v>
      </c>
      <c r="B4516" s="1" t="s">
        <v>24</v>
      </c>
      <c r="C4516">
        <v>2</v>
      </c>
      <c r="D4516">
        <v>0</v>
      </c>
      <c r="E4516">
        <v>146</v>
      </c>
      <c r="F4516">
        <v>1194</v>
      </c>
      <c r="G4516" s="3">
        <f t="shared" si="210"/>
        <v>0</v>
      </c>
      <c r="H4516" s="4">
        <f t="shared" si="211"/>
        <v>0</v>
      </c>
      <c r="I4516" s="1">
        <f t="shared" si="212"/>
        <v>0</v>
      </c>
    </row>
    <row r="4517" spans="1:9" hidden="1" x14ac:dyDescent="0.2">
      <c r="A4517" s="6">
        <v>44010.708333333336</v>
      </c>
      <c r="B4517" s="1" t="s">
        <v>24</v>
      </c>
      <c r="C4517">
        <v>3</v>
      </c>
      <c r="D4517">
        <v>0</v>
      </c>
      <c r="E4517">
        <v>146</v>
      </c>
      <c r="F4517">
        <v>1194</v>
      </c>
      <c r="G4517" s="3">
        <f t="shared" si="210"/>
        <v>0</v>
      </c>
      <c r="H4517" s="4">
        <f t="shared" si="211"/>
        <v>0</v>
      </c>
      <c r="I4517" s="1">
        <f t="shared" si="212"/>
        <v>0</v>
      </c>
    </row>
    <row r="4518" spans="1:9" hidden="1" x14ac:dyDescent="0.2">
      <c r="A4518" s="6">
        <v>44011.708333333336</v>
      </c>
      <c r="B4518" s="1" t="s">
        <v>24</v>
      </c>
      <c r="C4518">
        <v>3</v>
      </c>
      <c r="D4518">
        <v>0</v>
      </c>
      <c r="E4518">
        <v>146</v>
      </c>
      <c r="F4518">
        <v>1194</v>
      </c>
      <c r="G4518" s="3">
        <f t="shared" si="210"/>
        <v>0</v>
      </c>
      <c r="H4518" s="4">
        <f t="shared" si="211"/>
        <v>0</v>
      </c>
      <c r="I4518" s="1">
        <f t="shared" si="212"/>
        <v>0</v>
      </c>
    </row>
    <row r="4519" spans="1:9" hidden="1" x14ac:dyDescent="0.2">
      <c r="A4519" s="6">
        <v>44012.708333333336</v>
      </c>
      <c r="B4519" s="1" t="s">
        <v>24</v>
      </c>
      <c r="C4519">
        <v>4</v>
      </c>
      <c r="D4519">
        <v>0</v>
      </c>
      <c r="E4519">
        <v>146</v>
      </c>
      <c r="F4519">
        <v>1195</v>
      </c>
      <c r="G4519" s="3">
        <f t="shared" si="210"/>
        <v>1</v>
      </c>
      <c r="H4519" s="4">
        <f t="shared" si="211"/>
        <v>8.3682008368202165E-4</v>
      </c>
      <c r="I4519" s="1">
        <f t="shared" si="212"/>
        <v>0</v>
      </c>
    </row>
    <row r="4520" spans="1:9" hidden="1" x14ac:dyDescent="0.2">
      <c r="A4520" s="6">
        <v>44013.708333333336</v>
      </c>
      <c r="B4520" s="1" t="s">
        <v>24</v>
      </c>
      <c r="C4520">
        <v>2</v>
      </c>
      <c r="D4520">
        <v>0</v>
      </c>
      <c r="E4520">
        <v>146</v>
      </c>
      <c r="F4520">
        <v>1195</v>
      </c>
      <c r="G4520" s="3">
        <f t="shared" si="210"/>
        <v>0</v>
      </c>
      <c r="H4520" s="4">
        <f t="shared" si="211"/>
        <v>0</v>
      </c>
      <c r="I4520" s="1">
        <f t="shared" si="212"/>
        <v>0</v>
      </c>
    </row>
    <row r="4521" spans="1:9" hidden="1" x14ac:dyDescent="0.2">
      <c r="A4521" s="6">
        <v>44014.708333333336</v>
      </c>
      <c r="B4521" s="1" t="s">
        <v>24</v>
      </c>
      <c r="C4521">
        <v>2</v>
      </c>
      <c r="D4521">
        <v>0</v>
      </c>
      <c r="E4521">
        <v>146</v>
      </c>
      <c r="F4521">
        <v>1195</v>
      </c>
      <c r="G4521" s="3">
        <f t="shared" si="210"/>
        <v>0</v>
      </c>
      <c r="H4521" s="4">
        <f t="shared" si="211"/>
        <v>0</v>
      </c>
      <c r="I4521" s="1">
        <f t="shared" si="212"/>
        <v>0</v>
      </c>
    </row>
    <row r="4522" spans="1:9" hidden="1" x14ac:dyDescent="0.2">
      <c r="A4522" s="6">
        <v>44015.708333333336</v>
      </c>
      <c r="B4522" s="1" t="s">
        <v>24</v>
      </c>
      <c r="C4522">
        <v>3</v>
      </c>
      <c r="D4522">
        <v>0</v>
      </c>
      <c r="E4522">
        <v>146</v>
      </c>
      <c r="F4522">
        <v>1196</v>
      </c>
      <c r="G4522" s="3">
        <f t="shared" si="210"/>
        <v>1</v>
      </c>
      <c r="H4522" s="4">
        <f t="shared" si="211"/>
        <v>8.361204013378476E-4</v>
      </c>
      <c r="I4522" s="1">
        <f t="shared" si="212"/>
        <v>0</v>
      </c>
    </row>
    <row r="4523" spans="1:9" hidden="1" x14ac:dyDescent="0.2">
      <c r="A4523" s="6">
        <v>44016.708333333336</v>
      </c>
      <c r="B4523" s="1" t="s">
        <v>24</v>
      </c>
      <c r="C4523">
        <v>3</v>
      </c>
      <c r="D4523">
        <v>0</v>
      </c>
      <c r="E4523">
        <v>146</v>
      </c>
      <c r="F4523">
        <v>1196</v>
      </c>
      <c r="G4523" s="3">
        <f t="shared" si="210"/>
        <v>0</v>
      </c>
      <c r="H4523" s="4">
        <f t="shared" si="211"/>
        <v>0</v>
      </c>
      <c r="I4523" s="1">
        <f t="shared" si="212"/>
        <v>0</v>
      </c>
    </row>
    <row r="4524" spans="1:9" hidden="1" x14ac:dyDescent="0.2">
      <c r="A4524" s="6">
        <v>44017.708333333336</v>
      </c>
      <c r="B4524" s="1" t="s">
        <v>24</v>
      </c>
      <c r="C4524">
        <v>4</v>
      </c>
      <c r="D4524">
        <v>0</v>
      </c>
      <c r="E4524">
        <v>146</v>
      </c>
      <c r="F4524">
        <v>1196</v>
      </c>
      <c r="G4524" s="3">
        <f t="shared" si="210"/>
        <v>0</v>
      </c>
      <c r="H4524" s="4">
        <f t="shared" si="211"/>
        <v>0</v>
      </c>
      <c r="I4524" s="1">
        <f t="shared" si="212"/>
        <v>0</v>
      </c>
    </row>
    <row r="4525" spans="1:9" hidden="1" x14ac:dyDescent="0.2">
      <c r="A4525" s="6">
        <v>44018.708333333336</v>
      </c>
      <c r="B4525" s="1" t="s">
        <v>24</v>
      </c>
      <c r="C4525">
        <v>4</v>
      </c>
      <c r="D4525">
        <v>0</v>
      </c>
      <c r="E4525">
        <v>146</v>
      </c>
      <c r="F4525">
        <v>1196</v>
      </c>
      <c r="G4525" s="3">
        <f t="shared" si="210"/>
        <v>0</v>
      </c>
      <c r="H4525" s="4">
        <f t="shared" si="211"/>
        <v>0</v>
      </c>
      <c r="I4525" s="1">
        <f t="shared" si="212"/>
        <v>0</v>
      </c>
    </row>
    <row r="4526" spans="1:9" hidden="1" x14ac:dyDescent="0.2">
      <c r="A4526" s="6">
        <v>44019.708333333336</v>
      </c>
      <c r="B4526" s="1" t="s">
        <v>24</v>
      </c>
      <c r="C4526">
        <v>4</v>
      </c>
      <c r="D4526">
        <v>0</v>
      </c>
      <c r="E4526">
        <v>146</v>
      </c>
      <c r="F4526">
        <v>1196</v>
      </c>
      <c r="G4526" s="3">
        <f t="shared" si="210"/>
        <v>0</v>
      </c>
      <c r="H4526" s="4">
        <f t="shared" si="211"/>
        <v>0</v>
      </c>
      <c r="I4526" s="1">
        <f t="shared" si="212"/>
        <v>0</v>
      </c>
    </row>
    <row r="4527" spans="1:9" hidden="1" x14ac:dyDescent="0.2">
      <c r="A4527" s="6">
        <v>44020.708333333336</v>
      </c>
      <c r="B4527" s="1" t="s">
        <v>24</v>
      </c>
      <c r="C4527">
        <v>4</v>
      </c>
      <c r="D4527">
        <v>0</v>
      </c>
      <c r="E4527">
        <v>146</v>
      </c>
      <c r="F4527">
        <v>1196</v>
      </c>
      <c r="G4527" s="3">
        <f t="shared" si="210"/>
        <v>0</v>
      </c>
      <c r="H4527" s="4">
        <f t="shared" si="211"/>
        <v>0</v>
      </c>
      <c r="I4527" s="1">
        <f t="shared" si="212"/>
        <v>0</v>
      </c>
    </row>
    <row r="4528" spans="1:9" hidden="1" x14ac:dyDescent="0.2">
      <c r="A4528" s="6">
        <v>44021.708333333336</v>
      </c>
      <c r="B4528" s="1" t="s">
        <v>24</v>
      </c>
      <c r="C4528">
        <v>4</v>
      </c>
      <c r="D4528">
        <v>0</v>
      </c>
      <c r="E4528">
        <v>146</v>
      </c>
      <c r="F4528">
        <v>1196</v>
      </c>
      <c r="G4528" s="3">
        <f t="shared" si="210"/>
        <v>0</v>
      </c>
      <c r="H4528" s="4">
        <f t="shared" si="211"/>
        <v>0</v>
      </c>
      <c r="I4528" s="1">
        <f t="shared" si="212"/>
        <v>0</v>
      </c>
    </row>
    <row r="4529" spans="1:9" hidden="1" x14ac:dyDescent="0.2">
      <c r="A4529" s="6">
        <v>44022.708333333336</v>
      </c>
      <c r="B4529" s="1" t="s">
        <v>24</v>
      </c>
      <c r="C4529">
        <v>4</v>
      </c>
      <c r="D4529">
        <v>0</v>
      </c>
      <c r="E4529">
        <v>146</v>
      </c>
      <c r="F4529">
        <v>1196</v>
      </c>
      <c r="G4529" s="3">
        <f t="shared" si="210"/>
        <v>0</v>
      </c>
      <c r="H4529" s="4">
        <f t="shared" si="211"/>
        <v>0</v>
      </c>
      <c r="I4529" s="1">
        <f t="shared" si="212"/>
        <v>0</v>
      </c>
    </row>
    <row r="4530" spans="1:9" hidden="1" x14ac:dyDescent="0.2">
      <c r="A4530" s="6">
        <v>44023.708333333336</v>
      </c>
      <c r="B4530" s="1" t="s">
        <v>24</v>
      </c>
      <c r="C4530">
        <v>2</v>
      </c>
      <c r="D4530">
        <v>0</v>
      </c>
      <c r="E4530">
        <v>146</v>
      </c>
      <c r="F4530">
        <v>1196</v>
      </c>
      <c r="G4530" s="3">
        <f t="shared" si="210"/>
        <v>0</v>
      </c>
      <c r="H4530" s="4">
        <f t="shared" si="211"/>
        <v>0</v>
      </c>
      <c r="I4530" s="1">
        <f t="shared" si="212"/>
        <v>0</v>
      </c>
    </row>
    <row r="4531" spans="1:9" hidden="1" x14ac:dyDescent="0.2">
      <c r="A4531" s="6">
        <v>44024.708333333336</v>
      </c>
      <c r="B4531" s="1" t="s">
        <v>24</v>
      </c>
      <c r="C4531">
        <v>2</v>
      </c>
      <c r="D4531">
        <v>0</v>
      </c>
      <c r="E4531">
        <v>146</v>
      </c>
      <c r="F4531">
        <v>1196</v>
      </c>
      <c r="G4531" s="3">
        <f t="shared" si="210"/>
        <v>0</v>
      </c>
      <c r="H4531" s="4">
        <f t="shared" si="211"/>
        <v>0</v>
      </c>
      <c r="I4531" s="1">
        <f t="shared" si="212"/>
        <v>0</v>
      </c>
    </row>
    <row r="4532" spans="1:9" hidden="1" x14ac:dyDescent="0.2">
      <c r="A4532" s="6">
        <v>44025.708333333336</v>
      </c>
      <c r="B4532" s="1" t="s">
        <v>24</v>
      </c>
      <c r="C4532">
        <v>2</v>
      </c>
      <c r="D4532">
        <v>0</v>
      </c>
      <c r="E4532">
        <v>146</v>
      </c>
      <c r="F4532">
        <v>1196</v>
      </c>
      <c r="G4532" s="3">
        <f t="shared" si="210"/>
        <v>0</v>
      </c>
      <c r="H4532" s="4">
        <f t="shared" si="211"/>
        <v>0</v>
      </c>
      <c r="I4532" s="1">
        <f t="shared" si="212"/>
        <v>0</v>
      </c>
    </row>
    <row r="4533" spans="1:9" hidden="1" x14ac:dyDescent="0.2">
      <c r="A4533" s="6">
        <v>44026.708333333336</v>
      </c>
      <c r="B4533" s="1" t="s">
        <v>24</v>
      </c>
      <c r="C4533">
        <v>3</v>
      </c>
      <c r="D4533">
        <v>0</v>
      </c>
      <c r="E4533">
        <v>146</v>
      </c>
      <c r="F4533">
        <v>1196</v>
      </c>
      <c r="G4533" s="3">
        <f t="shared" si="210"/>
        <v>0</v>
      </c>
      <c r="H4533" s="4">
        <f t="shared" si="211"/>
        <v>0</v>
      </c>
      <c r="I4533" s="1">
        <f t="shared" si="212"/>
        <v>0</v>
      </c>
    </row>
    <row r="4534" spans="1:9" hidden="1" x14ac:dyDescent="0.2">
      <c r="A4534" s="6">
        <v>44027.708333333336</v>
      </c>
      <c r="B4534" s="1" t="s">
        <v>24</v>
      </c>
      <c r="C4534">
        <v>1</v>
      </c>
      <c r="D4534">
        <v>0</v>
      </c>
      <c r="E4534">
        <v>146</v>
      </c>
      <c r="F4534">
        <v>1196</v>
      </c>
      <c r="G4534" s="3">
        <f t="shared" si="210"/>
        <v>0</v>
      </c>
      <c r="H4534" s="4">
        <f t="shared" si="211"/>
        <v>0</v>
      </c>
      <c r="I4534" s="1">
        <f t="shared" si="212"/>
        <v>0</v>
      </c>
    </row>
    <row r="4535" spans="1:9" hidden="1" x14ac:dyDescent="0.2">
      <c r="A4535" s="6">
        <v>44028.708333333336</v>
      </c>
      <c r="B4535" s="1" t="s">
        <v>24</v>
      </c>
      <c r="C4535">
        <v>1</v>
      </c>
      <c r="D4535">
        <v>0</v>
      </c>
      <c r="E4535">
        <v>146</v>
      </c>
      <c r="F4535">
        <v>1196</v>
      </c>
      <c r="G4535" s="3">
        <f t="shared" si="210"/>
        <v>0</v>
      </c>
      <c r="H4535" s="4">
        <f t="shared" si="211"/>
        <v>0</v>
      </c>
      <c r="I4535" s="1">
        <f t="shared" si="212"/>
        <v>0</v>
      </c>
    </row>
    <row r="4536" spans="1:9" hidden="1" x14ac:dyDescent="0.2">
      <c r="A4536" s="6">
        <v>44029.708333333336</v>
      </c>
      <c r="B4536" s="1" t="s">
        <v>24</v>
      </c>
      <c r="C4536">
        <v>2</v>
      </c>
      <c r="D4536">
        <v>0</v>
      </c>
      <c r="E4536">
        <v>146</v>
      </c>
      <c r="F4536">
        <v>1196</v>
      </c>
      <c r="G4536" s="3">
        <f t="shared" si="210"/>
        <v>0</v>
      </c>
      <c r="H4536" s="4">
        <f t="shared" si="211"/>
        <v>0</v>
      </c>
      <c r="I4536" s="1">
        <f t="shared" si="212"/>
        <v>0</v>
      </c>
    </row>
    <row r="4537" spans="1:9" hidden="1" x14ac:dyDescent="0.2">
      <c r="A4537" s="6">
        <v>44030.708333333336</v>
      </c>
      <c r="B4537" s="1" t="s">
        <v>24</v>
      </c>
      <c r="C4537">
        <v>2</v>
      </c>
      <c r="D4537">
        <v>0</v>
      </c>
      <c r="E4537">
        <v>146</v>
      </c>
      <c r="F4537">
        <v>1196</v>
      </c>
      <c r="G4537" s="3">
        <f t="shared" si="210"/>
        <v>0</v>
      </c>
      <c r="H4537" s="4">
        <f t="shared" si="211"/>
        <v>0</v>
      </c>
      <c r="I4537" s="1">
        <f t="shared" si="212"/>
        <v>0</v>
      </c>
    </row>
    <row r="4538" spans="1:9" hidden="1" x14ac:dyDescent="0.2">
      <c r="A4538" s="6">
        <v>44031.708333333336</v>
      </c>
      <c r="B4538" s="1" t="s">
        <v>24</v>
      </c>
      <c r="C4538">
        <v>2</v>
      </c>
      <c r="D4538">
        <v>0</v>
      </c>
      <c r="E4538">
        <v>146</v>
      </c>
      <c r="F4538">
        <v>1196</v>
      </c>
      <c r="G4538" s="3">
        <f t="shared" si="210"/>
        <v>0</v>
      </c>
      <c r="H4538" s="4">
        <f t="shared" si="211"/>
        <v>0</v>
      </c>
      <c r="I4538" s="1">
        <f t="shared" si="212"/>
        <v>0</v>
      </c>
    </row>
    <row r="4539" spans="1:9" hidden="1" x14ac:dyDescent="0.2">
      <c r="A4539" s="6">
        <v>44032.708333333336</v>
      </c>
      <c r="B4539" s="1" t="s">
        <v>24</v>
      </c>
      <c r="C4539">
        <v>1</v>
      </c>
      <c r="D4539">
        <v>0</v>
      </c>
      <c r="E4539">
        <v>146</v>
      </c>
      <c r="F4539">
        <v>1196</v>
      </c>
      <c r="G4539" s="3">
        <f t="shared" si="210"/>
        <v>0</v>
      </c>
      <c r="H4539" s="4">
        <f t="shared" si="211"/>
        <v>0</v>
      </c>
      <c r="I4539" s="1">
        <f t="shared" si="212"/>
        <v>0</v>
      </c>
    </row>
    <row r="4540" spans="1:9" hidden="1" x14ac:dyDescent="0.2">
      <c r="A4540" s="6">
        <v>44033.708333333336</v>
      </c>
      <c r="B4540" s="1" t="s">
        <v>24</v>
      </c>
      <c r="C4540">
        <v>1</v>
      </c>
      <c r="D4540">
        <v>0</v>
      </c>
      <c r="E4540">
        <v>146</v>
      </c>
      <c r="F4540">
        <v>1196</v>
      </c>
      <c r="G4540" s="3">
        <f t="shared" si="210"/>
        <v>0</v>
      </c>
      <c r="H4540" s="4">
        <f t="shared" si="211"/>
        <v>0</v>
      </c>
      <c r="I4540" s="1">
        <f t="shared" si="212"/>
        <v>0</v>
      </c>
    </row>
    <row r="4541" spans="1:9" hidden="1" x14ac:dyDescent="0.2">
      <c r="A4541" s="6">
        <v>44034.708333333336</v>
      </c>
      <c r="B4541" s="1" t="s">
        <v>24</v>
      </c>
      <c r="C4541">
        <v>1</v>
      </c>
      <c r="D4541">
        <v>0</v>
      </c>
      <c r="E4541">
        <v>146</v>
      </c>
      <c r="F4541">
        <v>1196</v>
      </c>
      <c r="G4541" s="3">
        <f t="shared" si="210"/>
        <v>0</v>
      </c>
      <c r="H4541" s="4">
        <f t="shared" si="211"/>
        <v>0</v>
      </c>
      <c r="I4541" s="1">
        <f t="shared" si="212"/>
        <v>0</v>
      </c>
    </row>
    <row r="4542" spans="1:9" hidden="1" x14ac:dyDescent="0.2">
      <c r="A4542" s="6">
        <v>44035.708333333336</v>
      </c>
      <c r="B4542" s="1" t="s">
        <v>24</v>
      </c>
      <c r="C4542">
        <v>1</v>
      </c>
      <c r="D4542">
        <v>0</v>
      </c>
      <c r="E4542">
        <v>146</v>
      </c>
      <c r="F4542">
        <v>1196</v>
      </c>
      <c r="G4542" s="3">
        <f t="shared" si="210"/>
        <v>0</v>
      </c>
      <c r="H4542" s="4">
        <f t="shared" si="211"/>
        <v>0</v>
      </c>
      <c r="I4542" s="1">
        <f t="shared" si="212"/>
        <v>0</v>
      </c>
    </row>
    <row r="4543" spans="1:9" hidden="1" x14ac:dyDescent="0.2">
      <c r="A4543" s="6">
        <v>44036.708333333336</v>
      </c>
      <c r="B4543" s="1" t="s">
        <v>24</v>
      </c>
      <c r="C4543">
        <v>1</v>
      </c>
      <c r="D4543">
        <v>0</v>
      </c>
      <c r="E4543">
        <v>146</v>
      </c>
      <c r="F4543">
        <v>1196</v>
      </c>
      <c r="G4543" s="3">
        <f t="shared" si="210"/>
        <v>0</v>
      </c>
      <c r="H4543" s="4">
        <f t="shared" si="211"/>
        <v>0</v>
      </c>
      <c r="I4543" s="1">
        <f t="shared" si="212"/>
        <v>0</v>
      </c>
    </row>
    <row r="4544" spans="1:9" hidden="1" x14ac:dyDescent="0.2">
      <c r="A4544" s="6">
        <v>44037.708333333336</v>
      </c>
      <c r="B4544" s="1" t="s">
        <v>24</v>
      </c>
      <c r="C4544">
        <v>1</v>
      </c>
      <c r="D4544">
        <v>0</v>
      </c>
      <c r="E4544">
        <v>146</v>
      </c>
      <c r="F4544">
        <v>1196</v>
      </c>
      <c r="G4544" s="3">
        <f t="shared" si="210"/>
        <v>0</v>
      </c>
      <c r="H4544" s="4">
        <f t="shared" si="211"/>
        <v>0</v>
      </c>
      <c r="I4544" s="1">
        <f t="shared" si="212"/>
        <v>0</v>
      </c>
    </row>
    <row r="4545" spans="1:9" hidden="1" x14ac:dyDescent="0.2">
      <c r="A4545" s="6">
        <v>44038.708333333336</v>
      </c>
      <c r="B4545" s="1" t="s">
        <v>24</v>
      </c>
      <c r="C4545">
        <v>1</v>
      </c>
      <c r="D4545">
        <v>0</v>
      </c>
      <c r="E4545">
        <v>146</v>
      </c>
      <c r="F4545">
        <v>1196</v>
      </c>
      <c r="G4545" s="3">
        <f t="shared" si="210"/>
        <v>0</v>
      </c>
      <c r="H4545" s="4">
        <f t="shared" si="211"/>
        <v>0</v>
      </c>
      <c r="I4545" s="1">
        <f t="shared" si="212"/>
        <v>0</v>
      </c>
    </row>
    <row r="4546" spans="1:9" hidden="1" x14ac:dyDescent="0.2">
      <c r="A4546" s="6">
        <v>44039.708333333336</v>
      </c>
      <c r="B4546" s="1" t="s">
        <v>24</v>
      </c>
      <c r="C4546">
        <v>1</v>
      </c>
      <c r="D4546">
        <v>0</v>
      </c>
      <c r="E4546">
        <v>146</v>
      </c>
      <c r="F4546">
        <v>1196</v>
      </c>
      <c r="G4546" s="3">
        <f t="shared" si="210"/>
        <v>0</v>
      </c>
      <c r="H4546" s="4">
        <f t="shared" si="211"/>
        <v>0</v>
      </c>
      <c r="I4546" s="1">
        <f t="shared" si="212"/>
        <v>0</v>
      </c>
    </row>
    <row r="4547" spans="1:9" hidden="1" x14ac:dyDescent="0.2">
      <c r="A4547" s="6">
        <v>44040.708333333336</v>
      </c>
      <c r="B4547" s="1" t="s">
        <v>24</v>
      </c>
      <c r="C4547">
        <v>1</v>
      </c>
      <c r="D4547">
        <v>0</v>
      </c>
      <c r="E4547">
        <v>146</v>
      </c>
      <c r="F4547">
        <v>1206</v>
      </c>
      <c r="G4547" s="3">
        <f t="shared" ref="G4547:G4610" si="213">IF(AND(F4547&gt;0,AND(B4547=B4546,F4547&gt;0)),F4547-F4546,0)</f>
        <v>10</v>
      </c>
      <c r="H4547" s="4">
        <f t="shared" ref="H4547:H4610" si="214">IF(AND(F4546&gt;0,AND(B4547=B4546,F4546&gt;0)),1-(F4546/F4547),0)</f>
        <v>8.2918739635157168E-3</v>
      </c>
      <c r="I4547" s="1">
        <f t="shared" ref="I4547:I4610" si="215">IF(AND(E4547&gt;0,AND(B4547=B4546,E4547&gt;0)),E4547-E4546,0)</f>
        <v>0</v>
      </c>
    </row>
    <row r="4548" spans="1:9" hidden="1" x14ac:dyDescent="0.2">
      <c r="A4548" s="6">
        <v>44041.708333333336</v>
      </c>
      <c r="B4548" s="1" t="s">
        <v>24</v>
      </c>
      <c r="C4548">
        <v>1</v>
      </c>
      <c r="D4548">
        <v>0</v>
      </c>
      <c r="E4548">
        <v>146</v>
      </c>
      <c r="F4548">
        <v>1208</v>
      </c>
      <c r="G4548" s="3">
        <f t="shared" si="213"/>
        <v>2</v>
      </c>
      <c r="H4548" s="4">
        <f t="shared" si="214"/>
        <v>1.6556291390728006E-3</v>
      </c>
      <c r="I4548" s="1">
        <f t="shared" si="215"/>
        <v>0</v>
      </c>
    </row>
    <row r="4549" spans="1:9" hidden="1" x14ac:dyDescent="0.2">
      <c r="A4549" s="6">
        <v>44042.708333333336</v>
      </c>
      <c r="B4549" s="1" t="s">
        <v>24</v>
      </c>
      <c r="C4549">
        <v>1</v>
      </c>
      <c r="D4549">
        <v>0</v>
      </c>
      <c r="E4549">
        <v>146</v>
      </c>
      <c r="F4549">
        <v>1208</v>
      </c>
      <c r="G4549" s="3">
        <f t="shared" si="213"/>
        <v>0</v>
      </c>
      <c r="H4549" s="4">
        <f t="shared" si="214"/>
        <v>0</v>
      </c>
      <c r="I4549" s="1">
        <f t="shared" si="215"/>
        <v>0</v>
      </c>
    </row>
    <row r="4550" spans="1:9" hidden="1" x14ac:dyDescent="0.2">
      <c r="A4550" s="6">
        <v>44043.708333333336</v>
      </c>
      <c r="B4550" s="1" t="s">
        <v>24</v>
      </c>
      <c r="C4550">
        <v>1</v>
      </c>
      <c r="D4550">
        <v>0</v>
      </c>
      <c r="E4550">
        <v>146</v>
      </c>
      <c r="F4550">
        <v>1208</v>
      </c>
      <c r="G4550" s="3">
        <f t="shared" si="213"/>
        <v>0</v>
      </c>
      <c r="H4550" s="4">
        <f t="shared" si="214"/>
        <v>0</v>
      </c>
      <c r="I4550" s="1">
        <f t="shared" si="215"/>
        <v>0</v>
      </c>
    </row>
    <row r="4551" spans="1:9" hidden="1" x14ac:dyDescent="0.2">
      <c r="A4551" s="6">
        <v>44044.708333333336</v>
      </c>
      <c r="B4551" s="1" t="s">
        <v>24</v>
      </c>
      <c r="C4551">
        <v>1</v>
      </c>
      <c r="D4551">
        <v>0</v>
      </c>
      <c r="E4551">
        <v>146</v>
      </c>
      <c r="F4551">
        <v>1208</v>
      </c>
      <c r="G4551" s="3">
        <f t="shared" si="213"/>
        <v>0</v>
      </c>
      <c r="H4551" s="4">
        <f t="shared" si="214"/>
        <v>0</v>
      </c>
      <c r="I4551" s="1">
        <f t="shared" si="215"/>
        <v>0</v>
      </c>
    </row>
    <row r="4552" spans="1:9" hidden="1" x14ac:dyDescent="0.2">
      <c r="A4552" s="6">
        <v>44045.708333333336</v>
      </c>
      <c r="B4552" s="1" t="s">
        <v>24</v>
      </c>
      <c r="C4552">
        <v>1</v>
      </c>
      <c r="D4552">
        <v>0</v>
      </c>
      <c r="E4552">
        <v>146</v>
      </c>
      <c r="F4552">
        <v>1209</v>
      </c>
      <c r="G4552" s="3">
        <f t="shared" si="213"/>
        <v>1</v>
      </c>
      <c r="H4552" s="4">
        <f t="shared" si="214"/>
        <v>8.2712985938793171E-4</v>
      </c>
      <c r="I4552" s="1">
        <f t="shared" si="215"/>
        <v>0</v>
      </c>
    </row>
    <row r="4553" spans="1:9" hidden="1" x14ac:dyDescent="0.2">
      <c r="A4553" s="6">
        <v>44046.708333333336</v>
      </c>
      <c r="B4553" s="1" t="s">
        <v>24</v>
      </c>
      <c r="C4553">
        <v>1</v>
      </c>
      <c r="D4553">
        <v>0</v>
      </c>
      <c r="E4553">
        <v>146</v>
      </c>
      <c r="F4553">
        <v>1209</v>
      </c>
      <c r="G4553" s="3">
        <f t="shared" si="213"/>
        <v>0</v>
      </c>
      <c r="H4553" s="4">
        <f t="shared" si="214"/>
        <v>0</v>
      </c>
      <c r="I4553" s="1">
        <f t="shared" si="215"/>
        <v>0</v>
      </c>
    </row>
    <row r="4554" spans="1:9" hidden="1" x14ac:dyDescent="0.2">
      <c r="A4554" s="6">
        <v>44047.708333333336</v>
      </c>
      <c r="B4554" s="1" t="s">
        <v>24</v>
      </c>
      <c r="C4554">
        <v>1</v>
      </c>
      <c r="D4554">
        <v>0</v>
      </c>
      <c r="E4554">
        <v>146</v>
      </c>
      <c r="F4554">
        <v>1209</v>
      </c>
      <c r="G4554" s="3">
        <f t="shared" si="213"/>
        <v>0</v>
      </c>
      <c r="H4554" s="4">
        <f t="shared" si="214"/>
        <v>0</v>
      </c>
      <c r="I4554" s="1">
        <f t="shared" si="215"/>
        <v>0</v>
      </c>
    </row>
    <row r="4555" spans="1:9" hidden="1" x14ac:dyDescent="0.2">
      <c r="A4555" s="6">
        <v>44048.708333333336</v>
      </c>
      <c r="B4555" s="1" t="s">
        <v>24</v>
      </c>
      <c r="C4555">
        <v>1</v>
      </c>
      <c r="D4555">
        <v>0</v>
      </c>
      <c r="E4555">
        <v>146</v>
      </c>
      <c r="F4555">
        <v>1209</v>
      </c>
      <c r="G4555" s="3">
        <f t="shared" si="213"/>
        <v>0</v>
      </c>
      <c r="H4555" s="4">
        <f t="shared" si="214"/>
        <v>0</v>
      </c>
      <c r="I4555" s="1">
        <f t="shared" si="215"/>
        <v>0</v>
      </c>
    </row>
    <row r="4556" spans="1:9" hidden="1" x14ac:dyDescent="0.2">
      <c r="A4556" s="6">
        <v>44049.708333333336</v>
      </c>
      <c r="B4556" s="1" t="s">
        <v>24</v>
      </c>
      <c r="C4556">
        <v>1</v>
      </c>
      <c r="D4556">
        <v>0</v>
      </c>
      <c r="E4556">
        <v>146</v>
      </c>
      <c r="F4556">
        <v>1210</v>
      </c>
      <c r="G4556" s="3">
        <f t="shared" si="213"/>
        <v>1</v>
      </c>
      <c r="H4556" s="4">
        <f t="shared" si="214"/>
        <v>8.2644628099171058E-4</v>
      </c>
      <c r="I4556" s="1">
        <f t="shared" si="215"/>
        <v>0</v>
      </c>
    </row>
    <row r="4557" spans="1:9" hidden="1" x14ac:dyDescent="0.2">
      <c r="A4557" s="6">
        <v>44050.708333333336</v>
      </c>
      <c r="B4557" s="1" t="s">
        <v>24</v>
      </c>
      <c r="C4557">
        <v>5</v>
      </c>
      <c r="D4557">
        <v>0</v>
      </c>
      <c r="E4557">
        <v>146</v>
      </c>
      <c r="F4557">
        <v>1214</v>
      </c>
      <c r="G4557" s="3">
        <f t="shared" si="213"/>
        <v>4</v>
      </c>
      <c r="H4557" s="4">
        <f t="shared" si="214"/>
        <v>3.2948929159802853E-3</v>
      </c>
      <c r="I4557" s="1">
        <f t="shared" si="215"/>
        <v>0</v>
      </c>
    </row>
    <row r="4558" spans="1:9" hidden="1" x14ac:dyDescent="0.2">
      <c r="A4558" s="6">
        <v>44051.708333333336</v>
      </c>
      <c r="B4558" s="1" t="s">
        <v>24</v>
      </c>
      <c r="C4558">
        <v>5</v>
      </c>
      <c r="D4558">
        <v>0</v>
      </c>
      <c r="E4558">
        <v>146</v>
      </c>
      <c r="F4558">
        <v>1216</v>
      </c>
      <c r="G4558" s="3">
        <f t="shared" si="213"/>
        <v>2</v>
      </c>
      <c r="H4558" s="4">
        <f t="shared" si="214"/>
        <v>1.6447368421053099E-3</v>
      </c>
      <c r="I4558" s="1">
        <f t="shared" si="215"/>
        <v>0</v>
      </c>
    </row>
    <row r="4559" spans="1:9" hidden="1" x14ac:dyDescent="0.2">
      <c r="A4559" s="6">
        <v>44052.708333333336</v>
      </c>
      <c r="B4559" s="1" t="s">
        <v>24</v>
      </c>
      <c r="C4559">
        <v>5</v>
      </c>
      <c r="D4559">
        <v>0</v>
      </c>
      <c r="E4559">
        <v>146</v>
      </c>
      <c r="F4559">
        <v>1216</v>
      </c>
      <c r="G4559" s="3">
        <f t="shared" si="213"/>
        <v>0</v>
      </c>
      <c r="H4559" s="4">
        <f t="shared" si="214"/>
        <v>0</v>
      </c>
      <c r="I4559" s="1">
        <f t="shared" si="215"/>
        <v>0</v>
      </c>
    </row>
    <row r="4560" spans="1:9" hidden="1" x14ac:dyDescent="0.2">
      <c r="A4560" s="6">
        <v>44053.708333333336</v>
      </c>
      <c r="B4560" s="1" t="s">
        <v>24</v>
      </c>
      <c r="C4560">
        <v>5</v>
      </c>
      <c r="D4560">
        <v>0</v>
      </c>
      <c r="E4560">
        <v>146</v>
      </c>
      <c r="F4560">
        <v>1217</v>
      </c>
      <c r="G4560" s="3">
        <f t="shared" si="213"/>
        <v>1</v>
      </c>
      <c r="H4560" s="4">
        <f t="shared" si="214"/>
        <v>8.2169268693510489E-4</v>
      </c>
      <c r="I4560" s="1">
        <f t="shared" si="215"/>
        <v>0</v>
      </c>
    </row>
    <row r="4561" spans="1:9" hidden="1" x14ac:dyDescent="0.2">
      <c r="A4561" s="6">
        <v>44054.708333333336</v>
      </c>
      <c r="B4561" s="1" t="s">
        <v>24</v>
      </c>
      <c r="C4561">
        <v>5</v>
      </c>
      <c r="D4561">
        <v>0</v>
      </c>
      <c r="E4561">
        <v>146</v>
      </c>
      <c r="F4561">
        <v>1217</v>
      </c>
      <c r="G4561" s="3">
        <f t="shared" si="213"/>
        <v>0</v>
      </c>
      <c r="H4561" s="4">
        <f t="shared" si="214"/>
        <v>0</v>
      </c>
      <c r="I4561" s="1">
        <f t="shared" si="215"/>
        <v>0</v>
      </c>
    </row>
    <row r="4562" spans="1:9" hidden="1" x14ac:dyDescent="0.2">
      <c r="A4562" s="6">
        <v>44055.708333333336</v>
      </c>
      <c r="B4562" s="1" t="s">
        <v>24</v>
      </c>
      <c r="C4562">
        <v>5</v>
      </c>
      <c r="D4562">
        <v>0</v>
      </c>
      <c r="E4562">
        <v>146</v>
      </c>
      <c r="F4562">
        <v>1217</v>
      </c>
      <c r="G4562" s="3">
        <f t="shared" si="213"/>
        <v>0</v>
      </c>
      <c r="H4562" s="4">
        <f t="shared" si="214"/>
        <v>0</v>
      </c>
      <c r="I4562" s="1">
        <f t="shared" si="215"/>
        <v>0</v>
      </c>
    </row>
    <row r="4563" spans="1:9" hidden="1" x14ac:dyDescent="0.2">
      <c r="A4563" s="6">
        <v>44056.708333333336</v>
      </c>
      <c r="B4563" s="1" t="s">
        <v>24</v>
      </c>
      <c r="C4563">
        <v>3</v>
      </c>
      <c r="D4563">
        <v>0</v>
      </c>
      <c r="E4563">
        <v>146</v>
      </c>
      <c r="F4563">
        <v>1217</v>
      </c>
      <c r="G4563" s="3">
        <f t="shared" si="213"/>
        <v>0</v>
      </c>
      <c r="H4563" s="4">
        <f t="shared" si="214"/>
        <v>0</v>
      </c>
      <c r="I4563" s="1">
        <f t="shared" si="215"/>
        <v>0</v>
      </c>
    </row>
    <row r="4564" spans="1:9" hidden="1" x14ac:dyDescent="0.2">
      <c r="A4564" s="6">
        <v>44057.708333333336</v>
      </c>
      <c r="B4564" s="1" t="s">
        <v>24</v>
      </c>
      <c r="C4564">
        <v>3</v>
      </c>
      <c r="D4564">
        <v>0</v>
      </c>
      <c r="E4564">
        <v>146</v>
      </c>
      <c r="F4564">
        <v>1217</v>
      </c>
      <c r="G4564" s="3">
        <f t="shared" si="213"/>
        <v>0</v>
      </c>
      <c r="H4564" s="4">
        <f t="shared" si="214"/>
        <v>0</v>
      </c>
      <c r="I4564" s="1">
        <f t="shared" si="215"/>
        <v>0</v>
      </c>
    </row>
    <row r="4565" spans="1:9" hidden="1" x14ac:dyDescent="0.2">
      <c r="A4565" s="6">
        <v>44058.708333333336</v>
      </c>
      <c r="B4565" s="1" t="s">
        <v>24</v>
      </c>
      <c r="C4565">
        <v>2</v>
      </c>
      <c r="D4565">
        <v>0</v>
      </c>
      <c r="E4565">
        <v>146</v>
      </c>
      <c r="F4565">
        <v>1217</v>
      </c>
      <c r="G4565" s="3">
        <f t="shared" si="213"/>
        <v>0</v>
      </c>
      <c r="H4565" s="4">
        <f t="shared" si="214"/>
        <v>0</v>
      </c>
      <c r="I4565" s="1">
        <f t="shared" si="215"/>
        <v>0</v>
      </c>
    </row>
    <row r="4566" spans="1:9" hidden="1" x14ac:dyDescent="0.2">
      <c r="A4566" s="6">
        <v>44059.708333333336</v>
      </c>
      <c r="B4566" s="1" t="s">
        <v>24</v>
      </c>
      <c r="C4566">
        <v>2</v>
      </c>
      <c r="D4566">
        <v>0</v>
      </c>
      <c r="E4566">
        <v>146</v>
      </c>
      <c r="F4566">
        <v>1217</v>
      </c>
      <c r="G4566" s="3">
        <f t="shared" si="213"/>
        <v>0</v>
      </c>
      <c r="H4566" s="4">
        <f t="shared" si="214"/>
        <v>0</v>
      </c>
      <c r="I4566" s="1">
        <f t="shared" si="215"/>
        <v>0</v>
      </c>
    </row>
    <row r="4567" spans="1:9" hidden="1" x14ac:dyDescent="0.2">
      <c r="A4567" s="6">
        <v>44060.708333333336</v>
      </c>
      <c r="B4567" s="1" t="s">
        <v>24</v>
      </c>
      <c r="C4567">
        <v>1</v>
      </c>
      <c r="D4567">
        <v>0</v>
      </c>
      <c r="E4567">
        <v>146</v>
      </c>
      <c r="F4567">
        <v>1218</v>
      </c>
      <c r="G4567" s="3">
        <f t="shared" si="213"/>
        <v>1</v>
      </c>
      <c r="H4567" s="4">
        <f t="shared" si="214"/>
        <v>8.2101806239742725E-4</v>
      </c>
      <c r="I4567" s="1">
        <f t="shared" si="215"/>
        <v>0</v>
      </c>
    </row>
    <row r="4568" spans="1:9" hidden="1" x14ac:dyDescent="0.2">
      <c r="A4568" s="6">
        <v>44061.708333333336</v>
      </c>
      <c r="B4568" s="1" t="s">
        <v>24</v>
      </c>
      <c r="C4568">
        <v>1</v>
      </c>
      <c r="D4568">
        <v>0</v>
      </c>
      <c r="E4568">
        <v>146</v>
      </c>
      <c r="F4568">
        <v>1218</v>
      </c>
      <c r="G4568" s="3">
        <f t="shared" si="213"/>
        <v>0</v>
      </c>
      <c r="H4568" s="4">
        <f t="shared" si="214"/>
        <v>0</v>
      </c>
      <c r="I4568" s="1">
        <f t="shared" si="215"/>
        <v>0</v>
      </c>
    </row>
    <row r="4569" spans="1:9" hidden="1" x14ac:dyDescent="0.2">
      <c r="A4569" s="6">
        <v>44062.708333333336</v>
      </c>
      <c r="B4569" s="1" t="s">
        <v>24</v>
      </c>
      <c r="C4569">
        <v>1</v>
      </c>
      <c r="D4569">
        <v>0</v>
      </c>
      <c r="E4569">
        <v>146</v>
      </c>
      <c r="F4569">
        <v>1220</v>
      </c>
      <c r="G4569" s="3">
        <f t="shared" si="213"/>
        <v>2</v>
      </c>
      <c r="H4569" s="4">
        <f t="shared" si="214"/>
        <v>1.6393442622950616E-3</v>
      </c>
      <c r="I4569" s="1">
        <f t="shared" si="215"/>
        <v>0</v>
      </c>
    </row>
    <row r="4570" spans="1:9" hidden="1" x14ac:dyDescent="0.2">
      <c r="A4570" s="6">
        <v>44063.708333333336</v>
      </c>
      <c r="B4570" s="1" t="s">
        <v>24</v>
      </c>
      <c r="C4570">
        <v>1</v>
      </c>
      <c r="D4570">
        <v>0</v>
      </c>
      <c r="E4570">
        <v>146</v>
      </c>
      <c r="F4570">
        <v>1221</v>
      </c>
      <c r="G4570" s="3">
        <f t="shared" si="213"/>
        <v>1</v>
      </c>
      <c r="H4570" s="4">
        <f t="shared" si="214"/>
        <v>8.1900081900077026E-4</v>
      </c>
      <c r="I4570" s="1">
        <f t="shared" si="215"/>
        <v>0</v>
      </c>
    </row>
    <row r="4571" spans="1:9" hidden="1" x14ac:dyDescent="0.2">
      <c r="A4571" s="6">
        <v>44064.708333333336</v>
      </c>
      <c r="B4571" s="1" t="s">
        <v>24</v>
      </c>
      <c r="C4571">
        <v>1</v>
      </c>
      <c r="D4571">
        <v>0</v>
      </c>
      <c r="E4571">
        <v>146</v>
      </c>
      <c r="F4571">
        <v>1221</v>
      </c>
      <c r="G4571" s="3">
        <f t="shared" si="213"/>
        <v>0</v>
      </c>
      <c r="H4571" s="4">
        <f t="shared" si="214"/>
        <v>0</v>
      </c>
      <c r="I4571" s="1">
        <f t="shared" si="215"/>
        <v>0</v>
      </c>
    </row>
    <row r="4572" spans="1:9" hidden="1" x14ac:dyDescent="0.2">
      <c r="A4572" s="6">
        <v>44065.708333333336</v>
      </c>
      <c r="B4572" s="1" t="s">
        <v>24</v>
      </c>
      <c r="C4572">
        <v>1</v>
      </c>
      <c r="D4572">
        <v>0</v>
      </c>
      <c r="E4572">
        <v>146</v>
      </c>
      <c r="F4572">
        <v>1221</v>
      </c>
      <c r="G4572" s="3">
        <f t="shared" si="213"/>
        <v>0</v>
      </c>
      <c r="H4572" s="4">
        <f t="shared" si="214"/>
        <v>0</v>
      </c>
      <c r="I4572" s="1">
        <f t="shared" si="215"/>
        <v>0</v>
      </c>
    </row>
    <row r="4573" spans="1:9" hidden="1" x14ac:dyDescent="0.2">
      <c r="A4573" s="6">
        <v>44066.708333333336</v>
      </c>
      <c r="B4573" s="1" t="s">
        <v>24</v>
      </c>
      <c r="C4573">
        <v>1</v>
      </c>
      <c r="D4573">
        <v>0</v>
      </c>
      <c r="E4573">
        <v>146</v>
      </c>
      <c r="F4573">
        <v>1221</v>
      </c>
      <c r="G4573" s="3">
        <f t="shared" si="213"/>
        <v>0</v>
      </c>
      <c r="H4573" s="4">
        <f t="shared" si="214"/>
        <v>0</v>
      </c>
      <c r="I4573" s="1">
        <f t="shared" si="215"/>
        <v>0</v>
      </c>
    </row>
    <row r="4574" spans="1:9" hidden="1" x14ac:dyDescent="0.2">
      <c r="A4574" s="6">
        <v>44067.708333333336</v>
      </c>
      <c r="B4574" s="1" t="s">
        <v>24</v>
      </c>
      <c r="C4574">
        <v>1</v>
      </c>
      <c r="D4574">
        <v>0</v>
      </c>
      <c r="E4574">
        <v>146</v>
      </c>
      <c r="F4574">
        <v>1221</v>
      </c>
      <c r="G4574" s="3">
        <f t="shared" si="213"/>
        <v>0</v>
      </c>
      <c r="H4574" s="4">
        <f t="shared" si="214"/>
        <v>0</v>
      </c>
      <c r="I4574" s="1">
        <f t="shared" si="215"/>
        <v>0</v>
      </c>
    </row>
    <row r="4575" spans="1:9" hidden="1" x14ac:dyDescent="0.2">
      <c r="A4575" s="6">
        <v>44068.708333333336</v>
      </c>
      <c r="B4575" s="1" t="s">
        <v>24</v>
      </c>
      <c r="C4575">
        <v>1</v>
      </c>
      <c r="D4575">
        <v>0</v>
      </c>
      <c r="E4575">
        <v>146</v>
      </c>
      <c r="F4575">
        <v>1223</v>
      </c>
      <c r="G4575" s="3">
        <f t="shared" si="213"/>
        <v>2</v>
      </c>
      <c r="H4575" s="4">
        <f t="shared" si="214"/>
        <v>1.6353229762877675E-3</v>
      </c>
      <c r="I4575" s="1">
        <f t="shared" si="215"/>
        <v>0</v>
      </c>
    </row>
    <row r="4576" spans="1:9" hidden="1" x14ac:dyDescent="0.2">
      <c r="A4576" s="6">
        <v>44069.708333333336</v>
      </c>
      <c r="B4576" s="1" t="s">
        <v>24</v>
      </c>
      <c r="C4576">
        <v>0</v>
      </c>
      <c r="D4576">
        <v>0</v>
      </c>
      <c r="E4576">
        <v>146</v>
      </c>
      <c r="F4576">
        <v>1223</v>
      </c>
      <c r="G4576" s="3">
        <f t="shared" si="213"/>
        <v>0</v>
      </c>
      <c r="H4576" s="4">
        <f t="shared" si="214"/>
        <v>0</v>
      </c>
      <c r="I4576" s="1">
        <f t="shared" si="215"/>
        <v>0</v>
      </c>
    </row>
    <row r="4577" spans="1:9" hidden="1" x14ac:dyDescent="0.2">
      <c r="A4577" s="6">
        <v>44070.708333333336</v>
      </c>
      <c r="B4577" s="1" t="s">
        <v>24</v>
      </c>
      <c r="C4577">
        <v>0</v>
      </c>
      <c r="D4577">
        <v>0</v>
      </c>
      <c r="E4577">
        <v>146</v>
      </c>
      <c r="F4577">
        <v>1224</v>
      </c>
      <c r="G4577" s="3">
        <f t="shared" si="213"/>
        <v>1</v>
      </c>
      <c r="H4577" s="4">
        <f t="shared" si="214"/>
        <v>8.1699346405228468E-4</v>
      </c>
      <c r="I4577" s="1">
        <f t="shared" si="215"/>
        <v>0</v>
      </c>
    </row>
    <row r="4578" spans="1:9" hidden="1" x14ac:dyDescent="0.2">
      <c r="A4578" s="6">
        <v>44071.708333333336</v>
      </c>
      <c r="B4578" s="1" t="s">
        <v>24</v>
      </c>
      <c r="C4578">
        <v>1</v>
      </c>
      <c r="D4578">
        <v>0</v>
      </c>
      <c r="E4578">
        <v>146</v>
      </c>
      <c r="F4578">
        <v>1226</v>
      </c>
      <c r="G4578" s="3">
        <f t="shared" si="213"/>
        <v>2</v>
      </c>
      <c r="H4578" s="4">
        <f t="shared" si="214"/>
        <v>1.6313213703099683E-3</v>
      </c>
      <c r="I4578" s="1">
        <f t="shared" si="215"/>
        <v>0</v>
      </c>
    </row>
    <row r="4579" spans="1:9" hidden="1" x14ac:dyDescent="0.2">
      <c r="A4579" s="6">
        <v>44072.708333333336</v>
      </c>
      <c r="B4579" s="1" t="s">
        <v>24</v>
      </c>
      <c r="C4579">
        <v>1</v>
      </c>
      <c r="D4579">
        <v>0</v>
      </c>
      <c r="E4579">
        <v>146</v>
      </c>
      <c r="F4579">
        <v>1230</v>
      </c>
      <c r="G4579" s="3">
        <f t="shared" si="213"/>
        <v>4</v>
      </c>
      <c r="H4579" s="4">
        <f t="shared" si="214"/>
        <v>3.2520325203252431E-3</v>
      </c>
      <c r="I4579" s="1">
        <f t="shared" si="215"/>
        <v>0</v>
      </c>
    </row>
    <row r="4580" spans="1:9" hidden="1" x14ac:dyDescent="0.2">
      <c r="A4580" s="6">
        <v>44073.708333333336</v>
      </c>
      <c r="B4580" s="1" t="s">
        <v>24</v>
      </c>
      <c r="C4580">
        <v>2</v>
      </c>
      <c r="D4580">
        <v>0</v>
      </c>
      <c r="E4580">
        <v>146</v>
      </c>
      <c r="F4580">
        <v>1232</v>
      </c>
      <c r="G4580" s="3">
        <f t="shared" si="213"/>
        <v>2</v>
      </c>
      <c r="H4580" s="4">
        <f t="shared" si="214"/>
        <v>1.6233766233766378E-3</v>
      </c>
      <c r="I4580" s="1">
        <f t="shared" si="215"/>
        <v>0</v>
      </c>
    </row>
    <row r="4581" spans="1:9" hidden="1" x14ac:dyDescent="0.2">
      <c r="A4581" s="6">
        <v>44074.708333333336</v>
      </c>
      <c r="B4581" s="1" t="s">
        <v>24</v>
      </c>
      <c r="C4581">
        <v>2</v>
      </c>
      <c r="D4581">
        <v>0</v>
      </c>
      <c r="E4581">
        <v>146</v>
      </c>
      <c r="F4581">
        <v>1241</v>
      </c>
      <c r="G4581" s="3">
        <f t="shared" si="213"/>
        <v>9</v>
      </c>
      <c r="H4581" s="4">
        <f t="shared" si="214"/>
        <v>7.2522159548751297E-3</v>
      </c>
      <c r="I4581" s="1">
        <f t="shared" si="215"/>
        <v>0</v>
      </c>
    </row>
    <row r="4582" spans="1:9" hidden="1" x14ac:dyDescent="0.2">
      <c r="A4582" s="6">
        <v>44075.708333333336</v>
      </c>
      <c r="B4582" s="1" t="s">
        <v>24</v>
      </c>
      <c r="C4582">
        <v>3</v>
      </c>
      <c r="D4582">
        <v>0</v>
      </c>
      <c r="E4582">
        <v>146</v>
      </c>
      <c r="F4582">
        <v>1241</v>
      </c>
      <c r="G4582" s="3">
        <f t="shared" si="213"/>
        <v>0</v>
      </c>
      <c r="H4582" s="4">
        <f t="shared" si="214"/>
        <v>0</v>
      </c>
      <c r="I4582" s="1">
        <f t="shared" si="215"/>
        <v>0</v>
      </c>
    </row>
    <row r="4583" spans="1:9" hidden="1" x14ac:dyDescent="0.2">
      <c r="A4583" s="6">
        <v>44076.708333333336</v>
      </c>
      <c r="B4583" s="1" t="s">
        <v>24</v>
      </c>
      <c r="C4583">
        <v>3</v>
      </c>
      <c r="D4583">
        <v>0</v>
      </c>
      <c r="E4583">
        <v>146</v>
      </c>
      <c r="F4583">
        <v>1243</v>
      </c>
      <c r="G4583" s="3">
        <f t="shared" si="213"/>
        <v>2</v>
      </c>
      <c r="H4583" s="4">
        <f t="shared" si="214"/>
        <v>1.6090104585679832E-3</v>
      </c>
      <c r="I4583" s="1">
        <f t="shared" si="215"/>
        <v>0</v>
      </c>
    </row>
    <row r="4584" spans="1:9" hidden="1" x14ac:dyDescent="0.2">
      <c r="A4584" s="6">
        <v>44077.708333333336</v>
      </c>
      <c r="B4584" s="1" t="s">
        <v>24</v>
      </c>
      <c r="C4584">
        <v>3</v>
      </c>
      <c r="D4584">
        <v>0</v>
      </c>
      <c r="E4584">
        <v>146</v>
      </c>
      <c r="F4584">
        <v>1247</v>
      </c>
      <c r="G4584" s="3">
        <f t="shared" si="213"/>
        <v>4</v>
      </c>
      <c r="H4584" s="4">
        <f t="shared" si="214"/>
        <v>3.2076984763432792E-3</v>
      </c>
      <c r="I4584" s="1">
        <f t="shared" si="215"/>
        <v>0</v>
      </c>
    </row>
    <row r="4585" spans="1:9" hidden="1" x14ac:dyDescent="0.2">
      <c r="A4585" s="6">
        <v>44078.708333333336</v>
      </c>
      <c r="B4585" s="1" t="s">
        <v>24</v>
      </c>
      <c r="C4585">
        <v>2</v>
      </c>
      <c r="D4585">
        <v>0</v>
      </c>
      <c r="E4585">
        <v>146</v>
      </c>
      <c r="F4585">
        <v>1249</v>
      </c>
      <c r="G4585" s="3">
        <f t="shared" si="213"/>
        <v>2</v>
      </c>
      <c r="H4585" s="4">
        <f t="shared" si="214"/>
        <v>1.6012810248198228E-3</v>
      </c>
      <c r="I4585" s="1">
        <f t="shared" si="215"/>
        <v>0</v>
      </c>
    </row>
    <row r="4586" spans="1:9" hidden="1" x14ac:dyDescent="0.2">
      <c r="A4586" s="6">
        <v>44079.708333333336</v>
      </c>
      <c r="B4586" s="1" t="s">
        <v>24</v>
      </c>
      <c r="C4586">
        <v>1</v>
      </c>
      <c r="D4586">
        <v>0</v>
      </c>
      <c r="E4586">
        <v>146</v>
      </c>
      <c r="F4586">
        <v>1249</v>
      </c>
      <c r="G4586" s="3">
        <f t="shared" si="213"/>
        <v>0</v>
      </c>
      <c r="H4586" s="4">
        <f t="shared" si="214"/>
        <v>0</v>
      </c>
      <c r="I4586" s="1">
        <f t="shared" si="215"/>
        <v>0</v>
      </c>
    </row>
    <row r="4587" spans="1:9" hidden="1" x14ac:dyDescent="0.2">
      <c r="A4587" s="6">
        <v>44080.708333333336</v>
      </c>
      <c r="B4587" s="1" t="s">
        <v>24</v>
      </c>
      <c r="C4587">
        <v>1</v>
      </c>
      <c r="D4587">
        <v>0</v>
      </c>
      <c r="E4587">
        <v>146</v>
      </c>
      <c r="F4587">
        <v>1249</v>
      </c>
      <c r="G4587" s="3">
        <f t="shared" si="213"/>
        <v>0</v>
      </c>
      <c r="H4587" s="4">
        <f t="shared" si="214"/>
        <v>0</v>
      </c>
      <c r="I4587" s="1">
        <f t="shared" si="215"/>
        <v>0</v>
      </c>
    </row>
    <row r="4588" spans="1:9" hidden="1" x14ac:dyDescent="0.2">
      <c r="A4588" s="6">
        <v>44081.708333333336</v>
      </c>
      <c r="B4588" s="1" t="s">
        <v>24</v>
      </c>
      <c r="C4588">
        <v>1</v>
      </c>
      <c r="D4588">
        <v>0</v>
      </c>
      <c r="E4588">
        <v>146</v>
      </c>
      <c r="F4588">
        <v>1249</v>
      </c>
      <c r="G4588" s="3">
        <f t="shared" si="213"/>
        <v>0</v>
      </c>
      <c r="H4588" s="4">
        <f t="shared" si="214"/>
        <v>0</v>
      </c>
      <c r="I4588" s="1">
        <f t="shared" si="215"/>
        <v>0</v>
      </c>
    </row>
    <row r="4589" spans="1:9" hidden="1" x14ac:dyDescent="0.2">
      <c r="A4589" s="6">
        <v>44082.708333333336</v>
      </c>
      <c r="B4589" s="1" t="s">
        <v>24</v>
      </c>
      <c r="C4589">
        <v>2</v>
      </c>
      <c r="D4589">
        <v>0</v>
      </c>
      <c r="E4589">
        <v>146</v>
      </c>
      <c r="F4589">
        <v>1254</v>
      </c>
      <c r="G4589" s="3">
        <f t="shared" si="213"/>
        <v>5</v>
      </c>
      <c r="H4589" s="4">
        <f t="shared" si="214"/>
        <v>3.9872408293460948E-3</v>
      </c>
      <c r="I4589" s="1">
        <f t="shared" si="215"/>
        <v>0</v>
      </c>
    </row>
    <row r="4590" spans="1:9" hidden="1" x14ac:dyDescent="0.2">
      <c r="A4590" s="6">
        <v>44083.708333333336</v>
      </c>
      <c r="B4590" s="1" t="s">
        <v>24</v>
      </c>
      <c r="C4590">
        <v>2</v>
      </c>
      <c r="D4590">
        <v>0</v>
      </c>
      <c r="E4590">
        <v>146</v>
      </c>
      <c r="F4590">
        <v>1254</v>
      </c>
      <c r="G4590" s="3">
        <f t="shared" si="213"/>
        <v>0</v>
      </c>
      <c r="H4590" s="4">
        <f t="shared" si="214"/>
        <v>0</v>
      </c>
      <c r="I4590" s="1">
        <f t="shared" si="215"/>
        <v>0</v>
      </c>
    </row>
    <row r="4591" spans="1:9" hidden="1" x14ac:dyDescent="0.2">
      <c r="A4591" s="6">
        <v>44084.708333333336</v>
      </c>
      <c r="B4591" s="1" t="s">
        <v>24</v>
      </c>
      <c r="C4591">
        <v>2</v>
      </c>
      <c r="D4591">
        <v>0</v>
      </c>
      <c r="E4591">
        <v>146</v>
      </c>
      <c r="F4591">
        <v>1254</v>
      </c>
      <c r="G4591" s="3">
        <f t="shared" si="213"/>
        <v>0</v>
      </c>
      <c r="H4591" s="4">
        <f t="shared" si="214"/>
        <v>0</v>
      </c>
      <c r="I4591" s="1">
        <f t="shared" si="215"/>
        <v>0</v>
      </c>
    </row>
    <row r="4592" spans="1:9" hidden="1" x14ac:dyDescent="0.2">
      <c r="A4592" s="6">
        <v>44085.708333333336</v>
      </c>
      <c r="B4592" s="1" t="s">
        <v>24</v>
      </c>
      <c r="C4592">
        <v>2</v>
      </c>
      <c r="D4592">
        <v>0</v>
      </c>
      <c r="E4592">
        <v>146</v>
      </c>
      <c r="F4592">
        <v>1257</v>
      </c>
      <c r="G4592" s="3">
        <f t="shared" si="213"/>
        <v>3</v>
      </c>
      <c r="H4592" s="4">
        <f t="shared" si="214"/>
        <v>2.3866348448687846E-3</v>
      </c>
      <c r="I4592" s="1">
        <f t="shared" si="215"/>
        <v>0</v>
      </c>
    </row>
    <row r="4593" spans="1:9" hidden="1" x14ac:dyDescent="0.2">
      <c r="A4593" s="6">
        <v>44086.708333333336</v>
      </c>
      <c r="B4593" s="1" t="s">
        <v>24</v>
      </c>
      <c r="C4593">
        <v>3</v>
      </c>
      <c r="D4593">
        <v>0</v>
      </c>
      <c r="E4593">
        <v>146</v>
      </c>
      <c r="F4593">
        <v>1258</v>
      </c>
      <c r="G4593" s="3">
        <f t="shared" si="213"/>
        <v>1</v>
      </c>
      <c r="H4593" s="4">
        <f t="shared" si="214"/>
        <v>7.9491255961838814E-4</v>
      </c>
      <c r="I4593" s="1">
        <f t="shared" si="215"/>
        <v>0</v>
      </c>
    </row>
    <row r="4594" spans="1:9" hidden="1" x14ac:dyDescent="0.2">
      <c r="A4594" s="6">
        <v>44087.708333333336</v>
      </c>
      <c r="B4594" s="1" t="s">
        <v>24</v>
      </c>
      <c r="C4594">
        <v>3</v>
      </c>
      <c r="D4594">
        <v>0</v>
      </c>
      <c r="E4594">
        <v>146</v>
      </c>
      <c r="F4594">
        <v>1260</v>
      </c>
      <c r="G4594" s="3">
        <f t="shared" si="213"/>
        <v>2</v>
      </c>
      <c r="H4594" s="4">
        <f t="shared" si="214"/>
        <v>1.5873015873015817E-3</v>
      </c>
      <c r="I4594" s="1">
        <f t="shared" si="215"/>
        <v>0</v>
      </c>
    </row>
    <row r="4595" spans="1:9" hidden="1" x14ac:dyDescent="0.2">
      <c r="A4595" s="6">
        <v>44088.708333333336</v>
      </c>
      <c r="B4595" s="1" t="s">
        <v>24</v>
      </c>
      <c r="C4595">
        <v>3</v>
      </c>
      <c r="D4595">
        <v>1</v>
      </c>
      <c r="E4595">
        <v>146</v>
      </c>
      <c r="F4595">
        <v>1263</v>
      </c>
      <c r="G4595" s="3">
        <f t="shared" si="213"/>
        <v>3</v>
      </c>
      <c r="H4595" s="4">
        <f t="shared" si="214"/>
        <v>2.3752969121140222E-3</v>
      </c>
      <c r="I4595" s="1">
        <f t="shared" si="215"/>
        <v>0</v>
      </c>
    </row>
    <row r="4596" spans="1:9" hidden="1" x14ac:dyDescent="0.2">
      <c r="A4596" s="6">
        <v>44089.708333333336</v>
      </c>
      <c r="B4596" s="1" t="s">
        <v>24</v>
      </c>
      <c r="C4596">
        <v>5</v>
      </c>
      <c r="D4596">
        <v>0</v>
      </c>
      <c r="E4596">
        <v>146</v>
      </c>
      <c r="F4596">
        <v>1266</v>
      </c>
      <c r="G4596" s="3">
        <f t="shared" si="213"/>
        <v>3</v>
      </c>
      <c r="H4596" s="4">
        <f t="shared" si="214"/>
        <v>2.3696682464454666E-3</v>
      </c>
      <c r="I4596" s="1">
        <f t="shared" si="215"/>
        <v>0</v>
      </c>
    </row>
    <row r="4597" spans="1:9" hidden="1" x14ac:dyDescent="0.2">
      <c r="A4597" s="6">
        <v>44090.708333333336</v>
      </c>
      <c r="B4597" s="1" t="s">
        <v>24</v>
      </c>
      <c r="C4597">
        <v>5</v>
      </c>
      <c r="D4597">
        <v>0</v>
      </c>
      <c r="E4597">
        <v>146</v>
      </c>
      <c r="F4597">
        <v>1267</v>
      </c>
      <c r="G4597" s="3">
        <f t="shared" si="213"/>
        <v>1</v>
      </c>
      <c r="H4597" s="4">
        <f t="shared" si="214"/>
        <v>7.8926598263617809E-4</v>
      </c>
      <c r="I4597" s="1">
        <f t="shared" si="215"/>
        <v>0</v>
      </c>
    </row>
    <row r="4598" spans="1:9" hidden="1" x14ac:dyDescent="0.2">
      <c r="A4598" s="6">
        <v>44091.708333333336</v>
      </c>
      <c r="B4598" s="1" t="s">
        <v>24</v>
      </c>
      <c r="C4598">
        <v>5</v>
      </c>
      <c r="D4598">
        <v>0</v>
      </c>
      <c r="E4598">
        <v>146</v>
      </c>
      <c r="F4598">
        <v>1268</v>
      </c>
      <c r="G4598" s="3">
        <f t="shared" si="213"/>
        <v>1</v>
      </c>
      <c r="H4598" s="4">
        <f t="shared" si="214"/>
        <v>7.8864353312302349E-4</v>
      </c>
      <c r="I4598" s="1">
        <f t="shared" si="215"/>
        <v>0</v>
      </c>
    </row>
    <row r="4599" spans="1:9" hidden="1" x14ac:dyDescent="0.2">
      <c r="A4599" s="6">
        <v>44092.708333333336</v>
      </c>
      <c r="B4599" s="1" t="s">
        <v>24</v>
      </c>
      <c r="C4599">
        <v>6</v>
      </c>
      <c r="D4599">
        <v>0</v>
      </c>
      <c r="E4599">
        <v>146</v>
      </c>
      <c r="F4599">
        <v>1276</v>
      </c>
      <c r="G4599" s="3">
        <f t="shared" si="213"/>
        <v>8</v>
      </c>
      <c r="H4599" s="4">
        <f t="shared" si="214"/>
        <v>6.2695924764890609E-3</v>
      </c>
      <c r="I4599" s="1">
        <f t="shared" si="215"/>
        <v>0</v>
      </c>
    </row>
    <row r="4600" spans="1:9" hidden="1" x14ac:dyDescent="0.2">
      <c r="A4600" s="6">
        <v>44093.708333333336</v>
      </c>
      <c r="B4600" s="1" t="s">
        <v>24</v>
      </c>
      <c r="C4600">
        <v>6</v>
      </c>
      <c r="D4600">
        <v>0</v>
      </c>
      <c r="E4600">
        <v>146</v>
      </c>
      <c r="F4600">
        <v>1276</v>
      </c>
      <c r="G4600" s="3">
        <f t="shared" si="213"/>
        <v>0</v>
      </c>
      <c r="H4600" s="4">
        <f t="shared" si="214"/>
        <v>0</v>
      </c>
      <c r="I4600" s="1">
        <f t="shared" si="215"/>
        <v>0</v>
      </c>
    </row>
    <row r="4601" spans="1:9" hidden="1" x14ac:dyDescent="0.2">
      <c r="A4601" s="6">
        <v>44094.708333333336</v>
      </c>
      <c r="B4601" s="1" t="s">
        <v>24</v>
      </c>
      <c r="C4601">
        <v>4</v>
      </c>
      <c r="D4601">
        <v>0</v>
      </c>
      <c r="E4601">
        <v>146</v>
      </c>
      <c r="F4601">
        <v>1279</v>
      </c>
      <c r="G4601" s="3">
        <f t="shared" si="213"/>
        <v>3</v>
      </c>
      <c r="H4601" s="4">
        <f t="shared" si="214"/>
        <v>2.3455824863174435E-3</v>
      </c>
      <c r="I4601" s="1">
        <f t="shared" si="215"/>
        <v>0</v>
      </c>
    </row>
    <row r="4602" spans="1:9" hidden="1" x14ac:dyDescent="0.2">
      <c r="A4602" s="6">
        <v>44095.708333333336</v>
      </c>
      <c r="B4602" s="1" t="s">
        <v>24</v>
      </c>
      <c r="C4602">
        <v>3</v>
      </c>
      <c r="D4602">
        <v>0</v>
      </c>
      <c r="E4602">
        <v>146</v>
      </c>
      <c r="F4602">
        <v>1281</v>
      </c>
      <c r="G4602" s="3">
        <f t="shared" si="213"/>
        <v>2</v>
      </c>
      <c r="H4602" s="4">
        <f t="shared" si="214"/>
        <v>1.5612802498048417E-3</v>
      </c>
      <c r="I4602" s="1">
        <f t="shared" si="215"/>
        <v>0</v>
      </c>
    </row>
    <row r="4603" spans="1:9" hidden="1" x14ac:dyDescent="0.2">
      <c r="A4603" s="6">
        <v>44096.708333333336</v>
      </c>
      <c r="B4603" s="1" t="s">
        <v>24</v>
      </c>
      <c r="C4603">
        <v>4</v>
      </c>
      <c r="D4603">
        <v>0</v>
      </c>
      <c r="E4603">
        <v>146</v>
      </c>
      <c r="F4603">
        <v>1282</v>
      </c>
      <c r="G4603" s="3">
        <f t="shared" si="213"/>
        <v>1</v>
      </c>
      <c r="H4603" s="4">
        <f t="shared" si="214"/>
        <v>7.800312012480326E-4</v>
      </c>
      <c r="I4603" s="1">
        <f t="shared" si="215"/>
        <v>0</v>
      </c>
    </row>
    <row r="4604" spans="1:9" hidden="1" x14ac:dyDescent="0.2">
      <c r="A4604" s="6">
        <v>44097.708333333336</v>
      </c>
      <c r="B4604" s="1" t="s">
        <v>24</v>
      </c>
      <c r="C4604">
        <v>4</v>
      </c>
      <c r="D4604">
        <v>0</v>
      </c>
      <c r="E4604">
        <v>146</v>
      </c>
      <c r="F4604">
        <v>1284</v>
      </c>
      <c r="G4604" s="3">
        <f t="shared" si="213"/>
        <v>2</v>
      </c>
      <c r="H4604" s="4">
        <f t="shared" si="214"/>
        <v>1.5576323987538387E-3</v>
      </c>
      <c r="I4604" s="1">
        <f t="shared" si="215"/>
        <v>0</v>
      </c>
    </row>
    <row r="4605" spans="1:9" hidden="1" x14ac:dyDescent="0.2">
      <c r="A4605" s="6">
        <v>44098.708333333336</v>
      </c>
      <c r="B4605" s="1" t="s">
        <v>24</v>
      </c>
      <c r="C4605">
        <v>3</v>
      </c>
      <c r="D4605">
        <v>0</v>
      </c>
      <c r="E4605">
        <v>146</v>
      </c>
      <c r="F4605">
        <v>1287</v>
      </c>
      <c r="G4605" s="3">
        <f t="shared" si="213"/>
        <v>3</v>
      </c>
      <c r="H4605" s="4">
        <f t="shared" si="214"/>
        <v>2.3310023310023631E-3</v>
      </c>
      <c r="I4605" s="1">
        <f t="shared" si="215"/>
        <v>0</v>
      </c>
    </row>
    <row r="4606" spans="1:9" hidden="1" x14ac:dyDescent="0.2">
      <c r="A4606" s="6">
        <v>44099.708333333336</v>
      </c>
      <c r="B4606" s="1" t="s">
        <v>24</v>
      </c>
      <c r="C4606">
        <v>3</v>
      </c>
      <c r="D4606">
        <v>0</v>
      </c>
      <c r="E4606">
        <v>146</v>
      </c>
      <c r="F4606">
        <v>1288</v>
      </c>
      <c r="G4606" s="3">
        <f t="shared" si="213"/>
        <v>1</v>
      </c>
      <c r="H4606" s="4">
        <f t="shared" si="214"/>
        <v>7.763975155279379E-4</v>
      </c>
      <c r="I4606" s="1">
        <f t="shared" si="215"/>
        <v>0</v>
      </c>
    </row>
    <row r="4607" spans="1:9" hidden="1" x14ac:dyDescent="0.2">
      <c r="A4607" s="6">
        <v>44100.708333333336</v>
      </c>
      <c r="B4607" s="1" t="s">
        <v>24</v>
      </c>
      <c r="C4607">
        <v>3</v>
      </c>
      <c r="D4607">
        <v>0</v>
      </c>
      <c r="E4607">
        <v>146</v>
      </c>
      <c r="F4607">
        <v>1299</v>
      </c>
      <c r="G4607" s="3">
        <f t="shared" si="213"/>
        <v>11</v>
      </c>
      <c r="H4607" s="4">
        <f t="shared" si="214"/>
        <v>8.4680523479599978E-3</v>
      </c>
      <c r="I4607" s="1">
        <f t="shared" si="215"/>
        <v>0</v>
      </c>
    </row>
    <row r="4608" spans="1:9" hidden="1" x14ac:dyDescent="0.2">
      <c r="A4608" s="6">
        <v>44101.708333333336</v>
      </c>
      <c r="B4608" s="1" t="s">
        <v>24</v>
      </c>
      <c r="C4608">
        <v>3</v>
      </c>
      <c r="D4608">
        <v>0</v>
      </c>
      <c r="E4608">
        <v>146</v>
      </c>
      <c r="F4608">
        <v>1299</v>
      </c>
      <c r="G4608" s="3">
        <f t="shared" si="213"/>
        <v>0</v>
      </c>
      <c r="H4608" s="4">
        <f t="shared" si="214"/>
        <v>0</v>
      </c>
      <c r="I4608" s="1">
        <f t="shared" si="215"/>
        <v>0</v>
      </c>
    </row>
    <row r="4609" spans="1:9" hidden="1" x14ac:dyDescent="0.2">
      <c r="A4609" s="6">
        <v>44102.708333333336</v>
      </c>
      <c r="B4609" s="1" t="s">
        <v>24</v>
      </c>
      <c r="C4609">
        <v>3</v>
      </c>
      <c r="D4609">
        <v>0</v>
      </c>
      <c r="E4609">
        <v>146</v>
      </c>
      <c r="F4609">
        <v>1300</v>
      </c>
      <c r="G4609" s="3">
        <f t="shared" si="213"/>
        <v>1</v>
      </c>
      <c r="H4609" s="4">
        <f t="shared" si="214"/>
        <v>7.6923076923074429E-4</v>
      </c>
      <c r="I4609" s="1">
        <f t="shared" si="215"/>
        <v>0</v>
      </c>
    </row>
    <row r="4610" spans="1:9" hidden="1" x14ac:dyDescent="0.2">
      <c r="A4610" s="6">
        <v>44103.708333333336</v>
      </c>
      <c r="B4610" s="1" t="s">
        <v>24</v>
      </c>
      <c r="C4610">
        <v>4</v>
      </c>
      <c r="D4610">
        <v>0</v>
      </c>
      <c r="E4610">
        <v>146</v>
      </c>
      <c r="F4610">
        <v>1308</v>
      </c>
      <c r="G4610" s="3">
        <f t="shared" si="213"/>
        <v>8</v>
      </c>
      <c r="H4610" s="4">
        <f t="shared" si="214"/>
        <v>6.1162079510703737E-3</v>
      </c>
      <c r="I4610" s="1">
        <f t="shared" si="215"/>
        <v>0</v>
      </c>
    </row>
    <row r="4611" spans="1:9" hidden="1" x14ac:dyDescent="0.2">
      <c r="A4611" s="6">
        <v>44104.708333333336</v>
      </c>
      <c r="B4611" s="1" t="s">
        <v>24</v>
      </c>
      <c r="C4611">
        <v>6</v>
      </c>
      <c r="D4611">
        <v>0</v>
      </c>
      <c r="E4611">
        <v>146</v>
      </c>
      <c r="F4611">
        <v>1314</v>
      </c>
      <c r="G4611" s="3">
        <f t="shared" ref="G4611:G4674" si="216">IF(AND(F4611&gt;0,AND(B4611=B4610,F4611&gt;0)),F4611-F4610,0)</f>
        <v>6</v>
      </c>
      <c r="H4611" s="4">
        <f t="shared" ref="H4611:H4674" si="217">IF(AND(F4610&gt;0,AND(B4611=B4610,F4610&gt;0)),1-(F4610/F4611),0)</f>
        <v>4.5662100456621557E-3</v>
      </c>
      <c r="I4611" s="1">
        <f t="shared" ref="I4611:I4674" si="218">IF(AND(E4611&gt;0,AND(B4611=B4610,E4611&gt;0)),E4611-E4610,0)</f>
        <v>0</v>
      </c>
    </row>
    <row r="4612" spans="1:9" hidden="1" x14ac:dyDescent="0.2">
      <c r="A4612" s="6">
        <v>44105.708333333336</v>
      </c>
      <c r="B4612" s="1" t="s">
        <v>24</v>
      </c>
      <c r="C4612">
        <v>7</v>
      </c>
      <c r="D4612">
        <v>0</v>
      </c>
      <c r="E4612">
        <v>146</v>
      </c>
      <c r="F4612">
        <v>1315</v>
      </c>
      <c r="G4612" s="3">
        <f t="shared" si="216"/>
        <v>1</v>
      </c>
      <c r="H4612" s="4">
        <f t="shared" si="217"/>
        <v>7.6045627376430946E-4</v>
      </c>
      <c r="I4612" s="1">
        <f t="shared" si="218"/>
        <v>0</v>
      </c>
    </row>
    <row r="4613" spans="1:9" hidden="1" x14ac:dyDescent="0.2">
      <c r="A4613" s="6">
        <v>44106.708333333336</v>
      </c>
      <c r="B4613" s="1" t="s">
        <v>24</v>
      </c>
      <c r="C4613">
        <v>8</v>
      </c>
      <c r="D4613">
        <v>0</v>
      </c>
      <c r="E4613">
        <v>146</v>
      </c>
      <c r="F4613">
        <v>1326</v>
      </c>
      <c r="G4613" s="3">
        <f t="shared" si="216"/>
        <v>11</v>
      </c>
      <c r="H4613" s="4">
        <f t="shared" si="217"/>
        <v>8.2956259426847367E-3</v>
      </c>
      <c r="I4613" s="1">
        <f t="shared" si="218"/>
        <v>0</v>
      </c>
    </row>
    <row r="4614" spans="1:9" hidden="1" x14ac:dyDescent="0.2">
      <c r="A4614" s="6">
        <v>44107.708333333336</v>
      </c>
      <c r="B4614" s="1" t="s">
        <v>24</v>
      </c>
      <c r="C4614">
        <v>7</v>
      </c>
      <c r="D4614">
        <v>0</v>
      </c>
      <c r="E4614">
        <v>146</v>
      </c>
      <c r="F4614">
        <v>1326</v>
      </c>
      <c r="G4614" s="3">
        <f t="shared" si="216"/>
        <v>0</v>
      </c>
      <c r="H4614" s="4">
        <f t="shared" si="217"/>
        <v>0</v>
      </c>
      <c r="I4614" s="1">
        <f t="shared" si="218"/>
        <v>0</v>
      </c>
    </row>
    <row r="4615" spans="1:9" hidden="1" x14ac:dyDescent="0.2">
      <c r="A4615" s="6">
        <v>44108.708333333336</v>
      </c>
      <c r="B4615" s="1" t="s">
        <v>24</v>
      </c>
      <c r="C4615">
        <v>6</v>
      </c>
      <c r="D4615">
        <v>0</v>
      </c>
      <c r="E4615">
        <v>146</v>
      </c>
      <c r="F4615">
        <v>1333</v>
      </c>
      <c r="G4615" s="3">
        <f t="shared" si="216"/>
        <v>7</v>
      </c>
      <c r="H4615" s="4">
        <f t="shared" si="217"/>
        <v>5.251312828207011E-3</v>
      </c>
      <c r="I4615" s="1">
        <f t="shared" si="218"/>
        <v>0</v>
      </c>
    </row>
    <row r="4616" spans="1:9" hidden="1" x14ac:dyDescent="0.2">
      <c r="A4616" s="6">
        <v>44109.708333333336</v>
      </c>
      <c r="B4616" s="1" t="s">
        <v>24</v>
      </c>
      <c r="C4616">
        <v>6</v>
      </c>
      <c r="D4616">
        <v>1</v>
      </c>
      <c r="E4616">
        <v>146</v>
      </c>
      <c r="F4616">
        <v>1346</v>
      </c>
      <c r="G4616" s="3">
        <f t="shared" si="216"/>
        <v>13</v>
      </c>
      <c r="H4616" s="4">
        <f t="shared" si="217"/>
        <v>9.6582466567607383E-3</v>
      </c>
      <c r="I4616" s="1">
        <f t="shared" si="218"/>
        <v>0</v>
      </c>
    </row>
    <row r="4617" spans="1:9" hidden="1" x14ac:dyDescent="0.2">
      <c r="A4617" s="6">
        <v>44110.708333333336</v>
      </c>
      <c r="B4617" s="1" t="s">
        <v>24</v>
      </c>
      <c r="C4617">
        <v>5</v>
      </c>
      <c r="D4617">
        <v>1</v>
      </c>
      <c r="E4617">
        <v>146</v>
      </c>
      <c r="F4617">
        <v>1351</v>
      </c>
      <c r="G4617" s="3">
        <f t="shared" si="216"/>
        <v>5</v>
      </c>
      <c r="H4617" s="4">
        <f t="shared" si="217"/>
        <v>3.7009622501850137E-3</v>
      </c>
      <c r="I4617" s="1">
        <f t="shared" si="218"/>
        <v>0</v>
      </c>
    </row>
    <row r="4618" spans="1:9" hidden="1" x14ac:dyDescent="0.2">
      <c r="A4618" s="6">
        <v>44111.708333333336</v>
      </c>
      <c r="B4618" s="1" t="s">
        <v>24</v>
      </c>
      <c r="C4618">
        <v>4</v>
      </c>
      <c r="D4618">
        <v>1</v>
      </c>
      <c r="E4618">
        <v>146</v>
      </c>
      <c r="F4618">
        <v>1366</v>
      </c>
      <c r="G4618" s="3">
        <f t="shared" si="216"/>
        <v>15</v>
      </c>
      <c r="H4618" s="4">
        <f t="shared" si="217"/>
        <v>1.0980966325036645E-2</v>
      </c>
      <c r="I4618" s="1">
        <f t="shared" si="218"/>
        <v>0</v>
      </c>
    </row>
    <row r="4619" spans="1:9" hidden="1" x14ac:dyDescent="0.2">
      <c r="A4619" s="6">
        <v>44112.708333333336</v>
      </c>
      <c r="B4619" s="1" t="s">
        <v>24</v>
      </c>
      <c r="C4619">
        <v>4</v>
      </c>
      <c r="D4619">
        <v>1</v>
      </c>
      <c r="E4619">
        <v>146</v>
      </c>
      <c r="F4619">
        <v>1384</v>
      </c>
      <c r="G4619" s="3">
        <f t="shared" si="216"/>
        <v>18</v>
      </c>
      <c r="H4619" s="4">
        <f t="shared" si="217"/>
        <v>1.3005780346820761E-2</v>
      </c>
      <c r="I4619" s="1">
        <f t="shared" si="218"/>
        <v>0</v>
      </c>
    </row>
    <row r="4620" spans="1:9" hidden="1" x14ac:dyDescent="0.2">
      <c r="A4620" s="6">
        <v>44113.708333333336</v>
      </c>
      <c r="B4620" s="1" t="s">
        <v>24</v>
      </c>
      <c r="C4620">
        <v>4</v>
      </c>
      <c r="D4620">
        <v>2</v>
      </c>
      <c r="E4620">
        <v>146</v>
      </c>
      <c r="F4620">
        <v>1402</v>
      </c>
      <c r="G4620" s="3">
        <f t="shared" si="216"/>
        <v>18</v>
      </c>
      <c r="H4620" s="4">
        <f t="shared" si="217"/>
        <v>1.2838801711840264E-2</v>
      </c>
      <c r="I4620" s="1">
        <f t="shared" si="218"/>
        <v>0</v>
      </c>
    </row>
    <row r="4621" spans="1:9" hidden="1" x14ac:dyDescent="0.2">
      <c r="A4621" s="6">
        <v>44114.708333333336</v>
      </c>
      <c r="B4621" s="1" t="s">
        <v>24</v>
      </c>
      <c r="C4621">
        <v>6</v>
      </c>
      <c r="D4621">
        <v>3</v>
      </c>
      <c r="E4621">
        <v>146</v>
      </c>
      <c r="F4621">
        <v>1446</v>
      </c>
      <c r="G4621" s="3">
        <f t="shared" si="216"/>
        <v>44</v>
      </c>
      <c r="H4621" s="4">
        <f t="shared" si="217"/>
        <v>3.0428769017980639E-2</v>
      </c>
      <c r="I4621" s="1">
        <f t="shared" si="218"/>
        <v>0</v>
      </c>
    </row>
    <row r="4622" spans="1:9" hidden="1" x14ac:dyDescent="0.2">
      <c r="A4622" s="6">
        <v>44115.708333333336</v>
      </c>
      <c r="B4622" s="1" t="s">
        <v>24</v>
      </c>
      <c r="C4622">
        <v>8</v>
      </c>
      <c r="D4622">
        <v>3</v>
      </c>
      <c r="E4622">
        <v>146</v>
      </c>
      <c r="F4622">
        <v>1464</v>
      </c>
      <c r="G4622" s="3">
        <f t="shared" si="216"/>
        <v>18</v>
      </c>
      <c r="H4622" s="4">
        <f t="shared" si="217"/>
        <v>1.2295081967213073E-2</v>
      </c>
      <c r="I4622" s="1">
        <f t="shared" si="218"/>
        <v>0</v>
      </c>
    </row>
    <row r="4623" spans="1:9" hidden="1" x14ac:dyDescent="0.2">
      <c r="A4623" s="6">
        <v>43885.75</v>
      </c>
      <c r="B4623" s="1" t="s">
        <v>25</v>
      </c>
      <c r="C4623">
        <v>12</v>
      </c>
      <c r="D4623">
        <v>4</v>
      </c>
      <c r="E4623">
        <v>1</v>
      </c>
      <c r="F4623">
        <v>33</v>
      </c>
      <c r="G4623" s="3">
        <f t="shared" si="216"/>
        <v>0</v>
      </c>
      <c r="H4623" s="4">
        <f t="shared" si="217"/>
        <v>0</v>
      </c>
      <c r="I4623" s="1">
        <f t="shared" si="218"/>
        <v>0</v>
      </c>
    </row>
    <row r="4624" spans="1:9" hidden="1" x14ac:dyDescent="0.2">
      <c r="A4624" s="6">
        <v>43886.75</v>
      </c>
      <c r="B4624" s="1" t="s">
        <v>25</v>
      </c>
      <c r="C4624">
        <v>12</v>
      </c>
      <c r="D4624">
        <v>7</v>
      </c>
      <c r="E4624">
        <v>1</v>
      </c>
      <c r="F4624">
        <v>43</v>
      </c>
      <c r="G4624" s="3">
        <f t="shared" si="216"/>
        <v>10</v>
      </c>
      <c r="H4624" s="4">
        <f t="shared" si="217"/>
        <v>0.23255813953488369</v>
      </c>
      <c r="I4624" s="1">
        <f t="shared" si="218"/>
        <v>0</v>
      </c>
    </row>
    <row r="4625" spans="1:9" hidden="1" x14ac:dyDescent="0.2">
      <c r="A4625" s="6">
        <v>43887.75</v>
      </c>
      <c r="B4625" s="1" t="s">
        <v>25</v>
      </c>
      <c r="C4625">
        <v>16</v>
      </c>
      <c r="D4625">
        <v>8</v>
      </c>
      <c r="E4625">
        <v>2</v>
      </c>
      <c r="F4625">
        <v>71</v>
      </c>
      <c r="G4625" s="3">
        <f t="shared" si="216"/>
        <v>28</v>
      </c>
      <c r="H4625" s="4">
        <f t="shared" si="217"/>
        <v>0.39436619718309862</v>
      </c>
      <c r="I4625" s="1">
        <f t="shared" si="218"/>
        <v>1</v>
      </c>
    </row>
    <row r="4626" spans="1:9" hidden="1" x14ac:dyDescent="0.2">
      <c r="A4626" s="6">
        <v>43888.75</v>
      </c>
      <c r="B4626" s="1" t="s">
        <v>25</v>
      </c>
      <c r="C4626">
        <v>19</v>
      </c>
      <c r="D4626">
        <v>8</v>
      </c>
      <c r="E4626">
        <v>2</v>
      </c>
      <c r="F4626">
        <v>111</v>
      </c>
      <c r="G4626" s="3">
        <f t="shared" si="216"/>
        <v>40</v>
      </c>
      <c r="H4626" s="4">
        <f t="shared" si="217"/>
        <v>0.36036036036036034</v>
      </c>
      <c r="I4626" s="1">
        <f t="shared" si="218"/>
        <v>0</v>
      </c>
    </row>
    <row r="4627" spans="1:9" hidden="1" x14ac:dyDescent="0.2">
      <c r="A4627" s="6">
        <v>43889.75</v>
      </c>
      <c r="B4627" s="1" t="s">
        <v>25</v>
      </c>
      <c r="C4627">
        <v>24</v>
      </c>
      <c r="D4627">
        <v>9</v>
      </c>
      <c r="E4627">
        <v>2</v>
      </c>
      <c r="F4627">
        <v>151</v>
      </c>
      <c r="G4627" s="3">
        <f t="shared" si="216"/>
        <v>40</v>
      </c>
      <c r="H4627" s="4">
        <f t="shared" si="217"/>
        <v>0.26490066225165565</v>
      </c>
      <c r="I4627" s="1">
        <f t="shared" si="218"/>
        <v>0</v>
      </c>
    </row>
    <row r="4628" spans="1:9" hidden="1" x14ac:dyDescent="0.2">
      <c r="A4628" s="6">
        <v>43890.708333333336</v>
      </c>
      <c r="B4628" s="1" t="s">
        <v>25</v>
      </c>
      <c r="C4628">
        <v>24</v>
      </c>
      <c r="D4628">
        <v>11</v>
      </c>
      <c r="E4628">
        <v>2</v>
      </c>
      <c r="F4628">
        <v>191</v>
      </c>
      <c r="G4628" s="3">
        <f t="shared" si="216"/>
        <v>40</v>
      </c>
      <c r="H4628" s="4">
        <f t="shared" si="217"/>
        <v>0.20942408376963351</v>
      </c>
      <c r="I4628" s="1">
        <f t="shared" si="218"/>
        <v>0</v>
      </c>
    </row>
    <row r="4629" spans="1:9" hidden="1" x14ac:dyDescent="0.2">
      <c r="A4629" s="6">
        <v>43891.708333333336</v>
      </c>
      <c r="B4629" s="1" t="s">
        <v>25</v>
      </c>
      <c r="C4629">
        <v>51</v>
      </c>
      <c r="D4629">
        <v>13</v>
      </c>
      <c r="E4629">
        <v>2</v>
      </c>
      <c r="F4629">
        <v>263</v>
      </c>
      <c r="G4629" s="3">
        <f t="shared" si="216"/>
        <v>72</v>
      </c>
      <c r="H4629" s="4">
        <f t="shared" si="217"/>
        <v>0.27376425855513309</v>
      </c>
      <c r="I4629" s="1">
        <f t="shared" si="218"/>
        <v>0</v>
      </c>
    </row>
    <row r="4630" spans="1:9" hidden="1" x14ac:dyDescent="0.2">
      <c r="A4630" s="6">
        <v>43892.75</v>
      </c>
      <c r="B4630" s="1" t="s">
        <v>25</v>
      </c>
      <c r="C4630">
        <v>53</v>
      </c>
      <c r="D4630">
        <v>14</v>
      </c>
      <c r="E4630">
        <v>2</v>
      </c>
      <c r="F4630">
        <v>273</v>
      </c>
      <c r="G4630" s="3">
        <f t="shared" si="216"/>
        <v>10</v>
      </c>
      <c r="H4630" s="4">
        <f t="shared" si="217"/>
        <v>3.6630036630036611E-2</v>
      </c>
      <c r="I4630" s="1">
        <f t="shared" si="218"/>
        <v>0</v>
      </c>
    </row>
    <row r="4631" spans="1:9" hidden="1" x14ac:dyDescent="0.2">
      <c r="A4631" s="6">
        <v>43893.75</v>
      </c>
      <c r="B4631" s="1" t="s">
        <v>25</v>
      </c>
      <c r="C4631">
        <v>49</v>
      </c>
      <c r="D4631">
        <v>19</v>
      </c>
      <c r="E4631">
        <v>3</v>
      </c>
      <c r="F4631">
        <v>307</v>
      </c>
      <c r="G4631" s="3">
        <f t="shared" si="216"/>
        <v>34</v>
      </c>
      <c r="H4631" s="4">
        <f t="shared" si="217"/>
        <v>0.11074918566775249</v>
      </c>
      <c r="I4631" s="1">
        <f t="shared" si="218"/>
        <v>1</v>
      </c>
    </row>
    <row r="4632" spans="1:9" hidden="1" x14ac:dyDescent="0.2">
      <c r="A4632" s="6">
        <v>43894.708333333336</v>
      </c>
      <c r="B4632" s="1" t="s">
        <v>25</v>
      </c>
      <c r="C4632">
        <v>76</v>
      </c>
      <c r="D4632">
        <v>23</v>
      </c>
      <c r="E4632">
        <v>6</v>
      </c>
      <c r="F4632">
        <v>360</v>
      </c>
      <c r="G4632" s="3">
        <f t="shared" si="216"/>
        <v>53</v>
      </c>
      <c r="H4632" s="4">
        <f t="shared" si="217"/>
        <v>0.14722222222222225</v>
      </c>
      <c r="I4632" s="1">
        <f t="shared" si="218"/>
        <v>3</v>
      </c>
    </row>
    <row r="4633" spans="1:9" hidden="1" x14ac:dyDescent="0.2">
      <c r="A4633" s="6">
        <v>43895.708333333336</v>
      </c>
      <c r="B4633" s="1" t="s">
        <v>25</v>
      </c>
      <c r="C4633">
        <v>92</v>
      </c>
      <c r="D4633">
        <v>24</v>
      </c>
      <c r="E4633">
        <v>10</v>
      </c>
      <c r="F4633">
        <v>407</v>
      </c>
      <c r="G4633" s="3">
        <f t="shared" si="216"/>
        <v>47</v>
      </c>
      <c r="H4633" s="4">
        <f t="shared" si="217"/>
        <v>0.11547911547911549</v>
      </c>
      <c r="I4633" s="1">
        <f t="shared" si="218"/>
        <v>4</v>
      </c>
    </row>
    <row r="4634" spans="1:9" hidden="1" x14ac:dyDescent="0.2">
      <c r="A4634" s="6">
        <v>43896.708333333336</v>
      </c>
      <c r="B4634" s="1" t="s">
        <v>25</v>
      </c>
      <c r="C4634">
        <v>117</v>
      </c>
      <c r="D4634">
        <v>27</v>
      </c>
      <c r="E4634">
        <v>12</v>
      </c>
      <c r="F4634">
        <v>488</v>
      </c>
      <c r="G4634" s="3">
        <f t="shared" si="216"/>
        <v>81</v>
      </c>
      <c r="H4634" s="4">
        <f t="shared" si="217"/>
        <v>0.16598360655737709</v>
      </c>
      <c r="I4634" s="1">
        <f t="shared" si="218"/>
        <v>2</v>
      </c>
    </row>
    <row r="4635" spans="1:9" hidden="1" x14ac:dyDescent="0.2">
      <c r="A4635" s="6">
        <v>43897.75</v>
      </c>
      <c r="B4635" s="1" t="s">
        <v>25</v>
      </c>
      <c r="C4635">
        <v>123</v>
      </c>
      <c r="D4635">
        <v>41</v>
      </c>
      <c r="E4635">
        <v>13</v>
      </c>
      <c r="F4635">
        <v>543</v>
      </c>
      <c r="G4635" s="3">
        <f t="shared" si="216"/>
        <v>55</v>
      </c>
      <c r="H4635" s="4">
        <f t="shared" si="217"/>
        <v>0.10128913443830567</v>
      </c>
      <c r="I4635" s="1">
        <f t="shared" si="218"/>
        <v>1</v>
      </c>
    </row>
    <row r="4636" spans="1:9" hidden="1" x14ac:dyDescent="0.2">
      <c r="A4636" s="6">
        <v>43898.75</v>
      </c>
      <c r="B4636" s="1" t="s">
        <v>25</v>
      </c>
      <c r="C4636">
        <v>146</v>
      </c>
      <c r="D4636">
        <v>47</v>
      </c>
      <c r="E4636">
        <v>18</v>
      </c>
      <c r="F4636">
        <v>670</v>
      </c>
      <c r="G4636" s="3">
        <f t="shared" si="216"/>
        <v>127</v>
      </c>
      <c r="H4636" s="4">
        <f t="shared" si="217"/>
        <v>0.18955223880597016</v>
      </c>
      <c r="I4636" s="1">
        <f t="shared" si="218"/>
        <v>5</v>
      </c>
    </row>
    <row r="4637" spans="1:9" hidden="1" x14ac:dyDescent="0.2">
      <c r="A4637" s="6">
        <v>43899.75</v>
      </c>
      <c r="B4637" s="1" t="s">
        <v>25</v>
      </c>
      <c r="C4637">
        <v>186</v>
      </c>
      <c r="D4637">
        <v>51</v>
      </c>
      <c r="E4637">
        <v>20</v>
      </c>
      <c r="F4637">
        <v>744</v>
      </c>
      <c r="G4637" s="3">
        <f t="shared" si="216"/>
        <v>74</v>
      </c>
      <c r="H4637" s="4">
        <f t="shared" si="217"/>
        <v>9.9462365591397872E-2</v>
      </c>
      <c r="I4637" s="1">
        <f t="shared" si="218"/>
        <v>2</v>
      </c>
    </row>
    <row r="4638" spans="1:9" hidden="1" x14ac:dyDescent="0.2">
      <c r="A4638" s="6">
        <v>43900.75</v>
      </c>
      <c r="B4638" s="1" t="s">
        <v>25</v>
      </c>
      <c r="C4638">
        <v>204</v>
      </c>
      <c r="D4638">
        <v>67</v>
      </c>
      <c r="E4638">
        <v>26</v>
      </c>
      <c r="F4638">
        <v>856</v>
      </c>
      <c r="G4638" s="3">
        <f t="shared" si="216"/>
        <v>112</v>
      </c>
      <c r="H4638" s="4">
        <f t="shared" si="217"/>
        <v>0.13084112149532712</v>
      </c>
      <c r="I4638" s="1">
        <f t="shared" si="218"/>
        <v>6</v>
      </c>
    </row>
    <row r="4639" spans="1:9" hidden="1" x14ac:dyDescent="0.2">
      <c r="A4639" s="6">
        <v>43901.708333333336</v>
      </c>
      <c r="B4639" s="1" t="s">
        <v>25</v>
      </c>
      <c r="C4639">
        <v>262</v>
      </c>
      <c r="D4639">
        <v>68</v>
      </c>
      <c r="E4639">
        <v>29</v>
      </c>
      <c r="F4639">
        <v>1023</v>
      </c>
      <c r="G4639" s="3">
        <f t="shared" si="216"/>
        <v>167</v>
      </c>
      <c r="H4639" s="4">
        <f t="shared" si="217"/>
        <v>0.16324535679374386</v>
      </c>
      <c r="I4639" s="1">
        <f t="shared" si="218"/>
        <v>3</v>
      </c>
    </row>
    <row r="4640" spans="1:9" hidden="1" x14ac:dyDescent="0.2">
      <c r="A4640" s="6">
        <v>43902.708333333336</v>
      </c>
      <c r="B4640" s="1" t="s">
        <v>25</v>
      </c>
      <c r="C4640">
        <v>360</v>
      </c>
      <c r="D4640">
        <v>85</v>
      </c>
      <c r="E4640">
        <v>32</v>
      </c>
      <c r="F4640">
        <v>1384</v>
      </c>
      <c r="G4640" s="3">
        <f t="shared" si="216"/>
        <v>361</v>
      </c>
      <c r="H4640" s="4">
        <f t="shared" si="217"/>
        <v>0.26083815028901736</v>
      </c>
      <c r="I4640" s="1">
        <f t="shared" si="218"/>
        <v>3</v>
      </c>
    </row>
    <row r="4641" spans="1:9" hidden="1" x14ac:dyDescent="0.2">
      <c r="A4641" s="6">
        <v>43903.708333333336</v>
      </c>
      <c r="B4641" s="1" t="s">
        <v>25</v>
      </c>
      <c r="C4641">
        <v>366</v>
      </c>
      <c r="D4641">
        <v>107</v>
      </c>
      <c r="E4641">
        <v>42</v>
      </c>
      <c r="F4641">
        <v>1595</v>
      </c>
      <c r="G4641" s="3">
        <f t="shared" si="216"/>
        <v>211</v>
      </c>
      <c r="H4641" s="4">
        <f t="shared" si="217"/>
        <v>0.1322884012539185</v>
      </c>
      <c r="I4641" s="1">
        <f t="shared" si="218"/>
        <v>10</v>
      </c>
    </row>
    <row r="4642" spans="1:9" hidden="1" x14ac:dyDescent="0.2">
      <c r="A4642" s="6">
        <v>43904.708333333336</v>
      </c>
      <c r="B4642" s="1" t="s">
        <v>25</v>
      </c>
      <c r="C4642">
        <v>366</v>
      </c>
      <c r="D4642">
        <v>119</v>
      </c>
      <c r="E4642">
        <v>55</v>
      </c>
      <c r="F4642">
        <v>1937</v>
      </c>
      <c r="G4642" s="3">
        <f t="shared" si="216"/>
        <v>342</v>
      </c>
      <c r="H4642" s="4">
        <f t="shared" si="217"/>
        <v>0.17656169334021687</v>
      </c>
      <c r="I4642" s="1">
        <f t="shared" si="218"/>
        <v>13</v>
      </c>
    </row>
    <row r="4643" spans="1:9" hidden="1" x14ac:dyDescent="0.2">
      <c r="A4643" s="6">
        <v>43905.708333333336</v>
      </c>
      <c r="B4643" s="1" t="s">
        <v>25</v>
      </c>
      <c r="C4643">
        <v>426</v>
      </c>
      <c r="D4643">
        <v>129</v>
      </c>
      <c r="E4643">
        <v>63</v>
      </c>
      <c r="F4643">
        <v>2172</v>
      </c>
      <c r="G4643" s="3">
        <f t="shared" si="216"/>
        <v>235</v>
      </c>
      <c r="H4643" s="4">
        <f t="shared" si="217"/>
        <v>0.10819521178637204</v>
      </c>
      <c r="I4643" s="1">
        <f t="shared" si="218"/>
        <v>8</v>
      </c>
    </row>
    <row r="4644" spans="1:9" hidden="1" x14ac:dyDescent="0.2">
      <c r="A4644" s="6">
        <v>43906.708333333336</v>
      </c>
      <c r="B4644" s="1" t="s">
        <v>25</v>
      </c>
      <c r="C4644">
        <v>498</v>
      </c>
      <c r="D4644">
        <v>156</v>
      </c>
      <c r="E4644">
        <v>69</v>
      </c>
      <c r="F4644">
        <v>2473</v>
      </c>
      <c r="G4644" s="3">
        <f t="shared" si="216"/>
        <v>301</v>
      </c>
      <c r="H4644" s="4">
        <f t="shared" si="217"/>
        <v>0.12171451678123735</v>
      </c>
      <c r="I4644" s="1">
        <f t="shared" si="218"/>
        <v>6</v>
      </c>
    </row>
    <row r="4645" spans="1:9" hidden="1" x14ac:dyDescent="0.2">
      <c r="A4645" s="6">
        <v>43907.708333333336</v>
      </c>
      <c r="B4645" s="1" t="s">
        <v>25</v>
      </c>
      <c r="C4645">
        <v>548</v>
      </c>
      <c r="D4645">
        <v>171</v>
      </c>
      <c r="E4645">
        <v>80</v>
      </c>
      <c r="F4645">
        <v>2704</v>
      </c>
      <c r="G4645" s="3">
        <f t="shared" si="216"/>
        <v>231</v>
      </c>
      <c r="H4645" s="4">
        <f t="shared" si="217"/>
        <v>8.5428994082840215E-2</v>
      </c>
      <c r="I4645" s="1">
        <f t="shared" si="218"/>
        <v>11</v>
      </c>
    </row>
    <row r="4646" spans="1:9" hidden="1" x14ac:dyDescent="0.2">
      <c r="A4646" s="6">
        <v>43908.708333333336</v>
      </c>
      <c r="B4646" s="1" t="s">
        <v>25</v>
      </c>
      <c r="C4646">
        <v>646</v>
      </c>
      <c r="D4646">
        <v>195</v>
      </c>
      <c r="E4646">
        <v>94</v>
      </c>
      <c r="F4646">
        <v>3214</v>
      </c>
      <c r="G4646" s="3">
        <f t="shared" si="216"/>
        <v>510</v>
      </c>
      <c r="H4646" s="4">
        <f t="shared" si="217"/>
        <v>0.1586807716241444</v>
      </c>
      <c r="I4646" s="1">
        <f t="shared" si="218"/>
        <v>14</v>
      </c>
    </row>
    <row r="4647" spans="1:9" hidden="1" x14ac:dyDescent="0.2">
      <c r="A4647" s="6">
        <v>43909.708333333336</v>
      </c>
      <c r="B4647" s="1" t="s">
        <v>25</v>
      </c>
      <c r="C4647">
        <v>771</v>
      </c>
      <c r="D4647">
        <v>209</v>
      </c>
      <c r="E4647">
        <v>115</v>
      </c>
      <c r="F4647">
        <v>3484</v>
      </c>
      <c r="G4647" s="3">
        <f t="shared" si="216"/>
        <v>270</v>
      </c>
      <c r="H4647" s="4">
        <f t="shared" si="217"/>
        <v>7.7497129735935699E-2</v>
      </c>
      <c r="I4647" s="1">
        <f t="shared" si="218"/>
        <v>21</v>
      </c>
    </row>
    <row r="4648" spans="1:9" hidden="1" x14ac:dyDescent="0.2">
      <c r="A4648" s="6">
        <v>43910.708333333336</v>
      </c>
      <c r="B4648" s="1" t="s">
        <v>25</v>
      </c>
      <c r="C4648">
        <v>843</v>
      </c>
      <c r="D4648">
        <v>236</v>
      </c>
      <c r="E4648">
        <v>131</v>
      </c>
      <c r="F4648">
        <v>4031</v>
      </c>
      <c r="G4648" s="3">
        <f t="shared" si="216"/>
        <v>547</v>
      </c>
      <c r="H4648" s="4">
        <f t="shared" si="217"/>
        <v>0.13569833788141905</v>
      </c>
      <c r="I4648" s="1">
        <f t="shared" si="218"/>
        <v>16</v>
      </c>
    </row>
    <row r="4649" spans="1:9" hidden="1" x14ac:dyDescent="0.2">
      <c r="A4649" s="6">
        <v>43911.708333333336</v>
      </c>
      <c r="B4649" s="1" t="s">
        <v>25</v>
      </c>
      <c r="C4649">
        <v>942</v>
      </c>
      <c r="D4649">
        <v>249</v>
      </c>
      <c r="E4649">
        <v>146</v>
      </c>
      <c r="F4649">
        <v>4617</v>
      </c>
      <c r="G4649" s="3">
        <f t="shared" si="216"/>
        <v>586</v>
      </c>
      <c r="H4649" s="4">
        <f t="shared" si="217"/>
        <v>0.12692224388130824</v>
      </c>
      <c r="I4649" s="1">
        <f t="shared" si="218"/>
        <v>15</v>
      </c>
    </row>
    <row r="4650" spans="1:9" hidden="1" x14ac:dyDescent="0.2">
      <c r="A4650" s="6">
        <v>43912.708333333336</v>
      </c>
      <c r="B4650" s="1" t="s">
        <v>25</v>
      </c>
      <c r="C4650">
        <v>1113</v>
      </c>
      <c r="D4650">
        <v>255</v>
      </c>
      <c r="E4650">
        <v>169</v>
      </c>
      <c r="F4650">
        <v>5122</v>
      </c>
      <c r="G4650" s="3">
        <f t="shared" si="216"/>
        <v>505</v>
      </c>
      <c r="H4650" s="4">
        <f t="shared" si="217"/>
        <v>9.8594299101913307E-2</v>
      </c>
      <c r="I4650" s="1">
        <f t="shared" si="218"/>
        <v>23</v>
      </c>
    </row>
    <row r="4651" spans="1:9" hidden="1" x14ac:dyDescent="0.2">
      <c r="A4651" s="6">
        <v>43913.708333333336</v>
      </c>
      <c r="B4651" s="1" t="s">
        <v>25</v>
      </c>
      <c r="C4651">
        <v>1206</v>
      </c>
      <c r="D4651">
        <v>281</v>
      </c>
      <c r="E4651">
        <v>192</v>
      </c>
      <c r="F4651">
        <v>5505</v>
      </c>
      <c r="G4651" s="3">
        <f t="shared" si="216"/>
        <v>383</v>
      </c>
      <c r="H4651" s="4">
        <f t="shared" si="217"/>
        <v>6.9573115349682135E-2</v>
      </c>
      <c r="I4651" s="1">
        <f t="shared" si="218"/>
        <v>23</v>
      </c>
    </row>
    <row r="4652" spans="1:9" hidden="1" x14ac:dyDescent="0.2">
      <c r="A4652" s="6">
        <v>43914.708333333336</v>
      </c>
      <c r="B4652" s="1" t="s">
        <v>25</v>
      </c>
      <c r="C4652">
        <v>1318</v>
      </c>
      <c r="D4652">
        <v>304</v>
      </c>
      <c r="E4652">
        <v>216</v>
      </c>
      <c r="F4652">
        <v>5948</v>
      </c>
      <c r="G4652" s="3">
        <f t="shared" si="216"/>
        <v>443</v>
      </c>
      <c r="H4652" s="4">
        <f t="shared" si="217"/>
        <v>7.447881640887688E-2</v>
      </c>
      <c r="I4652" s="1">
        <f t="shared" si="218"/>
        <v>24</v>
      </c>
    </row>
    <row r="4653" spans="1:9" hidden="1" x14ac:dyDescent="0.2">
      <c r="A4653" s="6">
        <v>43915.708333333336</v>
      </c>
      <c r="B4653" s="1" t="s">
        <v>25</v>
      </c>
      <c r="C4653">
        <v>1407</v>
      </c>
      <c r="D4653">
        <v>316</v>
      </c>
      <c r="E4653">
        <v>258</v>
      </c>
      <c r="F4653">
        <v>6442</v>
      </c>
      <c r="G4653" s="3">
        <f t="shared" si="216"/>
        <v>494</v>
      </c>
      <c r="H4653" s="4">
        <f t="shared" si="217"/>
        <v>7.6684259546724642E-2</v>
      </c>
      <c r="I4653" s="1">
        <f t="shared" si="218"/>
        <v>42</v>
      </c>
    </row>
    <row r="4654" spans="1:9" hidden="1" x14ac:dyDescent="0.2">
      <c r="A4654" s="6">
        <v>43916.708333333336</v>
      </c>
      <c r="B4654" s="1" t="s">
        <v>25</v>
      </c>
      <c r="C4654">
        <v>1447</v>
      </c>
      <c r="D4654">
        <v>326</v>
      </c>
      <c r="E4654">
        <v>287</v>
      </c>
      <c r="F4654">
        <v>6935</v>
      </c>
      <c r="G4654" s="3">
        <f t="shared" si="216"/>
        <v>493</v>
      </c>
      <c r="H4654" s="4">
        <f t="shared" si="217"/>
        <v>7.1088680605623678E-2</v>
      </c>
      <c r="I4654" s="1">
        <f t="shared" si="218"/>
        <v>29</v>
      </c>
    </row>
    <row r="4655" spans="1:9" hidden="1" x14ac:dyDescent="0.2">
      <c r="A4655" s="6">
        <v>43917.708333333336</v>
      </c>
      <c r="B4655" s="1" t="s">
        <v>25</v>
      </c>
      <c r="C4655">
        <v>1536</v>
      </c>
      <c r="D4655">
        <v>338</v>
      </c>
      <c r="E4655">
        <v>313</v>
      </c>
      <c r="F4655">
        <v>7497</v>
      </c>
      <c r="G4655" s="3">
        <f t="shared" si="216"/>
        <v>562</v>
      </c>
      <c r="H4655" s="4">
        <f t="shared" si="217"/>
        <v>7.496331866079764E-2</v>
      </c>
      <c r="I4655" s="1">
        <f t="shared" si="218"/>
        <v>26</v>
      </c>
    </row>
    <row r="4656" spans="1:9" hidden="1" x14ac:dyDescent="0.2">
      <c r="A4656" s="6">
        <v>43918.708333333336</v>
      </c>
      <c r="B4656" s="1" t="s">
        <v>25</v>
      </c>
      <c r="C4656">
        <v>1559</v>
      </c>
      <c r="D4656">
        <v>344</v>
      </c>
      <c r="E4656">
        <v>362</v>
      </c>
      <c r="F4656">
        <v>7930</v>
      </c>
      <c r="G4656" s="3">
        <f t="shared" si="216"/>
        <v>433</v>
      </c>
      <c r="H4656" s="4">
        <f t="shared" si="217"/>
        <v>5.4602774274905452E-2</v>
      </c>
      <c r="I4656" s="1">
        <f t="shared" si="218"/>
        <v>49</v>
      </c>
    </row>
    <row r="4657" spans="1:9" hidden="1" x14ac:dyDescent="0.2">
      <c r="A4657" s="6">
        <v>43919.708333333336</v>
      </c>
      <c r="B4657" s="1" t="s">
        <v>25</v>
      </c>
      <c r="C4657">
        <v>1586</v>
      </c>
      <c r="D4657">
        <v>355</v>
      </c>
      <c r="E4657">
        <v>392</v>
      </c>
      <c r="F4657">
        <v>8358</v>
      </c>
      <c r="G4657" s="3">
        <f t="shared" si="216"/>
        <v>428</v>
      </c>
      <c r="H4657" s="4">
        <f t="shared" si="217"/>
        <v>5.1208423067719555E-2</v>
      </c>
      <c r="I4657" s="1">
        <f t="shared" si="218"/>
        <v>30</v>
      </c>
    </row>
    <row r="4658" spans="1:9" hidden="1" x14ac:dyDescent="0.2">
      <c r="A4658" s="6">
        <v>43920.708333333336</v>
      </c>
      <c r="B4658" s="1" t="s">
        <v>25</v>
      </c>
      <c r="C4658">
        <v>1633</v>
      </c>
      <c r="D4658">
        <v>356</v>
      </c>
      <c r="E4658">
        <v>413</v>
      </c>
      <c r="F4658">
        <v>8724</v>
      </c>
      <c r="G4658" s="3">
        <f t="shared" si="216"/>
        <v>366</v>
      </c>
      <c r="H4658" s="4">
        <f t="shared" si="217"/>
        <v>4.1953232462173307E-2</v>
      </c>
      <c r="I4658" s="1">
        <f t="shared" si="218"/>
        <v>21</v>
      </c>
    </row>
    <row r="4659" spans="1:9" hidden="1" x14ac:dyDescent="0.2">
      <c r="A4659" s="6">
        <v>43921.708333333336</v>
      </c>
      <c r="B4659" s="1" t="s">
        <v>25</v>
      </c>
      <c r="C4659">
        <v>1680</v>
      </c>
      <c r="D4659">
        <v>356</v>
      </c>
      <c r="E4659">
        <v>477</v>
      </c>
      <c r="F4659">
        <v>9155</v>
      </c>
      <c r="G4659" s="3">
        <f t="shared" si="216"/>
        <v>431</v>
      </c>
      <c r="H4659" s="4">
        <f t="shared" si="217"/>
        <v>4.7078099399235351E-2</v>
      </c>
      <c r="I4659" s="1">
        <f t="shared" si="218"/>
        <v>64</v>
      </c>
    </row>
    <row r="4660" spans="1:9" hidden="1" x14ac:dyDescent="0.2">
      <c r="A4660" s="6">
        <v>43922.708333333336</v>
      </c>
      <c r="B4660" s="1" t="s">
        <v>25</v>
      </c>
      <c r="C4660">
        <v>1718</v>
      </c>
      <c r="D4660">
        <v>350</v>
      </c>
      <c r="E4660">
        <v>499</v>
      </c>
      <c r="F4660">
        <v>9625</v>
      </c>
      <c r="G4660" s="3">
        <f t="shared" si="216"/>
        <v>470</v>
      </c>
      <c r="H4660" s="4">
        <f t="shared" si="217"/>
        <v>4.8831168831168781E-2</v>
      </c>
      <c r="I4660" s="1">
        <f t="shared" si="218"/>
        <v>22</v>
      </c>
    </row>
    <row r="4661" spans="1:9" hidden="1" x14ac:dyDescent="0.2">
      <c r="A4661" s="6">
        <v>43923.708333333336</v>
      </c>
      <c r="B4661" s="1" t="s">
        <v>25</v>
      </c>
      <c r="C4661">
        <v>1670</v>
      </c>
      <c r="D4661">
        <v>345</v>
      </c>
      <c r="E4661">
        <v>532</v>
      </c>
      <c r="F4661">
        <v>10111</v>
      </c>
      <c r="G4661" s="3">
        <f t="shared" si="216"/>
        <v>486</v>
      </c>
      <c r="H4661" s="4">
        <f t="shared" si="217"/>
        <v>4.8066462268816168E-2</v>
      </c>
      <c r="I4661" s="1">
        <f t="shared" si="218"/>
        <v>33</v>
      </c>
    </row>
    <row r="4662" spans="1:9" hidden="1" x14ac:dyDescent="0.2">
      <c r="A4662" s="6">
        <v>43924.708333333336</v>
      </c>
      <c r="B4662" s="1" t="s">
        <v>25</v>
      </c>
      <c r="C4662">
        <v>1714</v>
      </c>
      <c r="D4662">
        <v>335</v>
      </c>
      <c r="E4662">
        <v>572</v>
      </c>
      <c r="F4662">
        <v>10464</v>
      </c>
      <c r="G4662" s="3">
        <f t="shared" si="216"/>
        <v>353</v>
      </c>
      <c r="H4662" s="4">
        <f t="shared" si="217"/>
        <v>3.373470948012236E-2</v>
      </c>
      <c r="I4662" s="1">
        <f t="shared" si="218"/>
        <v>40</v>
      </c>
    </row>
    <row r="4663" spans="1:9" hidden="1" x14ac:dyDescent="0.2">
      <c r="A4663" s="6">
        <v>43925.708333333336</v>
      </c>
      <c r="B4663" s="1" t="s">
        <v>25</v>
      </c>
      <c r="C4663">
        <v>1691</v>
      </c>
      <c r="D4663">
        <v>324</v>
      </c>
      <c r="E4663">
        <v>607</v>
      </c>
      <c r="F4663">
        <v>10824</v>
      </c>
      <c r="G4663" s="3">
        <f t="shared" si="216"/>
        <v>360</v>
      </c>
      <c r="H4663" s="4">
        <f t="shared" si="217"/>
        <v>3.3259423503325891E-2</v>
      </c>
      <c r="I4663" s="1">
        <f t="shared" si="218"/>
        <v>35</v>
      </c>
    </row>
    <row r="4664" spans="1:9" hidden="1" x14ac:dyDescent="0.2">
      <c r="A4664" s="6">
        <v>43926.708333333336</v>
      </c>
      <c r="B4664" s="1" t="s">
        <v>25</v>
      </c>
      <c r="C4664">
        <v>1674</v>
      </c>
      <c r="D4664">
        <v>329</v>
      </c>
      <c r="E4664">
        <v>631</v>
      </c>
      <c r="F4664">
        <v>11226</v>
      </c>
      <c r="G4664" s="3">
        <f t="shared" si="216"/>
        <v>402</v>
      </c>
      <c r="H4664" s="4">
        <f t="shared" si="217"/>
        <v>3.5809727418492754E-2</v>
      </c>
      <c r="I4664" s="1">
        <f t="shared" si="218"/>
        <v>24</v>
      </c>
    </row>
    <row r="4665" spans="1:9" hidden="1" x14ac:dyDescent="0.2">
      <c r="A4665" s="6">
        <v>43927.708333333336</v>
      </c>
      <c r="B4665" s="1" t="s">
        <v>25</v>
      </c>
      <c r="C4665">
        <v>1714</v>
      </c>
      <c r="D4665">
        <v>322</v>
      </c>
      <c r="E4665">
        <v>662</v>
      </c>
      <c r="F4665">
        <v>11588</v>
      </c>
      <c r="G4665" s="3">
        <f t="shared" si="216"/>
        <v>362</v>
      </c>
      <c r="H4665" s="4">
        <f t="shared" si="217"/>
        <v>3.123921297894372E-2</v>
      </c>
      <c r="I4665" s="1">
        <f t="shared" si="218"/>
        <v>31</v>
      </c>
    </row>
    <row r="4666" spans="1:9" hidden="1" x14ac:dyDescent="0.2">
      <c r="A4666" s="6">
        <v>43928.708333333336</v>
      </c>
      <c r="B4666" s="1" t="s">
        <v>25</v>
      </c>
      <c r="C4666">
        <v>1579</v>
      </c>
      <c r="D4666">
        <v>297</v>
      </c>
      <c r="E4666">
        <v>695</v>
      </c>
      <c r="F4666">
        <v>11925</v>
      </c>
      <c r="G4666" s="3">
        <f t="shared" si="216"/>
        <v>337</v>
      </c>
      <c r="H4666" s="4">
        <f t="shared" si="217"/>
        <v>2.825995807127879E-2</v>
      </c>
      <c r="I4666" s="1">
        <f t="shared" si="218"/>
        <v>33</v>
      </c>
    </row>
    <row r="4667" spans="1:9" hidden="1" x14ac:dyDescent="0.2">
      <c r="A4667" s="6">
        <v>43929.708333333336</v>
      </c>
      <c r="B4667" s="1" t="s">
        <v>25</v>
      </c>
      <c r="C4667">
        <v>1554</v>
      </c>
      <c r="D4667">
        <v>285</v>
      </c>
      <c r="E4667">
        <v>736</v>
      </c>
      <c r="F4667">
        <v>12410</v>
      </c>
      <c r="G4667" s="3">
        <f t="shared" si="216"/>
        <v>485</v>
      </c>
      <c r="H4667" s="4">
        <f t="shared" si="217"/>
        <v>3.9081385979049199E-2</v>
      </c>
      <c r="I4667" s="1">
        <f t="shared" si="218"/>
        <v>41</v>
      </c>
    </row>
    <row r="4668" spans="1:9" hidden="1" x14ac:dyDescent="0.2">
      <c r="A4668" s="6">
        <v>43930.708333333336</v>
      </c>
      <c r="B4668" s="1" t="s">
        <v>25</v>
      </c>
      <c r="C4668">
        <v>1530</v>
      </c>
      <c r="D4668">
        <v>274</v>
      </c>
      <c r="E4668">
        <v>756</v>
      </c>
      <c r="F4668">
        <v>12933</v>
      </c>
      <c r="G4668" s="3">
        <f t="shared" si="216"/>
        <v>523</v>
      </c>
      <c r="H4668" s="4">
        <f t="shared" si="217"/>
        <v>4.0439186576973651E-2</v>
      </c>
      <c r="I4668" s="1">
        <f t="shared" si="218"/>
        <v>20</v>
      </c>
    </row>
    <row r="4669" spans="1:9" hidden="1" x14ac:dyDescent="0.2">
      <c r="A4669" s="6">
        <v>43931.708333333336</v>
      </c>
      <c r="B4669" s="1" t="s">
        <v>25</v>
      </c>
      <c r="C4669">
        <v>1521</v>
      </c>
      <c r="D4669">
        <v>257</v>
      </c>
      <c r="E4669">
        <v>793</v>
      </c>
      <c r="F4669">
        <v>13421</v>
      </c>
      <c r="G4669" s="3">
        <f t="shared" si="216"/>
        <v>488</v>
      </c>
      <c r="H4669" s="4">
        <f t="shared" si="217"/>
        <v>3.636092690559567E-2</v>
      </c>
      <c r="I4669" s="1">
        <f t="shared" si="218"/>
        <v>37</v>
      </c>
    </row>
    <row r="4670" spans="1:9" hidden="1" x14ac:dyDescent="0.2">
      <c r="A4670" s="6">
        <v>43932.708333333336</v>
      </c>
      <c r="B4670" s="1" t="s">
        <v>25</v>
      </c>
      <c r="C4670">
        <v>1465</v>
      </c>
      <c r="D4670">
        <v>251</v>
      </c>
      <c r="E4670">
        <v>831</v>
      </c>
      <c r="F4670">
        <v>13768</v>
      </c>
      <c r="G4670" s="3">
        <f t="shared" si="216"/>
        <v>347</v>
      </c>
      <c r="H4670" s="4">
        <f t="shared" si="217"/>
        <v>2.5203370133643266E-2</v>
      </c>
      <c r="I4670" s="1">
        <f t="shared" si="218"/>
        <v>38</v>
      </c>
    </row>
    <row r="4671" spans="1:9" hidden="1" x14ac:dyDescent="0.2">
      <c r="A4671" s="6">
        <v>43933.708333333336</v>
      </c>
      <c r="B4671" s="1" t="s">
        <v>25</v>
      </c>
      <c r="C4671">
        <v>1428</v>
      </c>
      <c r="D4671">
        <v>249</v>
      </c>
      <c r="E4671">
        <v>856</v>
      </c>
      <c r="F4671">
        <v>14077</v>
      </c>
      <c r="G4671" s="3">
        <f t="shared" si="216"/>
        <v>309</v>
      </c>
      <c r="H4671" s="4">
        <f t="shared" si="217"/>
        <v>2.1950699722952383E-2</v>
      </c>
      <c r="I4671" s="1">
        <f t="shared" si="218"/>
        <v>25</v>
      </c>
    </row>
    <row r="4672" spans="1:9" hidden="1" x14ac:dyDescent="0.2">
      <c r="A4672" s="6">
        <v>43934.708333333336</v>
      </c>
      <c r="B4672" s="1" t="s">
        <v>25</v>
      </c>
      <c r="C4672">
        <v>1427</v>
      </c>
      <c r="D4672">
        <v>245</v>
      </c>
      <c r="E4672">
        <v>882</v>
      </c>
      <c r="F4672">
        <v>14251</v>
      </c>
      <c r="G4672" s="3">
        <f t="shared" si="216"/>
        <v>174</v>
      </c>
      <c r="H4672" s="4">
        <f t="shared" si="217"/>
        <v>1.2209669496877407E-2</v>
      </c>
      <c r="I4672" s="1">
        <f t="shared" si="218"/>
        <v>26</v>
      </c>
    </row>
    <row r="4673" spans="1:9" hidden="1" x14ac:dyDescent="0.2">
      <c r="A4673" s="6">
        <v>43935.708333333336</v>
      </c>
      <c r="B4673" s="1" t="s">
        <v>25</v>
      </c>
      <c r="C4673">
        <v>1427</v>
      </c>
      <c r="D4673">
        <v>233</v>
      </c>
      <c r="E4673">
        <v>906</v>
      </c>
      <c r="F4673">
        <v>14432</v>
      </c>
      <c r="G4673" s="3">
        <f t="shared" si="216"/>
        <v>181</v>
      </c>
      <c r="H4673" s="4">
        <f t="shared" si="217"/>
        <v>1.2541574279379186E-2</v>
      </c>
      <c r="I4673" s="1">
        <f t="shared" si="218"/>
        <v>24</v>
      </c>
    </row>
    <row r="4674" spans="1:9" hidden="1" x14ac:dyDescent="0.2">
      <c r="A4674" s="6">
        <v>43936.708333333336</v>
      </c>
      <c r="B4674" s="1" t="s">
        <v>25</v>
      </c>
      <c r="C4674">
        <v>1402</v>
      </c>
      <c r="D4674">
        <v>219</v>
      </c>
      <c r="E4674">
        <v>940</v>
      </c>
      <c r="F4674">
        <v>14624</v>
      </c>
      <c r="G4674" s="3">
        <f t="shared" si="216"/>
        <v>192</v>
      </c>
      <c r="H4674" s="4">
        <f t="shared" si="217"/>
        <v>1.3129102844638973E-2</v>
      </c>
      <c r="I4674" s="1">
        <f t="shared" si="218"/>
        <v>34</v>
      </c>
    </row>
    <row r="4675" spans="1:9" hidden="1" x14ac:dyDescent="0.2">
      <c r="A4675" s="6">
        <v>43937.708333333336</v>
      </c>
      <c r="B4675" s="1" t="s">
        <v>25</v>
      </c>
      <c r="C4675">
        <v>1388</v>
      </c>
      <c r="D4675">
        <v>209</v>
      </c>
      <c r="E4675">
        <v>981</v>
      </c>
      <c r="F4675">
        <v>14990</v>
      </c>
      <c r="G4675" s="3">
        <f t="shared" ref="G4675:G4738" si="219">IF(AND(F4675&gt;0,AND(B4675=B4674,F4675&gt;0)),F4675-F4674,0)</f>
        <v>366</v>
      </c>
      <c r="H4675" s="4">
        <f t="shared" ref="H4675:H4738" si="220">IF(AND(F4674&gt;0,AND(B4675=B4674,F4674&gt;0)),1-(F4674/F4675),0)</f>
        <v>2.4416277518345519E-2</v>
      </c>
      <c r="I4675" s="1">
        <f t="shared" ref="I4675:I4738" si="221">IF(AND(E4675&gt;0,AND(B4675=B4674,E4675&gt;0)),E4675-E4674,0)</f>
        <v>41</v>
      </c>
    </row>
    <row r="4676" spans="1:9" hidden="1" x14ac:dyDescent="0.2">
      <c r="A4676" s="6">
        <v>43938.708333333336</v>
      </c>
      <c r="B4676" s="1" t="s">
        <v>25</v>
      </c>
      <c r="C4676">
        <v>1359</v>
      </c>
      <c r="D4676">
        <v>197</v>
      </c>
      <c r="E4676">
        <v>1026</v>
      </c>
      <c r="F4676">
        <v>15374</v>
      </c>
      <c r="G4676" s="3">
        <f t="shared" si="219"/>
        <v>384</v>
      </c>
      <c r="H4676" s="4">
        <f t="shared" si="220"/>
        <v>2.497723429166121E-2</v>
      </c>
      <c r="I4676" s="1">
        <f t="shared" si="221"/>
        <v>45</v>
      </c>
    </row>
    <row r="4677" spans="1:9" hidden="1" x14ac:dyDescent="0.2">
      <c r="A4677" s="6">
        <v>43939.708333333336</v>
      </c>
      <c r="B4677" s="1" t="s">
        <v>25</v>
      </c>
      <c r="C4677">
        <v>1287</v>
      </c>
      <c r="D4677">
        <v>190</v>
      </c>
      <c r="E4677">
        <v>1059</v>
      </c>
      <c r="F4677">
        <v>15692</v>
      </c>
      <c r="G4677" s="3">
        <f t="shared" si="219"/>
        <v>318</v>
      </c>
      <c r="H4677" s="4">
        <f t="shared" si="220"/>
        <v>2.0265103237318338E-2</v>
      </c>
      <c r="I4677" s="1">
        <f t="shared" si="221"/>
        <v>33</v>
      </c>
    </row>
    <row r="4678" spans="1:9" hidden="1" x14ac:dyDescent="0.2">
      <c r="A4678" s="6">
        <v>43940.708333333336</v>
      </c>
      <c r="B4678" s="1" t="s">
        <v>25</v>
      </c>
      <c r="C4678">
        <v>1264</v>
      </c>
      <c r="D4678">
        <v>184</v>
      </c>
      <c r="E4678">
        <v>1087</v>
      </c>
      <c r="F4678">
        <v>15935</v>
      </c>
      <c r="G4678" s="3">
        <f t="shared" si="219"/>
        <v>243</v>
      </c>
      <c r="H4678" s="4">
        <f t="shared" si="220"/>
        <v>1.5249450894257888E-2</v>
      </c>
      <c r="I4678" s="1">
        <f t="shared" si="221"/>
        <v>28</v>
      </c>
    </row>
    <row r="4679" spans="1:9" hidden="1" x14ac:dyDescent="0.2">
      <c r="A4679" s="6">
        <v>43941.708333333336</v>
      </c>
      <c r="B4679" s="1" t="s">
        <v>25</v>
      </c>
      <c r="C4679">
        <v>1273</v>
      </c>
      <c r="D4679">
        <v>180</v>
      </c>
      <c r="E4679">
        <v>1112</v>
      </c>
      <c r="F4679">
        <v>16127</v>
      </c>
      <c r="G4679" s="3">
        <f t="shared" si="219"/>
        <v>192</v>
      </c>
      <c r="H4679" s="4">
        <f t="shared" si="220"/>
        <v>1.1905500093011723E-2</v>
      </c>
      <c r="I4679" s="1">
        <f t="shared" si="221"/>
        <v>25</v>
      </c>
    </row>
    <row r="4680" spans="1:9" hidden="1" x14ac:dyDescent="0.2">
      <c r="A4680" s="6">
        <v>43942.708333333336</v>
      </c>
      <c r="B4680" s="1" t="s">
        <v>25</v>
      </c>
      <c r="C4680">
        <v>1230</v>
      </c>
      <c r="D4680">
        <v>177</v>
      </c>
      <c r="E4680">
        <v>1154</v>
      </c>
      <c r="F4680">
        <v>16404</v>
      </c>
      <c r="G4680" s="3">
        <f t="shared" si="219"/>
        <v>277</v>
      </c>
      <c r="H4680" s="4">
        <f t="shared" si="220"/>
        <v>1.6886125335284108E-2</v>
      </c>
      <c r="I4680" s="1">
        <f t="shared" si="221"/>
        <v>42</v>
      </c>
    </row>
    <row r="4681" spans="1:9" hidden="1" x14ac:dyDescent="0.2">
      <c r="A4681" s="6">
        <v>43943.708333333336</v>
      </c>
      <c r="B4681" s="1" t="s">
        <v>25</v>
      </c>
      <c r="C4681">
        <v>1205</v>
      </c>
      <c r="D4681">
        <v>163</v>
      </c>
      <c r="E4681">
        <v>1181</v>
      </c>
      <c r="F4681">
        <v>16738</v>
      </c>
      <c r="G4681" s="3">
        <f t="shared" si="219"/>
        <v>334</v>
      </c>
      <c r="H4681" s="4">
        <f t="shared" si="220"/>
        <v>1.9954594336240916E-2</v>
      </c>
      <c r="I4681" s="1">
        <f t="shared" si="221"/>
        <v>27</v>
      </c>
    </row>
    <row r="4682" spans="1:9" hidden="1" x14ac:dyDescent="0.2">
      <c r="A4682" s="6">
        <v>43944.708333333336</v>
      </c>
      <c r="B4682" s="1" t="s">
        <v>25</v>
      </c>
      <c r="C4682">
        <v>1189</v>
      </c>
      <c r="D4682">
        <v>140</v>
      </c>
      <c r="E4682">
        <v>1206</v>
      </c>
      <c r="F4682">
        <v>16881</v>
      </c>
      <c r="G4682" s="3">
        <f t="shared" si="219"/>
        <v>143</v>
      </c>
      <c r="H4682" s="4">
        <f t="shared" si="220"/>
        <v>8.4710621408684572E-3</v>
      </c>
      <c r="I4682" s="1">
        <f t="shared" si="221"/>
        <v>25</v>
      </c>
    </row>
    <row r="4683" spans="1:9" hidden="1" x14ac:dyDescent="0.2">
      <c r="A4683" s="6">
        <v>43945.708333333336</v>
      </c>
      <c r="B4683" s="1" t="s">
        <v>25</v>
      </c>
      <c r="C4683">
        <v>1159</v>
      </c>
      <c r="D4683">
        <v>130</v>
      </c>
      <c r="E4683">
        <v>1244</v>
      </c>
      <c r="F4683">
        <v>17229</v>
      </c>
      <c r="G4683" s="3">
        <f t="shared" si="219"/>
        <v>348</v>
      </c>
      <c r="H4683" s="4">
        <f t="shared" si="220"/>
        <v>2.0198502524812811E-2</v>
      </c>
      <c r="I4683" s="1">
        <f t="shared" si="221"/>
        <v>38</v>
      </c>
    </row>
    <row r="4684" spans="1:9" hidden="1" x14ac:dyDescent="0.2">
      <c r="A4684" s="6">
        <v>43946.708333333336</v>
      </c>
      <c r="B4684" s="1" t="s">
        <v>25</v>
      </c>
      <c r="C4684">
        <v>1105</v>
      </c>
      <c r="D4684">
        <v>129</v>
      </c>
      <c r="E4684">
        <v>1288</v>
      </c>
      <c r="F4684">
        <v>17391</v>
      </c>
      <c r="G4684" s="3">
        <f t="shared" si="219"/>
        <v>162</v>
      </c>
      <c r="H4684" s="4">
        <f t="shared" si="220"/>
        <v>9.3151630153527343E-3</v>
      </c>
      <c r="I4684" s="1">
        <f t="shared" si="221"/>
        <v>44</v>
      </c>
    </row>
    <row r="4685" spans="1:9" hidden="1" x14ac:dyDescent="0.2">
      <c r="A4685" s="6">
        <v>43947.708333333336</v>
      </c>
      <c r="B4685" s="1" t="s">
        <v>25</v>
      </c>
      <c r="C4685">
        <v>1097</v>
      </c>
      <c r="D4685">
        <v>124</v>
      </c>
      <c r="E4685">
        <v>1315</v>
      </c>
      <c r="F4685">
        <v>17471</v>
      </c>
      <c r="G4685" s="3">
        <f t="shared" si="219"/>
        <v>80</v>
      </c>
      <c r="H4685" s="4">
        <f t="shared" si="220"/>
        <v>4.5790166561731072E-3</v>
      </c>
      <c r="I4685" s="1">
        <f t="shared" si="221"/>
        <v>27</v>
      </c>
    </row>
    <row r="4686" spans="1:9" hidden="1" x14ac:dyDescent="0.2">
      <c r="A4686" s="6">
        <v>43948.708333333336</v>
      </c>
      <c r="B4686" s="1" t="s">
        <v>25</v>
      </c>
      <c r="C4686">
        <v>1099</v>
      </c>
      <c r="D4686">
        <v>123</v>
      </c>
      <c r="E4686">
        <v>1344</v>
      </c>
      <c r="F4686">
        <v>17579</v>
      </c>
      <c r="G4686" s="3">
        <f t="shared" si="219"/>
        <v>108</v>
      </c>
      <c r="H4686" s="4">
        <f t="shared" si="220"/>
        <v>6.1436941805563805E-3</v>
      </c>
      <c r="I4686" s="1">
        <f t="shared" si="221"/>
        <v>29</v>
      </c>
    </row>
    <row r="4687" spans="1:9" hidden="1" x14ac:dyDescent="0.2">
      <c r="A4687" s="6">
        <v>43949.708333333336</v>
      </c>
      <c r="B4687" s="1" t="s">
        <v>25</v>
      </c>
      <c r="C4687">
        <v>1067</v>
      </c>
      <c r="D4687">
        <v>120</v>
      </c>
      <c r="E4687">
        <v>1408</v>
      </c>
      <c r="F4687">
        <v>17708</v>
      </c>
      <c r="G4687" s="3">
        <f t="shared" si="219"/>
        <v>129</v>
      </c>
      <c r="H4687" s="4">
        <f t="shared" si="220"/>
        <v>7.284843008809605E-3</v>
      </c>
      <c r="I4687" s="1">
        <f t="shared" si="221"/>
        <v>64</v>
      </c>
    </row>
    <row r="4688" spans="1:9" hidden="1" x14ac:dyDescent="0.2">
      <c r="A4688" s="6">
        <v>43950.708333333336</v>
      </c>
      <c r="B4688" s="1" t="s">
        <v>25</v>
      </c>
      <c r="C4688">
        <v>1042</v>
      </c>
      <c r="D4688">
        <v>114</v>
      </c>
      <c r="E4688">
        <v>1437</v>
      </c>
      <c r="F4688">
        <v>17825</v>
      </c>
      <c r="G4688" s="3">
        <f t="shared" si="219"/>
        <v>117</v>
      </c>
      <c r="H4688" s="4">
        <f t="shared" si="220"/>
        <v>6.5638148667601648E-3</v>
      </c>
      <c r="I4688" s="1">
        <f t="shared" si="221"/>
        <v>29</v>
      </c>
    </row>
    <row r="4689" spans="1:9" hidden="1" x14ac:dyDescent="0.2">
      <c r="A4689" s="6">
        <v>43951.708333333336</v>
      </c>
      <c r="B4689" s="1" t="s">
        <v>25</v>
      </c>
      <c r="C4689">
        <v>1012</v>
      </c>
      <c r="D4689">
        <v>114</v>
      </c>
      <c r="E4689">
        <v>1459</v>
      </c>
      <c r="F4689">
        <v>17960</v>
      </c>
      <c r="G4689" s="3">
        <f t="shared" si="219"/>
        <v>135</v>
      </c>
      <c r="H4689" s="4">
        <f t="shared" si="220"/>
        <v>7.5167037861915142E-3</v>
      </c>
      <c r="I4689" s="1">
        <f t="shared" si="221"/>
        <v>22</v>
      </c>
    </row>
    <row r="4690" spans="1:9" hidden="1" x14ac:dyDescent="0.2">
      <c r="A4690" s="6">
        <v>43952.708333333336</v>
      </c>
      <c r="B4690" s="1" t="s">
        <v>25</v>
      </c>
      <c r="C4690">
        <v>977</v>
      </c>
      <c r="D4690">
        <v>110</v>
      </c>
      <c r="E4690">
        <v>1479</v>
      </c>
      <c r="F4690">
        <v>18098</v>
      </c>
      <c r="G4690" s="3">
        <f t="shared" si="219"/>
        <v>138</v>
      </c>
      <c r="H4690" s="4">
        <f t="shared" si="220"/>
        <v>7.6251519504917376E-3</v>
      </c>
      <c r="I4690" s="1">
        <f t="shared" si="221"/>
        <v>20</v>
      </c>
    </row>
    <row r="4691" spans="1:9" hidden="1" x14ac:dyDescent="0.2">
      <c r="A4691" s="6">
        <v>43953.708333333336</v>
      </c>
      <c r="B4691" s="1" t="s">
        <v>25</v>
      </c>
      <c r="C4691">
        <v>970</v>
      </c>
      <c r="D4691">
        <v>108</v>
      </c>
      <c r="E4691">
        <v>1502</v>
      </c>
      <c r="F4691">
        <v>18224</v>
      </c>
      <c r="G4691" s="3">
        <f t="shared" si="219"/>
        <v>126</v>
      </c>
      <c r="H4691" s="4">
        <f t="shared" si="220"/>
        <v>6.91395961369623E-3</v>
      </c>
      <c r="I4691" s="1">
        <f t="shared" si="221"/>
        <v>23</v>
      </c>
    </row>
    <row r="4692" spans="1:9" hidden="1" x14ac:dyDescent="0.2">
      <c r="A4692" s="6">
        <v>43954.708333333336</v>
      </c>
      <c r="B4692" s="1" t="s">
        <v>25</v>
      </c>
      <c r="C4692">
        <v>955</v>
      </c>
      <c r="D4692">
        <v>103</v>
      </c>
      <c r="E4692">
        <v>1516</v>
      </c>
      <c r="F4692">
        <v>18318</v>
      </c>
      <c r="G4692" s="3">
        <f t="shared" si="219"/>
        <v>94</v>
      </c>
      <c r="H4692" s="4">
        <f t="shared" si="220"/>
        <v>5.1315645812861632E-3</v>
      </c>
      <c r="I4692" s="1">
        <f t="shared" si="221"/>
        <v>14</v>
      </c>
    </row>
    <row r="4693" spans="1:9" hidden="1" x14ac:dyDescent="0.2">
      <c r="A4693" s="6">
        <v>43955.708333333336</v>
      </c>
      <c r="B4693" s="1" t="s">
        <v>25</v>
      </c>
      <c r="C4693">
        <v>955</v>
      </c>
      <c r="D4693">
        <v>101</v>
      </c>
      <c r="E4693">
        <v>1528</v>
      </c>
      <c r="F4693">
        <v>18373</v>
      </c>
      <c r="G4693" s="3">
        <f t="shared" si="219"/>
        <v>55</v>
      </c>
      <c r="H4693" s="4">
        <f t="shared" si="220"/>
        <v>2.9935231045555843E-3</v>
      </c>
      <c r="I4693" s="1">
        <f t="shared" si="221"/>
        <v>12</v>
      </c>
    </row>
    <row r="4694" spans="1:9" hidden="1" x14ac:dyDescent="0.2">
      <c r="A4694" s="6">
        <v>43956.708333333336</v>
      </c>
      <c r="B4694" s="1" t="s">
        <v>25</v>
      </c>
      <c r="C4694">
        <v>926</v>
      </c>
      <c r="D4694">
        <v>98</v>
      </c>
      <c r="E4694">
        <v>1545</v>
      </c>
      <c r="F4694">
        <v>18402</v>
      </c>
      <c r="G4694" s="3">
        <f t="shared" si="219"/>
        <v>29</v>
      </c>
      <c r="H4694" s="4">
        <f t="shared" si="220"/>
        <v>1.5759156613411873E-3</v>
      </c>
      <c r="I4694" s="1">
        <f t="shared" si="221"/>
        <v>17</v>
      </c>
    </row>
    <row r="4695" spans="1:9" hidden="1" x14ac:dyDescent="0.2">
      <c r="A4695" s="6">
        <v>43957.708333333336</v>
      </c>
      <c r="B4695" s="1" t="s">
        <v>25</v>
      </c>
      <c r="C4695">
        <v>902</v>
      </c>
      <c r="D4695">
        <v>90</v>
      </c>
      <c r="E4695">
        <v>1568</v>
      </c>
      <c r="F4695">
        <v>18479</v>
      </c>
      <c r="G4695" s="3">
        <f t="shared" si="219"/>
        <v>77</v>
      </c>
      <c r="H4695" s="4">
        <f t="shared" si="220"/>
        <v>4.1668921478434928E-3</v>
      </c>
      <c r="I4695" s="1">
        <f t="shared" si="221"/>
        <v>23</v>
      </c>
    </row>
    <row r="4696" spans="1:9" hidden="1" x14ac:dyDescent="0.2">
      <c r="A4696" s="6">
        <v>43958.708333333336</v>
      </c>
      <c r="B4696" s="1" t="s">
        <v>25</v>
      </c>
      <c r="C4696">
        <v>872</v>
      </c>
      <c r="D4696">
        <v>87</v>
      </c>
      <c r="E4696">
        <v>1589</v>
      </c>
      <c r="F4696">
        <v>18553</v>
      </c>
      <c r="G4696" s="3">
        <f t="shared" si="219"/>
        <v>74</v>
      </c>
      <c r="H4696" s="4">
        <f t="shared" si="220"/>
        <v>3.9885732765589932E-3</v>
      </c>
      <c r="I4696" s="1">
        <f t="shared" si="221"/>
        <v>21</v>
      </c>
    </row>
    <row r="4697" spans="1:9" hidden="1" x14ac:dyDescent="0.2">
      <c r="A4697" s="6">
        <v>43959.708333333336</v>
      </c>
      <c r="B4697" s="1" t="s">
        <v>25</v>
      </c>
      <c r="C4697">
        <v>831</v>
      </c>
      <c r="D4697">
        <v>79</v>
      </c>
      <c r="E4697">
        <v>1627</v>
      </c>
      <c r="F4697">
        <v>18618</v>
      </c>
      <c r="G4697" s="3">
        <f t="shared" si="219"/>
        <v>65</v>
      </c>
      <c r="H4697" s="4">
        <f t="shared" si="220"/>
        <v>3.4912450316897381E-3</v>
      </c>
      <c r="I4697" s="1">
        <f t="shared" si="221"/>
        <v>38</v>
      </c>
    </row>
    <row r="4698" spans="1:9" hidden="1" x14ac:dyDescent="0.2">
      <c r="A4698" s="6">
        <v>43960.708333333336</v>
      </c>
      <c r="B4698" s="1" t="s">
        <v>25</v>
      </c>
      <c r="C4698">
        <v>435</v>
      </c>
      <c r="D4698">
        <v>40</v>
      </c>
      <c r="E4698">
        <v>1643</v>
      </c>
      <c r="F4698">
        <v>18671</v>
      </c>
      <c r="G4698" s="3">
        <f t="shared" si="219"/>
        <v>53</v>
      </c>
      <c r="H4698" s="4">
        <f t="shared" si="220"/>
        <v>2.8386267473622384E-3</v>
      </c>
      <c r="I4698" s="1">
        <f t="shared" si="221"/>
        <v>16</v>
      </c>
    </row>
    <row r="4699" spans="1:9" hidden="1" x14ac:dyDescent="0.2">
      <c r="A4699" s="6">
        <v>43961.708333333336</v>
      </c>
      <c r="B4699" s="1" t="s">
        <v>25</v>
      </c>
      <c r="C4699">
        <v>408</v>
      </c>
      <c r="D4699">
        <v>37</v>
      </c>
      <c r="E4699">
        <v>1657</v>
      </c>
      <c r="F4699">
        <v>18722</v>
      </c>
      <c r="G4699" s="3">
        <f t="shared" si="219"/>
        <v>51</v>
      </c>
      <c r="H4699" s="4">
        <f t="shared" si="220"/>
        <v>2.7240679414592961E-3</v>
      </c>
      <c r="I4699" s="1">
        <f t="shared" si="221"/>
        <v>14</v>
      </c>
    </row>
    <row r="4700" spans="1:9" hidden="1" x14ac:dyDescent="0.2">
      <c r="A4700" s="6">
        <v>43962.708333333336</v>
      </c>
      <c r="B4700" s="1" t="s">
        <v>25</v>
      </c>
      <c r="C4700">
        <v>400</v>
      </c>
      <c r="D4700">
        <v>38</v>
      </c>
      <c r="E4700">
        <v>1666</v>
      </c>
      <c r="F4700">
        <v>18741</v>
      </c>
      <c r="G4700" s="3">
        <f t="shared" si="219"/>
        <v>19</v>
      </c>
      <c r="H4700" s="4">
        <f t="shared" si="220"/>
        <v>1.0138199669174064E-3</v>
      </c>
      <c r="I4700" s="1">
        <f t="shared" si="221"/>
        <v>9</v>
      </c>
    </row>
    <row r="4701" spans="1:9" hidden="1" x14ac:dyDescent="0.2">
      <c r="A4701" s="6">
        <v>43963.708333333336</v>
      </c>
      <c r="B4701" s="1" t="s">
        <v>25</v>
      </c>
      <c r="C4701">
        <v>393</v>
      </c>
      <c r="D4701">
        <v>33</v>
      </c>
      <c r="E4701">
        <v>1686</v>
      </c>
      <c r="F4701">
        <v>18782</v>
      </c>
      <c r="G4701" s="3">
        <f t="shared" si="219"/>
        <v>41</v>
      </c>
      <c r="H4701" s="4">
        <f t="shared" si="220"/>
        <v>2.1829411138324373E-3</v>
      </c>
      <c r="I4701" s="1">
        <f t="shared" si="221"/>
        <v>20</v>
      </c>
    </row>
    <row r="4702" spans="1:9" hidden="1" x14ac:dyDescent="0.2">
      <c r="A4702" s="6">
        <v>43964.708333333336</v>
      </c>
      <c r="B4702" s="1" t="s">
        <v>25</v>
      </c>
      <c r="C4702">
        <v>364</v>
      </c>
      <c r="D4702">
        <v>30</v>
      </c>
      <c r="E4702">
        <v>1712</v>
      </c>
      <c r="F4702">
        <v>18813</v>
      </c>
      <c r="G4702" s="3">
        <f t="shared" si="219"/>
        <v>31</v>
      </c>
      <c r="H4702" s="4">
        <f t="shared" si="220"/>
        <v>1.647796736299334E-3</v>
      </c>
      <c r="I4702" s="1">
        <f t="shared" si="221"/>
        <v>26</v>
      </c>
    </row>
    <row r="4703" spans="1:9" hidden="1" x14ac:dyDescent="0.2">
      <c r="A4703" s="6">
        <v>43965.708333333336</v>
      </c>
      <c r="B4703" s="1" t="s">
        <v>25</v>
      </c>
      <c r="C4703">
        <v>342</v>
      </c>
      <c r="D4703">
        <v>26</v>
      </c>
      <c r="E4703">
        <v>1743</v>
      </c>
      <c r="F4703">
        <v>18845</v>
      </c>
      <c r="G4703" s="3">
        <f t="shared" si="219"/>
        <v>32</v>
      </c>
      <c r="H4703" s="4">
        <f t="shared" si="220"/>
        <v>1.6980631467232721E-3</v>
      </c>
      <c r="I4703" s="1">
        <f t="shared" si="221"/>
        <v>31</v>
      </c>
    </row>
    <row r="4704" spans="1:9" hidden="1" x14ac:dyDescent="0.2">
      <c r="A4704" s="6">
        <v>43966.708333333336</v>
      </c>
      <c r="B4704" s="1" t="s">
        <v>25</v>
      </c>
      <c r="C4704">
        <v>311</v>
      </c>
      <c r="D4704">
        <v>24</v>
      </c>
      <c r="E4704">
        <v>1762</v>
      </c>
      <c r="F4704">
        <v>18889</v>
      </c>
      <c r="G4704" s="3">
        <f t="shared" si="219"/>
        <v>44</v>
      </c>
      <c r="H4704" s="4">
        <f t="shared" si="220"/>
        <v>2.3293980623643185E-3</v>
      </c>
      <c r="I4704" s="1">
        <f t="shared" si="221"/>
        <v>19</v>
      </c>
    </row>
    <row r="4705" spans="1:9" hidden="1" x14ac:dyDescent="0.2">
      <c r="A4705" s="6">
        <v>43967.708333333336</v>
      </c>
      <c r="B4705" s="1" t="s">
        <v>25</v>
      </c>
      <c r="C4705">
        <v>290</v>
      </c>
      <c r="D4705">
        <v>20</v>
      </c>
      <c r="E4705">
        <v>1783</v>
      </c>
      <c r="F4705">
        <v>18928</v>
      </c>
      <c r="G4705" s="3">
        <f t="shared" si="219"/>
        <v>39</v>
      </c>
      <c r="H4705" s="4">
        <f t="shared" si="220"/>
        <v>2.0604395604395531E-3</v>
      </c>
      <c r="I4705" s="1">
        <f t="shared" si="221"/>
        <v>21</v>
      </c>
    </row>
    <row r="4706" spans="1:9" hidden="1" x14ac:dyDescent="0.2">
      <c r="A4706" s="6">
        <v>43968.708333333336</v>
      </c>
      <c r="B4706" s="1" t="s">
        <v>25</v>
      </c>
      <c r="C4706">
        <v>273</v>
      </c>
      <c r="D4706">
        <v>22</v>
      </c>
      <c r="E4706">
        <v>1794</v>
      </c>
      <c r="F4706">
        <v>18941</v>
      </c>
      <c r="G4706" s="3">
        <f t="shared" si="219"/>
        <v>13</v>
      </c>
      <c r="H4706" s="4">
        <f t="shared" si="220"/>
        <v>6.8634179821547292E-4</v>
      </c>
      <c r="I4706" s="1">
        <f t="shared" si="221"/>
        <v>11</v>
      </c>
    </row>
    <row r="4707" spans="1:9" hidden="1" x14ac:dyDescent="0.2">
      <c r="A4707" s="6">
        <v>43969.708333333336</v>
      </c>
      <c r="B4707" s="1" t="s">
        <v>25</v>
      </c>
      <c r="C4707">
        <v>263</v>
      </c>
      <c r="D4707">
        <v>22</v>
      </c>
      <c r="E4707">
        <v>1803</v>
      </c>
      <c r="F4707">
        <v>18950</v>
      </c>
      <c r="G4707" s="3">
        <f t="shared" si="219"/>
        <v>9</v>
      </c>
      <c r="H4707" s="4">
        <f t="shared" si="220"/>
        <v>4.749340369393229E-4</v>
      </c>
      <c r="I4707" s="1">
        <f t="shared" si="221"/>
        <v>9</v>
      </c>
    </row>
    <row r="4708" spans="1:9" hidden="1" x14ac:dyDescent="0.2">
      <c r="A4708" s="6">
        <v>43970.708333333336</v>
      </c>
      <c r="B4708" s="1" t="s">
        <v>25</v>
      </c>
      <c r="C4708">
        <v>259</v>
      </c>
      <c r="D4708">
        <v>18</v>
      </c>
      <c r="E4708">
        <v>1820</v>
      </c>
      <c r="F4708">
        <v>18997</v>
      </c>
      <c r="G4708" s="3">
        <f t="shared" si="219"/>
        <v>47</v>
      </c>
      <c r="H4708" s="4">
        <f t="shared" si="220"/>
        <v>2.4740748539242574E-3</v>
      </c>
      <c r="I4708" s="1">
        <f t="shared" si="221"/>
        <v>17</v>
      </c>
    </row>
    <row r="4709" spans="1:9" hidden="1" x14ac:dyDescent="0.2">
      <c r="A4709" s="6">
        <v>43971.708333333336</v>
      </c>
      <c r="B4709" s="1" t="s">
        <v>25</v>
      </c>
      <c r="C4709">
        <v>255</v>
      </c>
      <c r="D4709">
        <v>16</v>
      </c>
      <c r="E4709">
        <v>1832</v>
      </c>
      <c r="F4709">
        <v>19030</v>
      </c>
      <c r="G4709" s="3">
        <f t="shared" si="219"/>
        <v>33</v>
      </c>
      <c r="H4709" s="4">
        <f t="shared" si="220"/>
        <v>1.7341040462427459E-3</v>
      </c>
      <c r="I4709" s="1">
        <f t="shared" si="221"/>
        <v>12</v>
      </c>
    </row>
    <row r="4710" spans="1:9" hidden="1" x14ac:dyDescent="0.2">
      <c r="A4710" s="6">
        <v>43972.708333333336</v>
      </c>
      <c r="B4710" s="1" t="s">
        <v>25</v>
      </c>
      <c r="C4710">
        <v>237</v>
      </c>
      <c r="D4710">
        <v>15</v>
      </c>
      <c r="E4710">
        <v>1841</v>
      </c>
      <c r="F4710">
        <v>19038</v>
      </c>
      <c r="G4710" s="3">
        <f t="shared" si="219"/>
        <v>8</v>
      </c>
      <c r="H4710" s="4">
        <f t="shared" si="220"/>
        <v>4.2021220716459418E-4</v>
      </c>
      <c r="I4710" s="1">
        <f t="shared" si="221"/>
        <v>9</v>
      </c>
    </row>
    <row r="4711" spans="1:9" hidden="1" x14ac:dyDescent="0.2">
      <c r="A4711" s="6">
        <v>43973.708333333336</v>
      </c>
      <c r="B4711" s="1" t="s">
        <v>25</v>
      </c>
      <c r="C4711">
        <v>215</v>
      </c>
      <c r="D4711">
        <v>12</v>
      </c>
      <c r="E4711">
        <v>1854</v>
      </c>
      <c r="F4711">
        <v>19059</v>
      </c>
      <c r="G4711" s="3">
        <f t="shared" si="219"/>
        <v>21</v>
      </c>
      <c r="H4711" s="4">
        <f t="shared" si="220"/>
        <v>1.1018416496143546E-3</v>
      </c>
      <c r="I4711" s="1">
        <f t="shared" si="221"/>
        <v>13</v>
      </c>
    </row>
    <row r="4712" spans="1:9" hidden="1" x14ac:dyDescent="0.2">
      <c r="A4712" s="6">
        <v>43974.708333333336</v>
      </c>
      <c r="B4712" s="1" t="s">
        <v>25</v>
      </c>
      <c r="C4712">
        <v>205</v>
      </c>
      <c r="D4712">
        <v>14</v>
      </c>
      <c r="E4712">
        <v>1865</v>
      </c>
      <c r="F4712">
        <v>19069</v>
      </c>
      <c r="G4712" s="3">
        <f t="shared" si="219"/>
        <v>10</v>
      </c>
      <c r="H4712" s="4">
        <f t="shared" si="220"/>
        <v>5.2441134826153313E-4</v>
      </c>
      <c r="I4712" s="1">
        <f t="shared" si="221"/>
        <v>11</v>
      </c>
    </row>
    <row r="4713" spans="1:9" hidden="1" x14ac:dyDescent="0.2">
      <c r="A4713" s="6">
        <v>43975.708333333336</v>
      </c>
      <c r="B4713" s="1" t="s">
        <v>25</v>
      </c>
      <c r="C4713">
        <v>185</v>
      </c>
      <c r="D4713">
        <v>11</v>
      </c>
      <c r="E4713">
        <v>1869</v>
      </c>
      <c r="F4713">
        <v>19086</v>
      </c>
      <c r="G4713" s="3">
        <f t="shared" si="219"/>
        <v>17</v>
      </c>
      <c r="H4713" s="4">
        <f t="shared" si="220"/>
        <v>8.9070522896361748E-4</v>
      </c>
      <c r="I4713" s="1">
        <f t="shared" si="221"/>
        <v>4</v>
      </c>
    </row>
    <row r="4714" spans="1:9" hidden="1" x14ac:dyDescent="0.2">
      <c r="A4714" s="6">
        <v>43976.708333333336</v>
      </c>
      <c r="B4714" s="1" t="s">
        <v>25</v>
      </c>
      <c r="C4714">
        <v>179</v>
      </c>
      <c r="D4714">
        <v>10</v>
      </c>
      <c r="E4714">
        <v>1878</v>
      </c>
      <c r="F4714">
        <v>19097</v>
      </c>
      <c r="G4714" s="3">
        <f t="shared" si="219"/>
        <v>11</v>
      </c>
      <c r="H4714" s="4">
        <f t="shared" si="220"/>
        <v>5.760067026234772E-4</v>
      </c>
      <c r="I4714" s="1">
        <f t="shared" si="221"/>
        <v>9</v>
      </c>
    </row>
    <row r="4715" spans="1:9" hidden="1" x14ac:dyDescent="0.2">
      <c r="A4715" s="6">
        <v>43977.708333333336</v>
      </c>
      <c r="B4715" s="1" t="s">
        <v>25</v>
      </c>
      <c r="C4715">
        <v>177</v>
      </c>
      <c r="D4715">
        <v>11</v>
      </c>
      <c r="E4715">
        <v>1886</v>
      </c>
      <c r="F4715">
        <v>19105</v>
      </c>
      <c r="G4715" s="3">
        <f t="shared" si="219"/>
        <v>8</v>
      </c>
      <c r="H4715" s="4">
        <f t="shared" si="220"/>
        <v>4.1873855011775873E-4</v>
      </c>
      <c r="I4715" s="1">
        <f t="shared" si="221"/>
        <v>8</v>
      </c>
    </row>
    <row r="4716" spans="1:9" hidden="1" x14ac:dyDescent="0.2">
      <c r="A4716" s="6">
        <v>43978.708333333336</v>
      </c>
      <c r="B4716" s="1" t="s">
        <v>25</v>
      </c>
      <c r="C4716">
        <v>168</v>
      </c>
      <c r="D4716">
        <v>9</v>
      </c>
      <c r="E4716">
        <v>1895</v>
      </c>
      <c r="F4716">
        <v>19113</v>
      </c>
      <c r="G4716" s="3">
        <f t="shared" si="219"/>
        <v>8</v>
      </c>
      <c r="H4716" s="4">
        <f t="shared" si="220"/>
        <v>4.1856328153611067E-4</v>
      </c>
      <c r="I4716" s="1">
        <f t="shared" si="221"/>
        <v>9</v>
      </c>
    </row>
    <row r="4717" spans="1:9" hidden="1" x14ac:dyDescent="0.2">
      <c r="A4717" s="6">
        <v>43979.708333333336</v>
      </c>
      <c r="B4717" s="1" t="s">
        <v>25</v>
      </c>
      <c r="C4717">
        <v>148</v>
      </c>
      <c r="D4717">
        <v>9</v>
      </c>
      <c r="E4717">
        <v>1898</v>
      </c>
      <c r="F4717">
        <v>19125</v>
      </c>
      <c r="G4717" s="3">
        <f t="shared" si="219"/>
        <v>12</v>
      </c>
      <c r="H4717" s="4">
        <f t="shared" si="220"/>
        <v>6.2745098039218572E-4</v>
      </c>
      <c r="I4717" s="1">
        <f t="shared" si="221"/>
        <v>3</v>
      </c>
    </row>
    <row r="4718" spans="1:9" hidden="1" x14ac:dyDescent="0.2">
      <c r="A4718" s="6">
        <v>43980.708333333336</v>
      </c>
      <c r="B4718" s="1" t="s">
        <v>25</v>
      </c>
      <c r="C4718">
        <v>137</v>
      </c>
      <c r="D4718">
        <v>7</v>
      </c>
      <c r="E4718">
        <v>1906</v>
      </c>
      <c r="F4718">
        <v>19134</v>
      </c>
      <c r="G4718" s="3">
        <f t="shared" si="219"/>
        <v>9</v>
      </c>
      <c r="H4718" s="4">
        <f t="shared" si="220"/>
        <v>4.7036688617119182E-4</v>
      </c>
      <c r="I4718" s="1">
        <f t="shared" si="221"/>
        <v>8</v>
      </c>
    </row>
    <row r="4719" spans="1:9" hidden="1" x14ac:dyDescent="0.2">
      <c r="A4719" s="6">
        <v>43981.708333333336</v>
      </c>
      <c r="B4719" s="1" t="s">
        <v>25</v>
      </c>
      <c r="C4719">
        <v>120</v>
      </c>
      <c r="D4719">
        <v>7</v>
      </c>
      <c r="E4719">
        <v>1916</v>
      </c>
      <c r="F4719">
        <v>19146</v>
      </c>
      <c r="G4719" s="3">
        <f t="shared" si="219"/>
        <v>12</v>
      </c>
      <c r="H4719" s="4">
        <f t="shared" si="220"/>
        <v>6.2676277029150018E-4</v>
      </c>
      <c r="I4719" s="1">
        <f t="shared" si="221"/>
        <v>10</v>
      </c>
    </row>
    <row r="4720" spans="1:9" hidden="1" x14ac:dyDescent="0.2">
      <c r="A4720" s="6">
        <v>43982.708333333336</v>
      </c>
      <c r="B4720" s="1" t="s">
        <v>25</v>
      </c>
      <c r="C4720">
        <v>112</v>
      </c>
      <c r="D4720">
        <v>6</v>
      </c>
      <c r="E4720">
        <v>1918</v>
      </c>
      <c r="F4720">
        <v>19152</v>
      </c>
      <c r="G4720" s="3">
        <f t="shared" si="219"/>
        <v>6</v>
      </c>
      <c r="H4720" s="4">
        <f t="shared" si="220"/>
        <v>3.1328320802004317E-4</v>
      </c>
      <c r="I4720" s="1">
        <f t="shared" si="221"/>
        <v>2</v>
      </c>
    </row>
    <row r="4721" spans="1:9" hidden="1" x14ac:dyDescent="0.2">
      <c r="A4721" s="6">
        <v>43983.708333333336</v>
      </c>
      <c r="B4721" s="1" t="s">
        <v>25</v>
      </c>
      <c r="C4721">
        <v>110</v>
      </c>
      <c r="D4721">
        <v>6</v>
      </c>
      <c r="E4721">
        <v>1918</v>
      </c>
      <c r="F4721">
        <v>19154</v>
      </c>
      <c r="G4721" s="3">
        <f t="shared" si="219"/>
        <v>2</v>
      </c>
      <c r="H4721" s="4">
        <f t="shared" si="220"/>
        <v>1.0441683199335916E-4</v>
      </c>
      <c r="I4721" s="1">
        <f t="shared" si="221"/>
        <v>0</v>
      </c>
    </row>
    <row r="4722" spans="1:9" hidden="1" x14ac:dyDescent="0.2">
      <c r="A4722" s="6">
        <v>43984.708333333336</v>
      </c>
      <c r="B4722" s="1" t="s">
        <v>25</v>
      </c>
      <c r="C4722">
        <v>103</v>
      </c>
      <c r="D4722">
        <v>5</v>
      </c>
      <c r="E4722">
        <v>1921</v>
      </c>
      <c r="F4722">
        <v>19162</v>
      </c>
      <c r="G4722" s="3">
        <f t="shared" si="219"/>
        <v>8</v>
      </c>
      <c r="H4722" s="4">
        <f t="shared" si="220"/>
        <v>4.174929548064199E-4</v>
      </c>
      <c r="I4722" s="1">
        <f t="shared" si="221"/>
        <v>3</v>
      </c>
    </row>
    <row r="4723" spans="1:9" hidden="1" x14ac:dyDescent="0.2">
      <c r="A4723" s="6">
        <v>43985.708333333336</v>
      </c>
      <c r="B4723" s="1" t="s">
        <v>25</v>
      </c>
      <c r="C4723">
        <v>106</v>
      </c>
      <c r="D4723">
        <v>2</v>
      </c>
      <c r="E4723">
        <v>1921</v>
      </c>
      <c r="F4723">
        <v>19164</v>
      </c>
      <c r="G4723" s="3">
        <f t="shared" si="219"/>
        <v>2</v>
      </c>
      <c r="H4723" s="4">
        <f t="shared" si="220"/>
        <v>1.0436234606558958E-4</v>
      </c>
      <c r="I4723" s="1">
        <f t="shared" si="221"/>
        <v>0</v>
      </c>
    </row>
    <row r="4724" spans="1:9" hidden="1" x14ac:dyDescent="0.2">
      <c r="A4724" s="6">
        <v>43986.708333333336</v>
      </c>
      <c r="B4724" s="1" t="s">
        <v>25</v>
      </c>
      <c r="C4724">
        <v>97</v>
      </c>
      <c r="D4724">
        <v>2</v>
      </c>
      <c r="E4724">
        <v>1934</v>
      </c>
      <c r="F4724">
        <v>19168</v>
      </c>
      <c r="G4724" s="3">
        <f t="shared" si="219"/>
        <v>4</v>
      </c>
      <c r="H4724" s="4">
        <f t="shared" si="220"/>
        <v>2.086811352254303E-4</v>
      </c>
      <c r="I4724" s="1">
        <f t="shared" si="221"/>
        <v>13</v>
      </c>
    </row>
    <row r="4725" spans="1:9" hidden="1" x14ac:dyDescent="0.2">
      <c r="A4725" s="6">
        <v>43987.708333333336</v>
      </c>
      <c r="B4725" s="1" t="s">
        <v>25</v>
      </c>
      <c r="C4725">
        <v>96</v>
      </c>
      <c r="D4725">
        <v>2</v>
      </c>
      <c r="E4725">
        <v>1938</v>
      </c>
      <c r="F4725">
        <v>19174</v>
      </c>
      <c r="G4725" s="3">
        <f t="shared" si="219"/>
        <v>6</v>
      </c>
      <c r="H4725" s="4">
        <f t="shared" si="220"/>
        <v>3.1292375091274138E-4</v>
      </c>
      <c r="I4725" s="1">
        <f t="shared" si="221"/>
        <v>4</v>
      </c>
    </row>
    <row r="4726" spans="1:9" hidden="1" x14ac:dyDescent="0.2">
      <c r="A4726" s="6">
        <v>43988.708333333336</v>
      </c>
      <c r="B4726" s="1" t="s">
        <v>25</v>
      </c>
      <c r="C4726">
        <v>82</v>
      </c>
      <c r="D4726">
        <v>2</v>
      </c>
      <c r="E4726">
        <v>1949</v>
      </c>
      <c r="F4726">
        <v>19182</v>
      </c>
      <c r="G4726" s="3">
        <f t="shared" si="219"/>
        <v>8</v>
      </c>
      <c r="H4726" s="4">
        <f t="shared" si="220"/>
        <v>4.1705765822119822E-4</v>
      </c>
      <c r="I4726" s="1">
        <f t="shared" si="221"/>
        <v>11</v>
      </c>
    </row>
    <row r="4727" spans="1:9" hidden="1" x14ac:dyDescent="0.2">
      <c r="A4727" s="6">
        <v>43989.708333333336</v>
      </c>
      <c r="B4727" s="1" t="s">
        <v>25</v>
      </c>
      <c r="C4727">
        <v>81</v>
      </c>
      <c r="D4727">
        <v>1</v>
      </c>
      <c r="E4727">
        <v>1954</v>
      </c>
      <c r="F4727">
        <v>19183</v>
      </c>
      <c r="G4727" s="3">
        <f t="shared" si="219"/>
        <v>1</v>
      </c>
      <c r="H4727" s="4">
        <f t="shared" si="220"/>
        <v>5.2129489652275041E-5</v>
      </c>
      <c r="I4727" s="1">
        <f t="shared" si="221"/>
        <v>5</v>
      </c>
    </row>
    <row r="4728" spans="1:9" hidden="1" x14ac:dyDescent="0.2">
      <c r="A4728" s="6">
        <v>43990.708333333336</v>
      </c>
      <c r="B4728" s="1" t="s">
        <v>25</v>
      </c>
      <c r="C4728">
        <v>82</v>
      </c>
      <c r="D4728">
        <v>1</v>
      </c>
      <c r="E4728">
        <v>1955</v>
      </c>
      <c r="F4728">
        <v>19187</v>
      </c>
      <c r="G4728" s="3">
        <f t="shared" si="219"/>
        <v>4</v>
      </c>
      <c r="H4728" s="4">
        <f t="shared" si="220"/>
        <v>2.0847448793448464E-4</v>
      </c>
      <c r="I4728" s="1">
        <f t="shared" si="221"/>
        <v>1</v>
      </c>
    </row>
    <row r="4729" spans="1:9" hidden="1" x14ac:dyDescent="0.2">
      <c r="A4729" s="6">
        <v>43991.708333333336</v>
      </c>
      <c r="B4729" s="1" t="s">
        <v>25</v>
      </c>
      <c r="C4729">
        <v>77</v>
      </c>
      <c r="D4729">
        <v>0</v>
      </c>
      <c r="E4729">
        <v>1961</v>
      </c>
      <c r="F4729">
        <v>19191</v>
      </c>
      <c r="G4729" s="3">
        <f t="shared" si="219"/>
        <v>4</v>
      </c>
      <c r="H4729" s="4">
        <f t="shared" si="220"/>
        <v>2.0843103538115137E-4</v>
      </c>
      <c r="I4729" s="1">
        <f t="shared" si="221"/>
        <v>6</v>
      </c>
    </row>
    <row r="4730" spans="1:9" hidden="1" x14ac:dyDescent="0.2">
      <c r="A4730" s="6">
        <v>43992.708333333336</v>
      </c>
      <c r="B4730" s="1" t="s">
        <v>25</v>
      </c>
      <c r="C4730">
        <v>66</v>
      </c>
      <c r="D4730">
        <v>0</v>
      </c>
      <c r="E4730">
        <v>1961</v>
      </c>
      <c r="F4730">
        <v>19194</v>
      </c>
      <c r="G4730" s="3">
        <f t="shared" si="219"/>
        <v>3</v>
      </c>
      <c r="H4730" s="4">
        <f t="shared" si="220"/>
        <v>1.5629884338852484E-4</v>
      </c>
      <c r="I4730" s="1">
        <f t="shared" si="221"/>
        <v>0</v>
      </c>
    </row>
    <row r="4731" spans="1:9" hidden="1" x14ac:dyDescent="0.2">
      <c r="A4731" s="6">
        <v>43993.708333333336</v>
      </c>
      <c r="B4731" s="1" t="s">
        <v>25</v>
      </c>
      <c r="C4731">
        <v>52</v>
      </c>
      <c r="D4731">
        <v>0</v>
      </c>
      <c r="E4731">
        <v>1964</v>
      </c>
      <c r="F4731">
        <v>19199</v>
      </c>
      <c r="G4731" s="3">
        <f t="shared" si="219"/>
        <v>5</v>
      </c>
      <c r="H4731" s="4">
        <f t="shared" si="220"/>
        <v>2.604302307411821E-4</v>
      </c>
      <c r="I4731" s="1">
        <f t="shared" si="221"/>
        <v>3</v>
      </c>
    </row>
    <row r="4732" spans="1:9" hidden="1" x14ac:dyDescent="0.2">
      <c r="A4732" s="6">
        <v>43994.708333333336</v>
      </c>
      <c r="B4732" s="1" t="s">
        <v>25</v>
      </c>
      <c r="C4732">
        <v>49</v>
      </c>
      <c r="D4732">
        <v>0</v>
      </c>
      <c r="E4732">
        <v>1967</v>
      </c>
      <c r="F4732">
        <v>19199</v>
      </c>
      <c r="G4732" s="3">
        <f t="shared" si="219"/>
        <v>0</v>
      </c>
      <c r="H4732" s="4">
        <f t="shared" si="220"/>
        <v>0</v>
      </c>
      <c r="I4732" s="1">
        <f t="shared" si="221"/>
        <v>3</v>
      </c>
    </row>
    <row r="4733" spans="1:9" hidden="1" x14ac:dyDescent="0.2">
      <c r="A4733" s="6">
        <v>43995.708333333336</v>
      </c>
      <c r="B4733" s="1" t="s">
        <v>25</v>
      </c>
      <c r="C4733">
        <v>41</v>
      </c>
      <c r="D4733">
        <v>1</v>
      </c>
      <c r="E4733">
        <v>1977</v>
      </c>
      <c r="F4733">
        <v>19212</v>
      </c>
      <c r="G4733" s="3">
        <f t="shared" si="219"/>
        <v>13</v>
      </c>
      <c r="H4733" s="4">
        <f t="shared" si="220"/>
        <v>6.7666042057046294E-4</v>
      </c>
      <c r="I4733" s="1">
        <f t="shared" si="221"/>
        <v>10</v>
      </c>
    </row>
    <row r="4734" spans="1:9" hidden="1" x14ac:dyDescent="0.2">
      <c r="A4734" s="6">
        <v>43996.708333333336</v>
      </c>
      <c r="B4734" s="1" t="s">
        <v>25</v>
      </c>
      <c r="C4734">
        <v>40</v>
      </c>
      <c r="D4734">
        <v>1</v>
      </c>
      <c r="E4734">
        <v>1978</v>
      </c>
      <c r="F4734">
        <v>19219</v>
      </c>
      <c r="G4734" s="3">
        <f t="shared" si="219"/>
        <v>7</v>
      </c>
      <c r="H4734" s="4">
        <f t="shared" si="220"/>
        <v>3.6422290441751048E-4</v>
      </c>
      <c r="I4734" s="1">
        <f t="shared" si="221"/>
        <v>1</v>
      </c>
    </row>
    <row r="4735" spans="1:9" hidden="1" x14ac:dyDescent="0.2">
      <c r="A4735" s="6">
        <v>43997.708333333336</v>
      </c>
      <c r="B4735" s="1" t="s">
        <v>25</v>
      </c>
      <c r="C4735">
        <v>38</v>
      </c>
      <c r="D4735">
        <v>1</v>
      </c>
      <c r="E4735">
        <v>1978</v>
      </c>
      <c r="F4735">
        <v>19220</v>
      </c>
      <c r="G4735" s="3">
        <f t="shared" si="219"/>
        <v>1</v>
      </c>
      <c r="H4735" s="4">
        <f t="shared" si="220"/>
        <v>5.2029136316300573E-5</v>
      </c>
      <c r="I4735" s="1">
        <f t="shared" si="221"/>
        <v>0</v>
      </c>
    </row>
    <row r="4736" spans="1:9" hidden="1" x14ac:dyDescent="0.2">
      <c r="A4736" s="6">
        <v>43998.708333333336</v>
      </c>
      <c r="B4736" s="1" t="s">
        <v>25</v>
      </c>
      <c r="C4736">
        <v>36</v>
      </c>
      <c r="D4736">
        <v>1</v>
      </c>
      <c r="E4736">
        <v>1982</v>
      </c>
      <c r="F4736">
        <v>19221</v>
      </c>
      <c r="G4736" s="3">
        <f t="shared" si="219"/>
        <v>1</v>
      </c>
      <c r="H4736" s="4">
        <f t="shared" si="220"/>
        <v>5.2026429426144105E-5</v>
      </c>
      <c r="I4736" s="1">
        <f t="shared" si="221"/>
        <v>4</v>
      </c>
    </row>
    <row r="4737" spans="1:9" hidden="1" x14ac:dyDescent="0.2">
      <c r="A4737" s="6">
        <v>43999.708333333336</v>
      </c>
      <c r="B4737" s="1" t="s">
        <v>25</v>
      </c>
      <c r="C4737">
        <v>37</v>
      </c>
      <c r="D4737">
        <v>1</v>
      </c>
      <c r="E4737">
        <v>1987</v>
      </c>
      <c r="F4737">
        <v>19225</v>
      </c>
      <c r="G4737" s="3">
        <f t="shared" si="219"/>
        <v>4</v>
      </c>
      <c r="H4737" s="4">
        <f t="shared" si="220"/>
        <v>2.0806241872561859E-4</v>
      </c>
      <c r="I4737" s="1">
        <f t="shared" si="221"/>
        <v>5</v>
      </c>
    </row>
    <row r="4738" spans="1:9" hidden="1" x14ac:dyDescent="0.2">
      <c r="A4738" s="6">
        <v>44000.708333333336</v>
      </c>
      <c r="B4738" s="1" t="s">
        <v>25</v>
      </c>
      <c r="C4738">
        <v>33</v>
      </c>
      <c r="D4738">
        <v>1</v>
      </c>
      <c r="E4738">
        <v>1994</v>
      </c>
      <c r="F4738">
        <v>19233</v>
      </c>
      <c r="G4738" s="3">
        <f t="shared" si="219"/>
        <v>8</v>
      </c>
      <c r="H4738" s="4">
        <f t="shared" si="220"/>
        <v>4.1595174959707659E-4</v>
      </c>
      <c r="I4738" s="1">
        <f t="shared" si="221"/>
        <v>7</v>
      </c>
    </row>
    <row r="4739" spans="1:9" hidden="1" x14ac:dyDescent="0.2">
      <c r="A4739" s="6">
        <v>44001.708333333336</v>
      </c>
      <c r="B4739" s="1" t="s">
        <v>25</v>
      </c>
      <c r="C4739">
        <v>30</v>
      </c>
      <c r="D4739">
        <v>1</v>
      </c>
      <c r="E4739">
        <v>1998</v>
      </c>
      <c r="F4739">
        <v>19235</v>
      </c>
      <c r="G4739" s="3">
        <f t="shared" ref="G4739:G4802" si="222">IF(AND(F4739&gt;0,AND(B4739=B4738,F4739&gt;0)),F4739-F4738,0)</f>
        <v>2</v>
      </c>
      <c r="H4739" s="4">
        <f t="shared" ref="H4739:H4802" si="223">IF(AND(F4738&gt;0,AND(B4739=B4738,F4738&gt;0)),1-(F4738/F4739),0)</f>
        <v>1.0397712503251721E-4</v>
      </c>
      <c r="I4739" s="1">
        <f t="shared" ref="I4739:I4802" si="224">IF(AND(E4739&gt;0,AND(B4739=B4738,E4739&gt;0)),E4739-E4738,0)</f>
        <v>4</v>
      </c>
    </row>
    <row r="4740" spans="1:9" hidden="1" x14ac:dyDescent="0.2">
      <c r="A4740" s="6">
        <v>44002.708333333336</v>
      </c>
      <c r="B4740" s="1" t="s">
        <v>25</v>
      </c>
      <c r="C4740">
        <v>27</v>
      </c>
      <c r="D4740">
        <v>1</v>
      </c>
      <c r="E4740">
        <v>2002</v>
      </c>
      <c r="F4740">
        <v>19238</v>
      </c>
      <c r="G4740" s="3">
        <f t="shared" si="222"/>
        <v>3</v>
      </c>
      <c r="H4740" s="4">
        <f t="shared" si="223"/>
        <v>1.5594136604635267E-4</v>
      </c>
      <c r="I4740" s="1">
        <f t="shared" si="224"/>
        <v>4</v>
      </c>
    </row>
    <row r="4741" spans="1:9" hidden="1" x14ac:dyDescent="0.2">
      <c r="A4741" s="6">
        <v>44003.708333333336</v>
      </c>
      <c r="B4741" s="1" t="s">
        <v>25</v>
      </c>
      <c r="C4741">
        <v>28</v>
      </c>
      <c r="D4741">
        <v>1</v>
      </c>
      <c r="E4741">
        <v>2002</v>
      </c>
      <c r="F4741">
        <v>19245</v>
      </c>
      <c r="G4741" s="3">
        <f t="shared" si="222"/>
        <v>7</v>
      </c>
      <c r="H4741" s="4">
        <f t="shared" si="223"/>
        <v>3.637308391789551E-4</v>
      </c>
      <c r="I4741" s="1">
        <f t="shared" si="224"/>
        <v>0</v>
      </c>
    </row>
    <row r="4742" spans="1:9" hidden="1" x14ac:dyDescent="0.2">
      <c r="A4742" s="6">
        <v>44004.708333333336</v>
      </c>
      <c r="B4742" s="1" t="s">
        <v>25</v>
      </c>
      <c r="C4742">
        <v>29</v>
      </c>
      <c r="D4742">
        <v>1</v>
      </c>
      <c r="E4742">
        <v>2003</v>
      </c>
      <c r="F4742">
        <v>19247</v>
      </c>
      <c r="G4742" s="3">
        <f t="shared" si="222"/>
        <v>2</v>
      </c>
      <c r="H4742" s="4">
        <f t="shared" si="223"/>
        <v>1.0391229802042545E-4</v>
      </c>
      <c r="I4742" s="1">
        <f t="shared" si="224"/>
        <v>1</v>
      </c>
    </row>
    <row r="4743" spans="1:9" hidden="1" x14ac:dyDescent="0.2">
      <c r="A4743" s="6">
        <v>44005.708333333336</v>
      </c>
      <c r="B4743" s="1" t="s">
        <v>25</v>
      </c>
      <c r="C4743">
        <v>30</v>
      </c>
      <c r="D4743">
        <v>1</v>
      </c>
      <c r="E4743">
        <v>2004</v>
      </c>
      <c r="F4743">
        <v>19250</v>
      </c>
      <c r="G4743" s="3">
        <f t="shared" si="222"/>
        <v>3</v>
      </c>
      <c r="H4743" s="4">
        <f t="shared" si="223"/>
        <v>1.5584415584413147E-4</v>
      </c>
      <c r="I4743" s="1">
        <f t="shared" si="224"/>
        <v>1</v>
      </c>
    </row>
    <row r="4744" spans="1:9" hidden="1" x14ac:dyDescent="0.2">
      <c r="A4744" s="6">
        <v>44006.708333333336</v>
      </c>
      <c r="B4744" s="1" t="s">
        <v>25</v>
      </c>
      <c r="C4744">
        <v>26</v>
      </c>
      <c r="D4744">
        <v>1</v>
      </c>
      <c r="E4744">
        <v>2004</v>
      </c>
      <c r="F4744">
        <v>19253</v>
      </c>
      <c r="G4744" s="3">
        <f t="shared" si="222"/>
        <v>3</v>
      </c>
      <c r="H4744" s="4">
        <f t="shared" si="223"/>
        <v>1.5581987222768046E-4</v>
      </c>
      <c r="I4744" s="1">
        <f t="shared" si="224"/>
        <v>0</v>
      </c>
    </row>
    <row r="4745" spans="1:9" hidden="1" x14ac:dyDescent="0.2">
      <c r="A4745" s="6">
        <v>44007.708333333336</v>
      </c>
      <c r="B4745" s="1" t="s">
        <v>25</v>
      </c>
      <c r="C4745">
        <v>29</v>
      </c>
      <c r="D4745">
        <v>1</v>
      </c>
      <c r="E4745">
        <v>2006</v>
      </c>
      <c r="F4745">
        <v>19257</v>
      </c>
      <c r="G4745" s="3">
        <f t="shared" si="222"/>
        <v>4</v>
      </c>
      <c r="H4745" s="4">
        <f t="shared" si="223"/>
        <v>2.07716674456071E-4</v>
      </c>
      <c r="I4745" s="1">
        <f t="shared" si="224"/>
        <v>2</v>
      </c>
    </row>
    <row r="4746" spans="1:9" hidden="1" x14ac:dyDescent="0.2">
      <c r="A4746" s="6">
        <v>44008.708333333336</v>
      </c>
      <c r="B4746" s="1" t="s">
        <v>25</v>
      </c>
      <c r="C4746">
        <v>16</v>
      </c>
      <c r="D4746">
        <v>1</v>
      </c>
      <c r="E4746">
        <v>2007</v>
      </c>
      <c r="F4746">
        <v>19262</v>
      </c>
      <c r="G4746" s="3">
        <f t="shared" si="222"/>
        <v>5</v>
      </c>
      <c r="H4746" s="4">
        <f t="shared" si="223"/>
        <v>2.5957844460600121E-4</v>
      </c>
      <c r="I4746" s="1">
        <f t="shared" si="224"/>
        <v>1</v>
      </c>
    </row>
    <row r="4747" spans="1:9" hidden="1" x14ac:dyDescent="0.2">
      <c r="A4747" s="6">
        <v>44009.708333333336</v>
      </c>
      <c r="B4747" s="1" t="s">
        <v>25</v>
      </c>
      <c r="C4747">
        <v>18</v>
      </c>
      <c r="D4747">
        <v>1</v>
      </c>
      <c r="E4747">
        <v>2007</v>
      </c>
      <c r="F4747">
        <v>19264</v>
      </c>
      <c r="G4747" s="3">
        <f t="shared" si="222"/>
        <v>2</v>
      </c>
      <c r="H4747" s="4">
        <f t="shared" si="223"/>
        <v>1.0382059800662091E-4</v>
      </c>
      <c r="I4747" s="1">
        <f t="shared" si="224"/>
        <v>0</v>
      </c>
    </row>
    <row r="4748" spans="1:9" hidden="1" x14ac:dyDescent="0.2">
      <c r="A4748" s="6">
        <v>44010.708333333336</v>
      </c>
      <c r="B4748" s="1" t="s">
        <v>25</v>
      </c>
      <c r="C4748">
        <v>16</v>
      </c>
      <c r="D4748">
        <v>1</v>
      </c>
      <c r="E4748">
        <v>2008</v>
      </c>
      <c r="F4748">
        <v>19275</v>
      </c>
      <c r="G4748" s="3">
        <f t="shared" si="222"/>
        <v>11</v>
      </c>
      <c r="H4748" s="4">
        <f t="shared" si="223"/>
        <v>5.7068741893639974E-4</v>
      </c>
      <c r="I4748" s="1">
        <f t="shared" si="224"/>
        <v>1</v>
      </c>
    </row>
    <row r="4749" spans="1:9" hidden="1" x14ac:dyDescent="0.2">
      <c r="A4749" s="6">
        <v>44011.708333333336</v>
      </c>
      <c r="B4749" s="1" t="s">
        <v>25</v>
      </c>
      <c r="C4749">
        <v>17</v>
      </c>
      <c r="D4749">
        <v>1</v>
      </c>
      <c r="E4749">
        <v>2008</v>
      </c>
      <c r="F4749">
        <v>19278</v>
      </c>
      <c r="G4749" s="3">
        <f t="shared" si="222"/>
        <v>3</v>
      </c>
      <c r="H4749" s="4">
        <f t="shared" si="223"/>
        <v>1.5561780267658865E-4</v>
      </c>
      <c r="I4749" s="1">
        <f t="shared" si="224"/>
        <v>0</v>
      </c>
    </row>
    <row r="4750" spans="1:9" hidden="1" x14ac:dyDescent="0.2">
      <c r="A4750" s="6">
        <v>44012.708333333336</v>
      </c>
      <c r="B4750" s="1" t="s">
        <v>25</v>
      </c>
      <c r="C4750">
        <v>21</v>
      </c>
      <c r="D4750">
        <v>0</v>
      </c>
      <c r="E4750">
        <v>2012</v>
      </c>
      <c r="F4750">
        <v>19286</v>
      </c>
      <c r="G4750" s="3">
        <f t="shared" si="222"/>
        <v>8</v>
      </c>
      <c r="H4750" s="4">
        <f t="shared" si="223"/>
        <v>4.1480866950116546E-4</v>
      </c>
      <c r="I4750" s="1">
        <f t="shared" si="224"/>
        <v>4</v>
      </c>
    </row>
    <row r="4751" spans="1:9" hidden="1" x14ac:dyDescent="0.2">
      <c r="A4751" s="6">
        <v>44013.708333333336</v>
      </c>
      <c r="B4751" s="1" t="s">
        <v>25</v>
      </c>
      <c r="C4751">
        <v>17</v>
      </c>
      <c r="D4751">
        <v>0</v>
      </c>
      <c r="E4751">
        <v>2022</v>
      </c>
      <c r="F4751">
        <v>19289</v>
      </c>
      <c r="G4751" s="3">
        <f t="shared" si="222"/>
        <v>3</v>
      </c>
      <c r="H4751" s="4">
        <f t="shared" si="223"/>
        <v>1.5552905801230477E-4</v>
      </c>
      <c r="I4751" s="1">
        <f t="shared" si="224"/>
        <v>10</v>
      </c>
    </row>
    <row r="4752" spans="1:9" hidden="1" x14ac:dyDescent="0.2">
      <c r="A4752" s="6">
        <v>44014.708333333336</v>
      </c>
      <c r="B4752" s="1" t="s">
        <v>25</v>
      </c>
      <c r="C4752">
        <v>20</v>
      </c>
      <c r="D4752">
        <v>0</v>
      </c>
      <c r="E4752">
        <v>2022</v>
      </c>
      <c r="F4752">
        <v>19309</v>
      </c>
      <c r="G4752" s="3">
        <f t="shared" si="222"/>
        <v>20</v>
      </c>
      <c r="H4752" s="4">
        <f t="shared" si="223"/>
        <v>1.0357864208400125E-3</v>
      </c>
      <c r="I4752" s="1">
        <f t="shared" si="224"/>
        <v>0</v>
      </c>
    </row>
    <row r="4753" spans="1:9" hidden="1" x14ac:dyDescent="0.2">
      <c r="A4753" s="6">
        <v>44015.708333333336</v>
      </c>
      <c r="B4753" s="1" t="s">
        <v>25</v>
      </c>
      <c r="C4753">
        <v>19</v>
      </c>
      <c r="D4753">
        <v>0</v>
      </c>
      <c r="E4753">
        <v>2023</v>
      </c>
      <c r="F4753">
        <v>19314</v>
      </c>
      <c r="G4753" s="3">
        <f t="shared" si="222"/>
        <v>5</v>
      </c>
      <c r="H4753" s="4">
        <f t="shared" si="223"/>
        <v>2.58879569224435E-4</v>
      </c>
      <c r="I4753" s="1">
        <f t="shared" si="224"/>
        <v>1</v>
      </c>
    </row>
    <row r="4754" spans="1:9" hidden="1" x14ac:dyDescent="0.2">
      <c r="A4754" s="6">
        <v>44016.708333333336</v>
      </c>
      <c r="B4754" s="1" t="s">
        <v>25</v>
      </c>
      <c r="C4754">
        <v>16</v>
      </c>
      <c r="D4754">
        <v>1</v>
      </c>
      <c r="E4754">
        <v>2023</v>
      </c>
      <c r="F4754">
        <v>19318</v>
      </c>
      <c r="G4754" s="3">
        <f t="shared" si="222"/>
        <v>4</v>
      </c>
      <c r="H4754" s="4">
        <f t="shared" si="223"/>
        <v>2.0706077233667575E-4</v>
      </c>
      <c r="I4754" s="1">
        <f t="shared" si="224"/>
        <v>0</v>
      </c>
    </row>
    <row r="4755" spans="1:9" hidden="1" x14ac:dyDescent="0.2">
      <c r="A4755" s="6">
        <v>44017.708333333336</v>
      </c>
      <c r="B4755" s="1" t="s">
        <v>25</v>
      </c>
      <c r="C4755">
        <v>16</v>
      </c>
      <c r="D4755">
        <v>2</v>
      </c>
      <c r="E4755">
        <v>2023</v>
      </c>
      <c r="F4755">
        <v>19326</v>
      </c>
      <c r="G4755" s="3">
        <f t="shared" si="222"/>
        <v>8</v>
      </c>
      <c r="H4755" s="4">
        <f t="shared" si="223"/>
        <v>4.1395011901068646E-4</v>
      </c>
      <c r="I4755" s="1">
        <f t="shared" si="224"/>
        <v>0</v>
      </c>
    </row>
    <row r="4756" spans="1:9" hidden="1" x14ac:dyDescent="0.2">
      <c r="A4756" s="6">
        <v>44018.708333333336</v>
      </c>
      <c r="B4756" s="1" t="s">
        <v>25</v>
      </c>
      <c r="C4756">
        <v>16</v>
      </c>
      <c r="D4756">
        <v>2</v>
      </c>
      <c r="E4756">
        <v>2024</v>
      </c>
      <c r="F4756">
        <v>19327</v>
      </c>
      <c r="G4756" s="3">
        <f t="shared" si="222"/>
        <v>1</v>
      </c>
      <c r="H4756" s="4">
        <f t="shared" si="223"/>
        <v>5.1741087597645397E-5</v>
      </c>
      <c r="I4756" s="1">
        <f t="shared" si="224"/>
        <v>1</v>
      </c>
    </row>
    <row r="4757" spans="1:9" hidden="1" x14ac:dyDescent="0.2">
      <c r="A4757" s="6">
        <v>44019.708333333336</v>
      </c>
      <c r="B4757" s="1" t="s">
        <v>25</v>
      </c>
      <c r="C4757">
        <v>17</v>
      </c>
      <c r="D4757">
        <v>2</v>
      </c>
      <c r="E4757">
        <v>2034</v>
      </c>
      <c r="F4757">
        <v>19341</v>
      </c>
      <c r="G4757" s="3">
        <f t="shared" si="222"/>
        <v>14</v>
      </c>
      <c r="H4757" s="4">
        <f t="shared" si="223"/>
        <v>7.2385088671733655E-4</v>
      </c>
      <c r="I4757" s="1">
        <f t="shared" si="224"/>
        <v>10</v>
      </c>
    </row>
    <row r="4758" spans="1:9" hidden="1" x14ac:dyDescent="0.2">
      <c r="A4758" s="6">
        <v>44020.708333333336</v>
      </c>
      <c r="B4758" s="1" t="s">
        <v>25</v>
      </c>
      <c r="C4758">
        <v>17</v>
      </c>
      <c r="D4758">
        <v>3</v>
      </c>
      <c r="E4758">
        <v>2034</v>
      </c>
      <c r="F4758">
        <v>19348</v>
      </c>
      <c r="G4758" s="3">
        <f t="shared" si="222"/>
        <v>7</v>
      </c>
      <c r="H4758" s="4">
        <f t="shared" si="223"/>
        <v>3.6179450072360009E-4</v>
      </c>
      <c r="I4758" s="1">
        <f t="shared" si="224"/>
        <v>0</v>
      </c>
    </row>
    <row r="4759" spans="1:9" hidden="1" x14ac:dyDescent="0.2">
      <c r="A4759" s="6">
        <v>44021.708333333336</v>
      </c>
      <c r="B4759" s="1" t="s">
        <v>25</v>
      </c>
      <c r="C4759">
        <v>17</v>
      </c>
      <c r="D4759">
        <v>2</v>
      </c>
      <c r="E4759">
        <v>2037</v>
      </c>
      <c r="F4759">
        <v>19358</v>
      </c>
      <c r="G4759" s="3">
        <f t="shared" si="222"/>
        <v>10</v>
      </c>
      <c r="H4759" s="4">
        <f t="shared" si="223"/>
        <v>5.1658229155904234E-4</v>
      </c>
      <c r="I4759" s="1">
        <f t="shared" si="224"/>
        <v>3</v>
      </c>
    </row>
    <row r="4760" spans="1:9" hidden="1" x14ac:dyDescent="0.2">
      <c r="A4760" s="6">
        <v>44022.708333333336</v>
      </c>
      <c r="B4760" s="1" t="s">
        <v>25</v>
      </c>
      <c r="C4760">
        <v>14</v>
      </c>
      <c r="D4760">
        <v>3</v>
      </c>
      <c r="E4760">
        <v>2039</v>
      </c>
      <c r="F4760">
        <v>19369</v>
      </c>
      <c r="G4760" s="3">
        <f t="shared" si="222"/>
        <v>11</v>
      </c>
      <c r="H4760" s="4">
        <f t="shared" si="223"/>
        <v>5.6791780680465198E-4</v>
      </c>
      <c r="I4760" s="1">
        <f t="shared" si="224"/>
        <v>2</v>
      </c>
    </row>
    <row r="4761" spans="1:9" hidden="1" x14ac:dyDescent="0.2">
      <c r="A4761" s="6">
        <v>44023.708333333336</v>
      </c>
      <c r="B4761" s="1" t="s">
        <v>25</v>
      </c>
      <c r="C4761">
        <v>20</v>
      </c>
      <c r="D4761">
        <v>3</v>
      </c>
      <c r="E4761">
        <v>2039</v>
      </c>
      <c r="F4761">
        <v>19379</v>
      </c>
      <c r="G4761" s="3">
        <f t="shared" si="222"/>
        <v>10</v>
      </c>
      <c r="H4761" s="4">
        <f t="shared" si="223"/>
        <v>5.1602249858095917E-4</v>
      </c>
      <c r="I4761" s="1">
        <f t="shared" si="224"/>
        <v>0</v>
      </c>
    </row>
    <row r="4762" spans="1:9" hidden="1" x14ac:dyDescent="0.2">
      <c r="A4762" s="6">
        <v>44024.708333333336</v>
      </c>
      <c r="B4762" s="1" t="s">
        <v>25</v>
      </c>
      <c r="C4762">
        <v>20</v>
      </c>
      <c r="D4762">
        <v>3</v>
      </c>
      <c r="E4762">
        <v>2039</v>
      </c>
      <c r="F4762">
        <v>19395</v>
      </c>
      <c r="G4762" s="3">
        <f t="shared" si="222"/>
        <v>16</v>
      </c>
      <c r="H4762" s="4">
        <f t="shared" si="223"/>
        <v>8.2495488527967176E-4</v>
      </c>
      <c r="I4762" s="1">
        <f t="shared" si="224"/>
        <v>0</v>
      </c>
    </row>
    <row r="4763" spans="1:9" hidden="1" x14ac:dyDescent="0.2">
      <c r="A4763" s="6">
        <v>44025.708333333336</v>
      </c>
      <c r="B4763" s="1" t="s">
        <v>25</v>
      </c>
      <c r="C4763">
        <v>22</v>
      </c>
      <c r="D4763">
        <v>3</v>
      </c>
      <c r="E4763">
        <v>2039</v>
      </c>
      <c r="F4763">
        <v>19401</v>
      </c>
      <c r="G4763" s="3">
        <f t="shared" si="222"/>
        <v>6</v>
      </c>
      <c r="H4763" s="4">
        <f t="shared" si="223"/>
        <v>3.0926240915418735E-4</v>
      </c>
      <c r="I4763" s="1">
        <f t="shared" si="224"/>
        <v>0</v>
      </c>
    </row>
    <row r="4764" spans="1:9" hidden="1" x14ac:dyDescent="0.2">
      <c r="A4764" s="6">
        <v>44026.708333333336</v>
      </c>
      <c r="B4764" s="1" t="s">
        <v>25</v>
      </c>
      <c r="C4764">
        <v>29</v>
      </c>
      <c r="D4764">
        <v>2</v>
      </c>
      <c r="E4764">
        <v>2041</v>
      </c>
      <c r="F4764">
        <v>19420</v>
      </c>
      <c r="G4764" s="3">
        <f t="shared" si="222"/>
        <v>19</v>
      </c>
      <c r="H4764" s="4">
        <f t="shared" si="223"/>
        <v>9.7837281153445588E-4</v>
      </c>
      <c r="I4764" s="1">
        <f t="shared" si="224"/>
        <v>2</v>
      </c>
    </row>
    <row r="4765" spans="1:9" hidden="1" x14ac:dyDescent="0.2">
      <c r="A4765" s="6">
        <v>44027.708333333336</v>
      </c>
      <c r="B4765" s="1" t="s">
        <v>25</v>
      </c>
      <c r="C4765">
        <v>30</v>
      </c>
      <c r="D4765">
        <v>2</v>
      </c>
      <c r="E4765">
        <v>2043</v>
      </c>
      <c r="F4765">
        <v>19441</v>
      </c>
      <c r="G4765" s="3">
        <f t="shared" si="222"/>
        <v>21</v>
      </c>
      <c r="H4765" s="4">
        <f t="shared" si="223"/>
        <v>1.0801913481817138E-3</v>
      </c>
      <c r="I4765" s="1">
        <f t="shared" si="224"/>
        <v>2</v>
      </c>
    </row>
    <row r="4766" spans="1:9" hidden="1" x14ac:dyDescent="0.2">
      <c r="A4766" s="6">
        <v>44028.708333333336</v>
      </c>
      <c r="B4766" s="1" t="s">
        <v>25</v>
      </c>
      <c r="C4766">
        <v>31</v>
      </c>
      <c r="D4766">
        <v>2</v>
      </c>
      <c r="E4766">
        <v>2047</v>
      </c>
      <c r="F4766">
        <v>19470</v>
      </c>
      <c r="G4766" s="3">
        <f t="shared" si="222"/>
        <v>29</v>
      </c>
      <c r="H4766" s="4">
        <f t="shared" si="223"/>
        <v>1.489470980996388E-3</v>
      </c>
      <c r="I4766" s="1">
        <f t="shared" si="224"/>
        <v>4</v>
      </c>
    </row>
    <row r="4767" spans="1:9" hidden="1" x14ac:dyDescent="0.2">
      <c r="A4767" s="6">
        <v>44029.708333333336</v>
      </c>
      <c r="B4767" s="1" t="s">
        <v>25</v>
      </c>
      <c r="C4767">
        <v>33</v>
      </c>
      <c r="D4767">
        <v>2</v>
      </c>
      <c r="E4767">
        <v>2047</v>
      </c>
      <c r="F4767">
        <v>19525</v>
      </c>
      <c r="G4767" s="3">
        <f t="shared" si="222"/>
        <v>55</v>
      </c>
      <c r="H4767" s="4">
        <f t="shared" si="223"/>
        <v>2.8169014084507005E-3</v>
      </c>
      <c r="I4767" s="1">
        <f t="shared" si="224"/>
        <v>0</v>
      </c>
    </row>
    <row r="4768" spans="1:9" hidden="1" x14ac:dyDescent="0.2">
      <c r="A4768" s="6">
        <v>44030.708333333336</v>
      </c>
      <c r="B4768" s="1" t="s">
        <v>25</v>
      </c>
      <c r="C4768">
        <v>33</v>
      </c>
      <c r="D4768">
        <v>2</v>
      </c>
      <c r="E4768">
        <v>2049</v>
      </c>
      <c r="F4768">
        <v>19559</v>
      </c>
      <c r="G4768" s="3">
        <f t="shared" si="222"/>
        <v>34</v>
      </c>
      <c r="H4768" s="4">
        <f t="shared" si="223"/>
        <v>1.7383301804795304E-3</v>
      </c>
      <c r="I4768" s="1">
        <f t="shared" si="224"/>
        <v>2</v>
      </c>
    </row>
    <row r="4769" spans="1:9" hidden="1" x14ac:dyDescent="0.2">
      <c r="A4769" s="6">
        <v>44031.708333333336</v>
      </c>
      <c r="B4769" s="1" t="s">
        <v>25</v>
      </c>
      <c r="C4769">
        <v>33</v>
      </c>
      <c r="D4769">
        <v>2</v>
      </c>
      <c r="E4769">
        <v>2050</v>
      </c>
      <c r="F4769">
        <v>19607</v>
      </c>
      <c r="G4769" s="3">
        <f t="shared" si="222"/>
        <v>48</v>
      </c>
      <c r="H4769" s="4">
        <f t="shared" si="223"/>
        <v>2.4481052685265681E-3</v>
      </c>
      <c r="I4769" s="1">
        <f t="shared" si="224"/>
        <v>1</v>
      </c>
    </row>
    <row r="4770" spans="1:9" hidden="1" x14ac:dyDescent="0.2">
      <c r="A4770" s="6">
        <v>44032.708333333336</v>
      </c>
      <c r="B4770" s="1" t="s">
        <v>25</v>
      </c>
      <c r="C4770">
        <v>35</v>
      </c>
      <c r="D4770">
        <v>2</v>
      </c>
      <c r="E4770">
        <v>2050</v>
      </c>
      <c r="F4770">
        <v>19649</v>
      </c>
      <c r="G4770" s="3">
        <f t="shared" si="222"/>
        <v>42</v>
      </c>
      <c r="H4770" s="4">
        <f t="shared" si="223"/>
        <v>2.1375133594584428E-3</v>
      </c>
      <c r="I4770" s="1">
        <f t="shared" si="224"/>
        <v>0</v>
      </c>
    </row>
    <row r="4771" spans="1:9" hidden="1" x14ac:dyDescent="0.2">
      <c r="A4771" s="6">
        <v>44033.708333333336</v>
      </c>
      <c r="B4771" s="1" t="s">
        <v>25</v>
      </c>
      <c r="C4771">
        <v>35</v>
      </c>
      <c r="D4771">
        <v>2</v>
      </c>
      <c r="E4771">
        <v>2053</v>
      </c>
      <c r="F4771">
        <v>19671</v>
      </c>
      <c r="G4771" s="3">
        <f t="shared" si="222"/>
        <v>22</v>
      </c>
      <c r="H4771" s="4">
        <f t="shared" si="223"/>
        <v>1.1183976411976992E-3</v>
      </c>
      <c r="I4771" s="1">
        <f t="shared" si="224"/>
        <v>3</v>
      </c>
    </row>
    <row r="4772" spans="1:9" hidden="1" x14ac:dyDescent="0.2">
      <c r="A4772" s="6">
        <v>44034.708333333336</v>
      </c>
      <c r="B4772" s="1" t="s">
        <v>25</v>
      </c>
      <c r="C4772">
        <v>35</v>
      </c>
      <c r="D4772">
        <v>2</v>
      </c>
      <c r="E4772">
        <v>2057</v>
      </c>
      <c r="F4772">
        <v>19707</v>
      </c>
      <c r="G4772" s="3">
        <f t="shared" si="222"/>
        <v>36</v>
      </c>
      <c r="H4772" s="4">
        <f t="shared" si="223"/>
        <v>1.8267620642411497E-3</v>
      </c>
      <c r="I4772" s="1">
        <f t="shared" si="224"/>
        <v>4</v>
      </c>
    </row>
    <row r="4773" spans="1:9" hidden="1" x14ac:dyDescent="0.2">
      <c r="A4773" s="6">
        <v>44035.708333333336</v>
      </c>
      <c r="B4773" s="1" t="s">
        <v>25</v>
      </c>
      <c r="C4773">
        <v>28</v>
      </c>
      <c r="D4773">
        <v>2</v>
      </c>
      <c r="E4773">
        <v>2062</v>
      </c>
      <c r="F4773">
        <v>19729</v>
      </c>
      <c r="G4773" s="3">
        <f t="shared" si="222"/>
        <v>22</v>
      </c>
      <c r="H4773" s="4">
        <f t="shared" si="223"/>
        <v>1.1151097369355156E-3</v>
      </c>
      <c r="I4773" s="1">
        <f t="shared" si="224"/>
        <v>5</v>
      </c>
    </row>
    <row r="4774" spans="1:9" hidden="1" x14ac:dyDescent="0.2">
      <c r="A4774" s="6">
        <v>44036.708333333336</v>
      </c>
      <c r="B4774" s="1" t="s">
        <v>25</v>
      </c>
      <c r="C4774">
        <v>30</v>
      </c>
      <c r="D4774">
        <v>2</v>
      </c>
      <c r="E4774">
        <v>2063</v>
      </c>
      <c r="F4774">
        <v>19759</v>
      </c>
      <c r="G4774" s="3">
        <f t="shared" si="222"/>
        <v>30</v>
      </c>
      <c r="H4774" s="4">
        <f t="shared" si="223"/>
        <v>1.5182954602965815E-3</v>
      </c>
      <c r="I4774" s="1">
        <f t="shared" si="224"/>
        <v>1</v>
      </c>
    </row>
    <row r="4775" spans="1:9" hidden="1" x14ac:dyDescent="0.2">
      <c r="A4775" s="6">
        <v>44037.708333333336</v>
      </c>
      <c r="B4775" s="1" t="s">
        <v>25</v>
      </c>
      <c r="C4775">
        <v>30</v>
      </c>
      <c r="D4775">
        <v>1</v>
      </c>
      <c r="E4775">
        <v>2064</v>
      </c>
      <c r="F4775">
        <v>19790</v>
      </c>
      <c r="G4775" s="3">
        <f t="shared" si="222"/>
        <v>31</v>
      </c>
      <c r="H4775" s="4">
        <f t="shared" si="223"/>
        <v>1.5664477008590083E-3</v>
      </c>
      <c r="I4775" s="1">
        <f t="shared" si="224"/>
        <v>1</v>
      </c>
    </row>
    <row r="4776" spans="1:9" hidden="1" x14ac:dyDescent="0.2">
      <c r="A4776" s="6">
        <v>44038.708333333336</v>
      </c>
      <c r="B4776" s="1" t="s">
        <v>25</v>
      </c>
      <c r="C4776">
        <v>31</v>
      </c>
      <c r="D4776">
        <v>1</v>
      </c>
      <c r="E4776">
        <v>2064</v>
      </c>
      <c r="F4776">
        <v>19809</v>
      </c>
      <c r="G4776" s="3">
        <f t="shared" si="222"/>
        <v>19</v>
      </c>
      <c r="H4776" s="4">
        <f t="shared" si="223"/>
        <v>9.591599777878379E-4</v>
      </c>
      <c r="I4776" s="1">
        <f t="shared" si="224"/>
        <v>0</v>
      </c>
    </row>
    <row r="4777" spans="1:9" hidden="1" x14ac:dyDescent="0.2">
      <c r="A4777" s="6">
        <v>44039.708333333336</v>
      </c>
      <c r="B4777" s="1" t="s">
        <v>25</v>
      </c>
      <c r="C4777">
        <v>31</v>
      </c>
      <c r="D4777">
        <v>0</v>
      </c>
      <c r="E4777">
        <v>2064</v>
      </c>
      <c r="F4777">
        <v>19825</v>
      </c>
      <c r="G4777" s="3">
        <f t="shared" si="222"/>
        <v>16</v>
      </c>
      <c r="H4777" s="4">
        <f t="shared" si="223"/>
        <v>8.0706179066836192E-4</v>
      </c>
      <c r="I4777" s="1">
        <f t="shared" si="224"/>
        <v>0</v>
      </c>
    </row>
    <row r="4778" spans="1:9" hidden="1" x14ac:dyDescent="0.2">
      <c r="A4778" s="6">
        <v>44040.708333333336</v>
      </c>
      <c r="B4778" s="1" t="s">
        <v>25</v>
      </c>
      <c r="C4778">
        <v>33</v>
      </c>
      <c r="D4778">
        <v>0</v>
      </c>
      <c r="E4778">
        <v>2069</v>
      </c>
      <c r="F4778">
        <v>19849</v>
      </c>
      <c r="G4778" s="3">
        <f t="shared" si="222"/>
        <v>24</v>
      </c>
      <c r="H4778" s="4">
        <f t="shared" si="223"/>
        <v>1.2091289233714386E-3</v>
      </c>
      <c r="I4778" s="1">
        <f t="shared" si="224"/>
        <v>5</v>
      </c>
    </row>
    <row r="4779" spans="1:9" hidden="1" x14ac:dyDescent="0.2">
      <c r="A4779" s="6">
        <v>44041.708333333336</v>
      </c>
      <c r="B4779" s="1" t="s">
        <v>25</v>
      </c>
      <c r="C4779">
        <v>31</v>
      </c>
      <c r="D4779">
        <v>0</v>
      </c>
      <c r="E4779">
        <v>2073</v>
      </c>
      <c r="F4779">
        <v>19891</v>
      </c>
      <c r="G4779" s="3">
        <f t="shared" si="222"/>
        <v>42</v>
      </c>
      <c r="H4779" s="4">
        <f t="shared" si="223"/>
        <v>2.1115077170579255E-3</v>
      </c>
      <c r="I4779" s="1">
        <f t="shared" si="224"/>
        <v>4</v>
      </c>
    </row>
    <row r="4780" spans="1:9" hidden="1" x14ac:dyDescent="0.2">
      <c r="A4780" s="6">
        <v>44042.708333333336</v>
      </c>
      <c r="B4780" s="1" t="s">
        <v>25</v>
      </c>
      <c r="C4780">
        <v>31</v>
      </c>
      <c r="D4780">
        <v>3</v>
      </c>
      <c r="E4780">
        <v>2073</v>
      </c>
      <c r="F4780">
        <v>20003</v>
      </c>
      <c r="G4780" s="3">
        <f t="shared" si="222"/>
        <v>112</v>
      </c>
      <c r="H4780" s="4">
        <f t="shared" si="223"/>
        <v>5.5991601259810508E-3</v>
      </c>
      <c r="I4780" s="1">
        <f t="shared" si="224"/>
        <v>0</v>
      </c>
    </row>
    <row r="4781" spans="1:9" hidden="1" x14ac:dyDescent="0.2">
      <c r="A4781" s="6">
        <v>44043.708333333336</v>
      </c>
      <c r="B4781" s="1" t="s">
        <v>25</v>
      </c>
      <c r="C4781">
        <v>33</v>
      </c>
      <c r="D4781">
        <v>3</v>
      </c>
      <c r="E4781">
        <v>2074</v>
      </c>
      <c r="F4781">
        <v>20120</v>
      </c>
      <c r="G4781" s="3">
        <f t="shared" si="222"/>
        <v>117</v>
      </c>
      <c r="H4781" s="4">
        <f t="shared" si="223"/>
        <v>5.8151093439363644E-3</v>
      </c>
      <c r="I4781" s="1">
        <f t="shared" si="224"/>
        <v>1</v>
      </c>
    </row>
    <row r="4782" spans="1:9" hidden="1" x14ac:dyDescent="0.2">
      <c r="A4782" s="6">
        <v>44044.708333333336</v>
      </c>
      <c r="B4782" s="1" t="s">
        <v>25</v>
      </c>
      <c r="C4782">
        <v>28</v>
      </c>
      <c r="D4782">
        <v>4</v>
      </c>
      <c r="E4782">
        <v>2075</v>
      </c>
      <c r="F4782">
        <v>20166</v>
      </c>
      <c r="G4782" s="3">
        <f t="shared" si="222"/>
        <v>46</v>
      </c>
      <c r="H4782" s="4">
        <f t="shared" si="223"/>
        <v>2.2810671427154761E-3</v>
      </c>
      <c r="I4782" s="1">
        <f t="shared" si="224"/>
        <v>1</v>
      </c>
    </row>
    <row r="4783" spans="1:9" hidden="1" x14ac:dyDescent="0.2">
      <c r="A4783" s="6">
        <v>44045.708333333336</v>
      </c>
      <c r="B4783" s="1" t="s">
        <v>25</v>
      </c>
      <c r="C4783">
        <v>27</v>
      </c>
      <c r="D4783">
        <v>4</v>
      </c>
      <c r="E4783">
        <v>2075</v>
      </c>
      <c r="F4783">
        <v>20211</v>
      </c>
      <c r="G4783" s="3">
        <f t="shared" si="222"/>
        <v>45</v>
      </c>
      <c r="H4783" s="4">
        <f t="shared" si="223"/>
        <v>2.2265103161644983E-3</v>
      </c>
      <c r="I4783" s="1">
        <f t="shared" si="224"/>
        <v>0</v>
      </c>
    </row>
    <row r="4784" spans="1:9" hidden="1" x14ac:dyDescent="0.2">
      <c r="A4784" s="6">
        <v>44046.708333333336</v>
      </c>
      <c r="B4784" s="1" t="s">
        <v>25</v>
      </c>
      <c r="C4784">
        <v>25</v>
      </c>
      <c r="D4784">
        <v>4</v>
      </c>
      <c r="E4784">
        <v>2076</v>
      </c>
      <c r="F4784">
        <v>20233</v>
      </c>
      <c r="G4784" s="3">
        <f t="shared" si="222"/>
        <v>22</v>
      </c>
      <c r="H4784" s="4">
        <f t="shared" si="223"/>
        <v>1.0873325754954255E-3</v>
      </c>
      <c r="I4784" s="1">
        <f t="shared" si="224"/>
        <v>1</v>
      </c>
    </row>
    <row r="4785" spans="1:9" hidden="1" x14ac:dyDescent="0.2">
      <c r="A4785" s="6">
        <v>44047.708333333336</v>
      </c>
      <c r="B4785" s="1" t="s">
        <v>25</v>
      </c>
      <c r="C4785">
        <v>32</v>
      </c>
      <c r="D4785">
        <v>5</v>
      </c>
      <c r="E4785">
        <v>2077</v>
      </c>
      <c r="F4785">
        <v>20253</v>
      </c>
      <c r="G4785" s="3">
        <f t="shared" si="222"/>
        <v>20</v>
      </c>
      <c r="H4785" s="4">
        <f t="shared" si="223"/>
        <v>9.8750802350267008E-4</v>
      </c>
      <c r="I4785" s="1">
        <f t="shared" si="224"/>
        <v>1</v>
      </c>
    </row>
    <row r="4786" spans="1:9" hidden="1" x14ac:dyDescent="0.2">
      <c r="A4786" s="6">
        <v>44048.708333333336</v>
      </c>
      <c r="B4786" s="1" t="s">
        <v>25</v>
      </c>
      <c r="C4786">
        <v>33</v>
      </c>
      <c r="D4786">
        <v>6</v>
      </c>
      <c r="E4786">
        <v>2077</v>
      </c>
      <c r="F4786">
        <v>20294</v>
      </c>
      <c r="G4786" s="3">
        <f t="shared" si="222"/>
        <v>41</v>
      </c>
      <c r="H4786" s="4">
        <f t="shared" si="223"/>
        <v>2.0203015669656432E-3</v>
      </c>
      <c r="I4786" s="1">
        <f t="shared" si="224"/>
        <v>0</v>
      </c>
    </row>
    <row r="4787" spans="1:9" hidden="1" x14ac:dyDescent="0.2">
      <c r="A4787" s="6">
        <v>44049.708333333336</v>
      </c>
      <c r="B4787" s="1" t="s">
        <v>25</v>
      </c>
      <c r="C4787">
        <v>36</v>
      </c>
      <c r="D4787">
        <v>6</v>
      </c>
      <c r="E4787">
        <v>2077</v>
      </c>
      <c r="F4787">
        <v>20352</v>
      </c>
      <c r="G4787" s="3">
        <f t="shared" si="222"/>
        <v>58</v>
      </c>
      <c r="H4787" s="4">
        <f t="shared" si="223"/>
        <v>2.8498427672956073E-3</v>
      </c>
      <c r="I4787" s="1">
        <f t="shared" si="224"/>
        <v>0</v>
      </c>
    </row>
    <row r="4788" spans="1:9" hidden="1" x14ac:dyDescent="0.2">
      <c r="A4788" s="6">
        <v>44050.708333333336</v>
      </c>
      <c r="B4788" s="1" t="s">
        <v>25</v>
      </c>
      <c r="C4788">
        <v>31</v>
      </c>
      <c r="D4788">
        <v>6</v>
      </c>
      <c r="E4788">
        <v>2078</v>
      </c>
      <c r="F4788">
        <v>20535</v>
      </c>
      <c r="G4788" s="3">
        <f t="shared" si="222"/>
        <v>183</v>
      </c>
      <c r="H4788" s="4">
        <f t="shared" si="223"/>
        <v>8.9116143170197004E-3</v>
      </c>
      <c r="I4788" s="1">
        <f t="shared" si="224"/>
        <v>1</v>
      </c>
    </row>
    <row r="4789" spans="1:9" hidden="1" x14ac:dyDescent="0.2">
      <c r="A4789" s="6">
        <v>44051.708333333336</v>
      </c>
      <c r="B4789" s="1" t="s">
        <v>25</v>
      </c>
      <c r="C4789">
        <v>29</v>
      </c>
      <c r="D4789">
        <v>6</v>
      </c>
      <c r="E4789">
        <v>2083</v>
      </c>
      <c r="F4789">
        <v>20598</v>
      </c>
      <c r="G4789" s="3">
        <f t="shared" si="222"/>
        <v>63</v>
      </c>
      <c r="H4789" s="4">
        <f t="shared" si="223"/>
        <v>3.0585493737256275E-3</v>
      </c>
      <c r="I4789" s="1">
        <f t="shared" si="224"/>
        <v>5</v>
      </c>
    </row>
    <row r="4790" spans="1:9" hidden="1" x14ac:dyDescent="0.2">
      <c r="A4790" s="6">
        <v>44052.708333333336</v>
      </c>
      <c r="B4790" s="1" t="s">
        <v>25</v>
      </c>
      <c r="C4790">
        <v>28</v>
      </c>
      <c r="D4790">
        <v>6</v>
      </c>
      <c r="E4790">
        <v>2083</v>
      </c>
      <c r="F4790">
        <v>20656</v>
      </c>
      <c r="G4790" s="3">
        <f t="shared" si="222"/>
        <v>58</v>
      </c>
      <c r="H4790" s="4">
        <f t="shared" si="223"/>
        <v>2.807900852052625E-3</v>
      </c>
      <c r="I4790" s="1">
        <f t="shared" si="224"/>
        <v>0</v>
      </c>
    </row>
    <row r="4791" spans="1:9" hidden="1" x14ac:dyDescent="0.2">
      <c r="A4791" s="6">
        <v>44053.708333333336</v>
      </c>
      <c r="B4791" s="1" t="s">
        <v>25</v>
      </c>
      <c r="C4791">
        <v>29</v>
      </c>
      <c r="D4791">
        <v>6</v>
      </c>
      <c r="E4791">
        <v>2083</v>
      </c>
      <c r="F4791">
        <v>20676</v>
      </c>
      <c r="G4791" s="3">
        <f t="shared" si="222"/>
        <v>20</v>
      </c>
      <c r="H4791" s="4">
        <f t="shared" si="223"/>
        <v>9.6730508802478354E-4</v>
      </c>
      <c r="I4791" s="1">
        <f t="shared" si="224"/>
        <v>0</v>
      </c>
    </row>
    <row r="4792" spans="1:9" hidden="1" x14ac:dyDescent="0.2">
      <c r="A4792" s="6">
        <v>44054.708333333336</v>
      </c>
      <c r="B4792" s="1" t="s">
        <v>25</v>
      </c>
      <c r="C4792">
        <v>33</v>
      </c>
      <c r="D4792">
        <v>6</v>
      </c>
      <c r="E4792">
        <v>2085</v>
      </c>
      <c r="F4792">
        <v>20741</v>
      </c>
      <c r="G4792" s="3">
        <f t="shared" si="222"/>
        <v>65</v>
      </c>
      <c r="H4792" s="4">
        <f t="shared" si="223"/>
        <v>3.1338893978111182E-3</v>
      </c>
      <c r="I4792" s="1">
        <f t="shared" si="224"/>
        <v>2</v>
      </c>
    </row>
    <row r="4793" spans="1:9" hidden="1" x14ac:dyDescent="0.2">
      <c r="A4793" s="6">
        <v>44055.708333333336</v>
      </c>
      <c r="B4793" s="1" t="s">
        <v>25</v>
      </c>
      <c r="C4793">
        <v>33</v>
      </c>
      <c r="D4793">
        <v>6</v>
      </c>
      <c r="E4793">
        <v>2092</v>
      </c>
      <c r="F4793">
        <v>20801</v>
      </c>
      <c r="G4793" s="3">
        <f t="shared" si="222"/>
        <v>60</v>
      </c>
      <c r="H4793" s="4">
        <f t="shared" si="223"/>
        <v>2.8844767078506361E-3</v>
      </c>
      <c r="I4793" s="1">
        <f t="shared" si="224"/>
        <v>7</v>
      </c>
    </row>
    <row r="4794" spans="1:9" hidden="1" x14ac:dyDescent="0.2">
      <c r="A4794" s="6">
        <v>44056.708333333336</v>
      </c>
      <c r="B4794" s="1" t="s">
        <v>25</v>
      </c>
      <c r="C4794">
        <v>30</v>
      </c>
      <c r="D4794">
        <v>6</v>
      </c>
      <c r="E4794">
        <v>2094</v>
      </c>
      <c r="F4794">
        <v>20885</v>
      </c>
      <c r="G4794" s="3">
        <f t="shared" si="222"/>
        <v>84</v>
      </c>
      <c r="H4794" s="4">
        <f t="shared" si="223"/>
        <v>4.022025377064864E-3</v>
      </c>
      <c r="I4794" s="1">
        <f t="shared" si="224"/>
        <v>2</v>
      </c>
    </row>
    <row r="4795" spans="1:9" hidden="1" x14ac:dyDescent="0.2">
      <c r="A4795" s="6">
        <v>44057.708333333336</v>
      </c>
      <c r="B4795" s="1" t="s">
        <v>25</v>
      </c>
      <c r="C4795">
        <v>33</v>
      </c>
      <c r="D4795">
        <v>6</v>
      </c>
      <c r="E4795">
        <v>2095</v>
      </c>
      <c r="F4795">
        <v>21012</v>
      </c>
      <c r="G4795" s="3">
        <f t="shared" si="222"/>
        <v>127</v>
      </c>
      <c r="H4795" s="4">
        <f t="shared" si="223"/>
        <v>6.0441652389110478E-3</v>
      </c>
      <c r="I4795" s="1">
        <f t="shared" si="224"/>
        <v>1</v>
      </c>
    </row>
    <row r="4796" spans="1:9" hidden="1" x14ac:dyDescent="0.2">
      <c r="A4796" s="6">
        <v>44058.708333333336</v>
      </c>
      <c r="B4796" s="1" t="s">
        <v>25</v>
      </c>
      <c r="C4796">
        <v>38</v>
      </c>
      <c r="D4796">
        <v>4</v>
      </c>
      <c r="E4796">
        <v>2096</v>
      </c>
      <c r="F4796">
        <v>21132</v>
      </c>
      <c r="G4796" s="3">
        <f t="shared" si="222"/>
        <v>120</v>
      </c>
      <c r="H4796" s="4">
        <f t="shared" si="223"/>
        <v>5.6785917092561089E-3</v>
      </c>
      <c r="I4796" s="1">
        <f t="shared" si="224"/>
        <v>1</v>
      </c>
    </row>
    <row r="4797" spans="1:9" hidden="1" x14ac:dyDescent="0.2">
      <c r="A4797" s="6">
        <v>44059.708333333336</v>
      </c>
      <c r="B4797" s="1" t="s">
        <v>25</v>
      </c>
      <c r="C4797">
        <v>35</v>
      </c>
      <c r="D4797">
        <v>4</v>
      </c>
      <c r="E4797">
        <v>2096</v>
      </c>
      <c r="F4797">
        <v>21210</v>
      </c>
      <c r="G4797" s="3">
        <f t="shared" si="222"/>
        <v>78</v>
      </c>
      <c r="H4797" s="4">
        <f t="shared" si="223"/>
        <v>3.6775106082036491E-3</v>
      </c>
      <c r="I4797" s="1">
        <f t="shared" si="224"/>
        <v>0</v>
      </c>
    </row>
    <row r="4798" spans="1:9" hidden="1" x14ac:dyDescent="0.2">
      <c r="A4798" s="6">
        <v>44060.708333333336</v>
      </c>
      <c r="B4798" s="1" t="s">
        <v>25</v>
      </c>
      <c r="C4798">
        <v>37</v>
      </c>
      <c r="D4798">
        <v>4</v>
      </c>
      <c r="E4798">
        <v>2096</v>
      </c>
      <c r="F4798">
        <v>21256</v>
      </c>
      <c r="G4798" s="3">
        <f t="shared" si="222"/>
        <v>46</v>
      </c>
      <c r="H4798" s="4">
        <f t="shared" si="223"/>
        <v>2.1640948438088614E-3</v>
      </c>
      <c r="I4798" s="1">
        <f t="shared" si="224"/>
        <v>0</v>
      </c>
    </row>
    <row r="4799" spans="1:9" hidden="1" x14ac:dyDescent="0.2">
      <c r="A4799" s="6">
        <v>44061.708333333336</v>
      </c>
      <c r="B4799" s="1" t="s">
        <v>25</v>
      </c>
      <c r="C4799">
        <v>42</v>
      </c>
      <c r="D4799">
        <v>6</v>
      </c>
      <c r="E4799">
        <v>2098</v>
      </c>
      <c r="F4799">
        <v>21316</v>
      </c>
      <c r="G4799" s="3">
        <f t="shared" si="222"/>
        <v>60</v>
      </c>
      <c r="H4799" s="4">
        <f t="shared" si="223"/>
        <v>2.8147870144492604E-3</v>
      </c>
      <c r="I4799" s="1">
        <f t="shared" si="224"/>
        <v>2</v>
      </c>
    </row>
    <row r="4800" spans="1:9" hidden="1" x14ac:dyDescent="0.2">
      <c r="A4800" s="6">
        <v>44062.708333333336</v>
      </c>
      <c r="B4800" s="1" t="s">
        <v>25</v>
      </c>
      <c r="C4800">
        <v>39</v>
      </c>
      <c r="D4800">
        <v>6</v>
      </c>
      <c r="E4800">
        <v>2099</v>
      </c>
      <c r="F4800">
        <v>21375</v>
      </c>
      <c r="G4800" s="3">
        <f t="shared" si="222"/>
        <v>59</v>
      </c>
      <c r="H4800" s="4">
        <f t="shared" si="223"/>
        <v>2.7602339181286295E-3</v>
      </c>
      <c r="I4800" s="1">
        <f t="shared" si="224"/>
        <v>1</v>
      </c>
    </row>
    <row r="4801" spans="1:9" hidden="1" x14ac:dyDescent="0.2">
      <c r="A4801" s="6">
        <v>44063.708333333336</v>
      </c>
      <c r="B4801" s="1" t="s">
        <v>25</v>
      </c>
      <c r="C4801">
        <v>35</v>
      </c>
      <c r="D4801">
        <v>7</v>
      </c>
      <c r="E4801">
        <v>2100</v>
      </c>
      <c r="F4801">
        <v>21534</v>
      </c>
      <c r="G4801" s="3">
        <f t="shared" si="222"/>
        <v>159</v>
      </c>
      <c r="H4801" s="4">
        <f t="shared" si="223"/>
        <v>7.3836723321258901E-3</v>
      </c>
      <c r="I4801" s="1">
        <f t="shared" si="224"/>
        <v>1</v>
      </c>
    </row>
    <row r="4802" spans="1:9" hidden="1" x14ac:dyDescent="0.2">
      <c r="A4802" s="6">
        <v>44064.708333333336</v>
      </c>
      <c r="B4802" s="1" t="s">
        <v>25</v>
      </c>
      <c r="C4802">
        <v>42</v>
      </c>
      <c r="D4802">
        <v>6</v>
      </c>
      <c r="E4802">
        <v>2102</v>
      </c>
      <c r="F4802">
        <v>21650</v>
      </c>
      <c r="G4802" s="3">
        <f t="shared" si="222"/>
        <v>116</v>
      </c>
      <c r="H4802" s="4">
        <f t="shared" si="223"/>
        <v>5.3579676674364585E-3</v>
      </c>
      <c r="I4802" s="1">
        <f t="shared" si="224"/>
        <v>2</v>
      </c>
    </row>
    <row r="4803" spans="1:9" hidden="1" x14ac:dyDescent="0.2">
      <c r="A4803" s="6">
        <v>44065.708333333336</v>
      </c>
      <c r="B4803" s="1" t="s">
        <v>25</v>
      </c>
      <c r="C4803">
        <v>44</v>
      </c>
      <c r="D4803">
        <v>4</v>
      </c>
      <c r="E4803">
        <v>2104</v>
      </c>
      <c r="F4803">
        <v>21810</v>
      </c>
      <c r="G4803" s="3">
        <f t="shared" ref="G4803:G4866" si="225">IF(AND(F4803&gt;0,AND(B4803=B4802,F4803&gt;0)),F4803-F4802,0)</f>
        <v>160</v>
      </c>
      <c r="H4803" s="4">
        <f t="shared" ref="H4803:H4853" si="226">IF(AND(F4802&gt;0,AND(B4803=B4802,F4802&gt;0)),1-(F4802/F4803),0)</f>
        <v>7.3360843649702412E-3</v>
      </c>
      <c r="I4803" s="1">
        <f t="shared" ref="I4803:I4853" si="227">IF(AND(E4803&gt;0,AND(B4803=B4802,E4803&gt;0)),E4803-E4802,0)</f>
        <v>2</v>
      </c>
    </row>
    <row r="4804" spans="1:9" hidden="1" x14ac:dyDescent="0.2">
      <c r="A4804" s="6">
        <v>44066.708333333336</v>
      </c>
      <c r="B4804" s="1" t="s">
        <v>25</v>
      </c>
      <c r="C4804">
        <v>43</v>
      </c>
      <c r="D4804">
        <v>4</v>
      </c>
      <c r="E4804">
        <v>2104</v>
      </c>
      <c r="F4804">
        <v>21955</v>
      </c>
      <c r="G4804" s="3">
        <f t="shared" si="225"/>
        <v>145</v>
      </c>
      <c r="H4804" s="4">
        <f t="shared" si="226"/>
        <v>6.6044181279890646E-3</v>
      </c>
      <c r="I4804" s="1">
        <f t="shared" si="227"/>
        <v>0</v>
      </c>
    </row>
    <row r="4805" spans="1:9" hidden="1" x14ac:dyDescent="0.2">
      <c r="A4805" s="6">
        <v>44067.708333333336</v>
      </c>
      <c r="B4805" s="1" t="s">
        <v>25</v>
      </c>
      <c r="C4805">
        <v>43</v>
      </c>
      <c r="D4805">
        <v>4</v>
      </c>
      <c r="E4805">
        <v>2104</v>
      </c>
      <c r="F4805">
        <v>22071</v>
      </c>
      <c r="G4805" s="3">
        <f t="shared" si="225"/>
        <v>116</v>
      </c>
      <c r="H4805" s="4">
        <f t="shared" si="226"/>
        <v>5.2557654841194346E-3</v>
      </c>
      <c r="I4805" s="1">
        <f t="shared" si="227"/>
        <v>0</v>
      </c>
    </row>
    <row r="4806" spans="1:9" hidden="1" x14ac:dyDescent="0.2">
      <c r="A4806" s="6">
        <v>44068.708333333336</v>
      </c>
      <c r="B4806" s="1" t="s">
        <v>25</v>
      </c>
      <c r="C4806">
        <v>46</v>
      </c>
      <c r="D4806">
        <v>5</v>
      </c>
      <c r="E4806">
        <v>2107</v>
      </c>
      <c r="F4806">
        <v>22190</v>
      </c>
      <c r="G4806" s="3">
        <f t="shared" si="225"/>
        <v>119</v>
      </c>
      <c r="H4806" s="4">
        <f t="shared" si="226"/>
        <v>5.3627760252366041E-3</v>
      </c>
      <c r="I4806" s="1">
        <f t="shared" si="227"/>
        <v>3</v>
      </c>
    </row>
    <row r="4807" spans="1:9" hidden="1" x14ac:dyDescent="0.2">
      <c r="A4807" s="6">
        <v>44069.708333333336</v>
      </c>
      <c r="B4807" s="1" t="s">
        <v>25</v>
      </c>
      <c r="C4807">
        <v>46</v>
      </c>
      <c r="D4807">
        <v>6</v>
      </c>
      <c r="E4807">
        <v>2116</v>
      </c>
      <c r="F4807">
        <v>22337</v>
      </c>
      <c r="G4807" s="3">
        <f t="shared" si="225"/>
        <v>147</v>
      </c>
      <c r="H4807" s="4">
        <f t="shared" si="226"/>
        <v>6.5810090880601413E-3</v>
      </c>
      <c r="I4807" s="1">
        <f t="shared" si="227"/>
        <v>9</v>
      </c>
    </row>
    <row r="4808" spans="1:9" hidden="1" x14ac:dyDescent="0.2">
      <c r="A4808" s="6">
        <v>44070.708333333336</v>
      </c>
      <c r="B4808" s="1" t="s">
        <v>25</v>
      </c>
      <c r="C4808">
        <v>58</v>
      </c>
      <c r="D4808">
        <v>5</v>
      </c>
      <c r="E4808">
        <v>2117</v>
      </c>
      <c r="F4808">
        <v>22469</v>
      </c>
      <c r="G4808" s="3">
        <f t="shared" si="225"/>
        <v>132</v>
      </c>
      <c r="H4808" s="4">
        <f t="shared" si="226"/>
        <v>5.87476078152116E-3</v>
      </c>
      <c r="I4808" s="1">
        <f t="shared" si="227"/>
        <v>1</v>
      </c>
    </row>
    <row r="4809" spans="1:9" hidden="1" x14ac:dyDescent="0.2">
      <c r="A4809" s="6">
        <v>44071.708333333336</v>
      </c>
      <c r="B4809" s="1" t="s">
        <v>25</v>
      </c>
      <c r="C4809">
        <v>50</v>
      </c>
      <c r="D4809">
        <v>6</v>
      </c>
      <c r="E4809">
        <v>2119</v>
      </c>
      <c r="F4809">
        <v>22604</v>
      </c>
      <c r="G4809" s="3">
        <f t="shared" si="225"/>
        <v>135</v>
      </c>
      <c r="H4809" s="4">
        <f t="shared" si="226"/>
        <v>5.972394266501535E-3</v>
      </c>
      <c r="I4809" s="1">
        <f t="shared" si="227"/>
        <v>2</v>
      </c>
    </row>
    <row r="4810" spans="1:9" hidden="1" x14ac:dyDescent="0.2">
      <c r="A4810" s="6">
        <v>44072.708333333336</v>
      </c>
      <c r="B4810" s="1" t="s">
        <v>25</v>
      </c>
      <c r="C4810">
        <v>54</v>
      </c>
      <c r="D4810">
        <v>6</v>
      </c>
      <c r="E4810">
        <v>2120</v>
      </c>
      <c r="F4810">
        <v>22755</v>
      </c>
      <c r="G4810" s="3">
        <f t="shared" si="225"/>
        <v>151</v>
      </c>
      <c r="H4810" s="4">
        <f t="shared" si="226"/>
        <v>6.6359041968797605E-3</v>
      </c>
      <c r="I4810" s="1">
        <f t="shared" si="227"/>
        <v>1</v>
      </c>
    </row>
    <row r="4811" spans="1:9" hidden="1" x14ac:dyDescent="0.2">
      <c r="A4811" s="6">
        <v>44073.708333333336</v>
      </c>
      <c r="B4811" s="1" t="s">
        <v>25</v>
      </c>
      <c r="C4811">
        <v>52</v>
      </c>
      <c r="D4811">
        <v>7</v>
      </c>
      <c r="E4811">
        <v>2120</v>
      </c>
      <c r="F4811">
        <v>22864</v>
      </c>
      <c r="G4811" s="3">
        <f t="shared" si="225"/>
        <v>109</v>
      </c>
      <c r="H4811" s="4">
        <f t="shared" si="226"/>
        <v>4.7673198040587561E-3</v>
      </c>
      <c r="I4811" s="1">
        <f t="shared" si="227"/>
        <v>0</v>
      </c>
    </row>
    <row r="4812" spans="1:9" hidden="1" x14ac:dyDescent="0.2">
      <c r="A4812" s="6">
        <v>44074.708333333336</v>
      </c>
      <c r="B4812" s="1" t="s">
        <v>25</v>
      </c>
      <c r="C4812">
        <v>51</v>
      </c>
      <c r="D4812">
        <v>8</v>
      </c>
      <c r="E4812">
        <v>2120</v>
      </c>
      <c r="F4812">
        <v>22929</v>
      </c>
      <c r="G4812" s="3">
        <f t="shared" si="225"/>
        <v>65</v>
      </c>
      <c r="H4812" s="4">
        <f t="shared" si="226"/>
        <v>2.8348379781063526E-3</v>
      </c>
      <c r="I4812" s="1">
        <f t="shared" si="227"/>
        <v>0</v>
      </c>
    </row>
    <row r="4813" spans="1:9" hidden="1" x14ac:dyDescent="0.2">
      <c r="A4813" s="6">
        <v>44075.708333333336</v>
      </c>
      <c r="B4813" s="1" t="s">
        <v>25</v>
      </c>
      <c r="C4813">
        <v>69</v>
      </c>
      <c r="D4813">
        <v>9</v>
      </c>
      <c r="E4813">
        <v>2122</v>
      </c>
      <c r="F4813">
        <v>23026</v>
      </c>
      <c r="G4813" s="3">
        <f t="shared" si="225"/>
        <v>97</v>
      </c>
      <c r="H4813" s="4">
        <f t="shared" si="226"/>
        <v>4.2126292017719003E-3</v>
      </c>
      <c r="I4813" s="1">
        <f t="shared" si="227"/>
        <v>2</v>
      </c>
    </row>
    <row r="4814" spans="1:9" hidden="1" x14ac:dyDescent="0.2">
      <c r="A4814" s="6">
        <v>44076.708333333336</v>
      </c>
      <c r="B4814" s="1" t="s">
        <v>25</v>
      </c>
      <c r="C4814">
        <v>70</v>
      </c>
      <c r="D4814">
        <v>9</v>
      </c>
      <c r="E4814">
        <v>2123</v>
      </c>
      <c r="F4814">
        <v>23189</v>
      </c>
      <c r="G4814" s="3">
        <f t="shared" si="225"/>
        <v>163</v>
      </c>
      <c r="H4814" s="4">
        <f t="shared" si="226"/>
        <v>7.0291948768812507E-3</v>
      </c>
      <c r="I4814" s="1">
        <f t="shared" si="227"/>
        <v>1</v>
      </c>
    </row>
    <row r="4815" spans="1:9" hidden="1" x14ac:dyDescent="0.2">
      <c r="A4815" s="6">
        <v>44077.708333333336</v>
      </c>
      <c r="B4815" s="1" t="s">
        <v>25</v>
      </c>
      <c r="C4815">
        <v>71</v>
      </c>
      <c r="D4815">
        <v>12</v>
      </c>
      <c r="E4815">
        <v>2123</v>
      </c>
      <c r="F4815">
        <v>23304</v>
      </c>
      <c r="G4815" s="3">
        <f t="shared" si="225"/>
        <v>115</v>
      </c>
      <c r="H4815" s="4">
        <f t="shared" si="226"/>
        <v>4.9347751458976852E-3</v>
      </c>
      <c r="I4815" s="1">
        <f t="shared" si="227"/>
        <v>0</v>
      </c>
    </row>
    <row r="4816" spans="1:9" hidden="1" x14ac:dyDescent="0.2">
      <c r="A4816" s="6">
        <v>44078.708333333336</v>
      </c>
      <c r="B4816" s="1" t="s">
        <v>25</v>
      </c>
      <c r="C4816">
        <v>79</v>
      </c>
      <c r="D4816">
        <v>10</v>
      </c>
      <c r="E4816">
        <v>2126</v>
      </c>
      <c r="F4816">
        <v>23577</v>
      </c>
      <c r="G4816" s="3">
        <f t="shared" si="225"/>
        <v>273</v>
      </c>
      <c r="H4816" s="4">
        <f t="shared" si="226"/>
        <v>1.1579081308054406E-2</v>
      </c>
      <c r="I4816" s="1">
        <f t="shared" si="227"/>
        <v>3</v>
      </c>
    </row>
    <row r="4817" spans="1:9" hidden="1" x14ac:dyDescent="0.2">
      <c r="A4817" s="6">
        <v>44079.708333333336</v>
      </c>
      <c r="B4817" s="1" t="s">
        <v>25</v>
      </c>
      <c r="C4817">
        <v>79</v>
      </c>
      <c r="D4817">
        <v>9</v>
      </c>
      <c r="E4817">
        <v>2130</v>
      </c>
      <c r="F4817">
        <v>23765</v>
      </c>
      <c r="G4817" s="3">
        <f t="shared" si="225"/>
        <v>188</v>
      </c>
      <c r="H4817" s="4">
        <f t="shared" si="226"/>
        <v>7.9107931832527179E-3</v>
      </c>
      <c r="I4817" s="1">
        <f t="shared" si="227"/>
        <v>4</v>
      </c>
    </row>
    <row r="4818" spans="1:9" hidden="1" x14ac:dyDescent="0.2">
      <c r="A4818" s="6">
        <v>44080.708333333336</v>
      </c>
      <c r="B4818" s="1" t="s">
        <v>25</v>
      </c>
      <c r="C4818">
        <v>79</v>
      </c>
      <c r="D4818">
        <v>12</v>
      </c>
      <c r="E4818">
        <v>2130</v>
      </c>
      <c r="F4818">
        <v>23944</v>
      </c>
      <c r="G4818" s="3">
        <f t="shared" si="225"/>
        <v>179</v>
      </c>
      <c r="H4818" s="4">
        <f t="shared" si="226"/>
        <v>7.4757768125626178E-3</v>
      </c>
      <c r="I4818" s="1">
        <f t="shared" si="227"/>
        <v>0</v>
      </c>
    </row>
    <row r="4819" spans="1:9" hidden="1" x14ac:dyDescent="0.2">
      <c r="A4819" s="6">
        <v>44081.708333333336</v>
      </c>
      <c r="B4819" s="1" t="s">
        <v>25</v>
      </c>
      <c r="C4819">
        <v>85</v>
      </c>
      <c r="D4819">
        <v>13</v>
      </c>
      <c r="E4819">
        <v>2130</v>
      </c>
      <c r="F4819">
        <v>24013</v>
      </c>
      <c r="G4819" s="3">
        <f t="shared" si="225"/>
        <v>69</v>
      </c>
      <c r="H4819" s="4">
        <f t="shared" si="226"/>
        <v>2.8734435514096157E-3</v>
      </c>
      <c r="I4819" s="1">
        <f t="shared" si="227"/>
        <v>0</v>
      </c>
    </row>
    <row r="4820" spans="1:9" hidden="1" x14ac:dyDescent="0.2">
      <c r="A4820" s="6">
        <v>44082.708333333336</v>
      </c>
      <c r="B4820" s="1" t="s">
        <v>25</v>
      </c>
      <c r="C4820">
        <v>93</v>
      </c>
      <c r="D4820">
        <v>12</v>
      </c>
      <c r="E4820">
        <v>2132</v>
      </c>
      <c r="F4820">
        <v>24118</v>
      </c>
      <c r="G4820" s="3">
        <f t="shared" si="225"/>
        <v>105</v>
      </c>
      <c r="H4820" s="4">
        <f t="shared" si="226"/>
        <v>4.3535948254416201E-3</v>
      </c>
      <c r="I4820" s="1">
        <f t="shared" si="227"/>
        <v>2</v>
      </c>
    </row>
    <row r="4821" spans="1:9" hidden="1" x14ac:dyDescent="0.2">
      <c r="A4821" s="6">
        <v>44083.708333333336</v>
      </c>
      <c r="B4821" s="1" t="s">
        <v>25</v>
      </c>
      <c r="C4821">
        <v>83</v>
      </c>
      <c r="D4821">
        <v>12</v>
      </c>
      <c r="E4821">
        <v>2135</v>
      </c>
      <c r="F4821">
        <v>24209</v>
      </c>
      <c r="G4821" s="3">
        <f t="shared" si="225"/>
        <v>91</v>
      </c>
      <c r="H4821" s="4">
        <f t="shared" si="226"/>
        <v>3.7589326283613556E-3</v>
      </c>
      <c r="I4821" s="1">
        <f t="shared" si="227"/>
        <v>3</v>
      </c>
    </row>
    <row r="4822" spans="1:9" hidden="1" x14ac:dyDescent="0.2">
      <c r="A4822" s="6">
        <v>44084.708333333336</v>
      </c>
      <c r="B4822" s="1" t="s">
        <v>25</v>
      </c>
      <c r="C4822">
        <v>83</v>
      </c>
      <c r="D4822">
        <v>12</v>
      </c>
      <c r="E4822">
        <v>2135</v>
      </c>
      <c r="F4822">
        <v>24356</v>
      </c>
      <c r="G4822" s="3">
        <f t="shared" si="225"/>
        <v>147</v>
      </c>
      <c r="H4822" s="4">
        <f t="shared" si="226"/>
        <v>6.0354738052225132E-3</v>
      </c>
      <c r="I4822" s="1">
        <f t="shared" si="227"/>
        <v>0</v>
      </c>
    </row>
    <row r="4823" spans="1:9" hidden="1" x14ac:dyDescent="0.2">
      <c r="A4823" s="6">
        <v>44085.708333333336</v>
      </c>
      <c r="B4823" s="1" t="s">
        <v>25</v>
      </c>
      <c r="C4823">
        <v>91</v>
      </c>
      <c r="D4823">
        <v>11</v>
      </c>
      <c r="E4823">
        <v>2138</v>
      </c>
      <c r="F4823">
        <v>24529</v>
      </c>
      <c r="G4823" s="3">
        <f t="shared" si="225"/>
        <v>173</v>
      </c>
      <c r="H4823" s="4">
        <f t="shared" si="226"/>
        <v>7.0528761873700496E-3</v>
      </c>
      <c r="I4823" s="1">
        <f t="shared" si="227"/>
        <v>3</v>
      </c>
    </row>
    <row r="4824" spans="1:9" hidden="1" x14ac:dyDescent="0.2">
      <c r="A4824" s="6">
        <v>44086.708333333336</v>
      </c>
      <c r="B4824" s="1" t="s">
        <v>25</v>
      </c>
      <c r="C4824">
        <v>99</v>
      </c>
      <c r="D4824">
        <v>12</v>
      </c>
      <c r="E4824">
        <v>2141</v>
      </c>
      <c r="F4824">
        <v>24667</v>
      </c>
      <c r="G4824" s="3">
        <f t="shared" si="225"/>
        <v>138</v>
      </c>
      <c r="H4824" s="4">
        <f t="shared" si="226"/>
        <v>5.5945189929865746E-3</v>
      </c>
      <c r="I4824" s="1">
        <f t="shared" si="227"/>
        <v>3</v>
      </c>
    </row>
    <row r="4825" spans="1:9" hidden="1" x14ac:dyDescent="0.2">
      <c r="A4825" s="6">
        <v>44087.708333333336</v>
      </c>
      <c r="B4825" s="1" t="s">
        <v>25</v>
      </c>
      <c r="C4825">
        <v>95</v>
      </c>
      <c r="D4825">
        <v>14</v>
      </c>
      <c r="E4825">
        <v>2142</v>
      </c>
      <c r="F4825">
        <v>24809</v>
      </c>
      <c r="G4825" s="3">
        <f t="shared" si="225"/>
        <v>142</v>
      </c>
      <c r="H4825" s="4">
        <f t="shared" si="226"/>
        <v>5.7237292917892146E-3</v>
      </c>
      <c r="I4825" s="1">
        <f t="shared" si="227"/>
        <v>1</v>
      </c>
    </row>
    <row r="4826" spans="1:9" hidden="1" x14ac:dyDescent="0.2">
      <c r="A4826" s="6">
        <v>44088.708333333336</v>
      </c>
      <c r="B4826" s="1" t="s">
        <v>25</v>
      </c>
      <c r="C4826">
        <v>96</v>
      </c>
      <c r="D4826">
        <v>14</v>
      </c>
      <c r="E4826">
        <v>2144</v>
      </c>
      <c r="F4826">
        <v>24864</v>
      </c>
      <c r="G4826" s="3">
        <f t="shared" si="225"/>
        <v>55</v>
      </c>
      <c r="H4826" s="4">
        <f t="shared" si="226"/>
        <v>2.2120334620334692E-3</v>
      </c>
      <c r="I4826" s="1">
        <f t="shared" si="227"/>
        <v>2</v>
      </c>
    </row>
    <row r="4827" spans="1:9" hidden="1" x14ac:dyDescent="0.2">
      <c r="A4827" s="6">
        <v>44089.708333333336</v>
      </c>
      <c r="B4827" s="1" t="s">
        <v>25</v>
      </c>
      <c r="C4827">
        <v>102</v>
      </c>
      <c r="D4827">
        <v>15</v>
      </c>
      <c r="E4827">
        <v>2146</v>
      </c>
      <c r="F4827">
        <v>24979</v>
      </c>
      <c r="G4827" s="3">
        <f t="shared" si="225"/>
        <v>115</v>
      </c>
      <c r="H4827" s="4">
        <f t="shared" si="226"/>
        <v>4.6038672484887133E-3</v>
      </c>
      <c r="I4827" s="1">
        <f t="shared" si="227"/>
        <v>2</v>
      </c>
    </row>
    <row r="4828" spans="1:9" hidden="1" x14ac:dyDescent="0.2">
      <c r="A4828" s="6">
        <v>44090.708333333336</v>
      </c>
      <c r="B4828" s="1" t="s">
        <v>25</v>
      </c>
      <c r="C4828">
        <v>107</v>
      </c>
      <c r="D4828">
        <v>14</v>
      </c>
      <c r="E4828">
        <v>2151</v>
      </c>
      <c r="F4828">
        <v>25138</v>
      </c>
      <c r="G4828" s="3">
        <f t="shared" si="225"/>
        <v>159</v>
      </c>
      <c r="H4828" s="4">
        <f t="shared" si="226"/>
        <v>6.3250855278860207E-3</v>
      </c>
      <c r="I4828" s="1">
        <f t="shared" si="227"/>
        <v>5</v>
      </c>
    </row>
    <row r="4829" spans="1:9" hidden="1" x14ac:dyDescent="0.2">
      <c r="A4829" s="6">
        <v>44091.708333333336</v>
      </c>
      <c r="B4829" s="1" t="s">
        <v>25</v>
      </c>
      <c r="C4829">
        <v>109</v>
      </c>
      <c r="D4829">
        <v>12</v>
      </c>
      <c r="E4829">
        <v>2151</v>
      </c>
      <c r="F4829">
        <v>25247</v>
      </c>
      <c r="G4829" s="3">
        <f t="shared" si="225"/>
        <v>109</v>
      </c>
      <c r="H4829" s="4">
        <f t="shared" si="226"/>
        <v>4.317344635006104E-3</v>
      </c>
      <c r="I4829" s="1">
        <f t="shared" si="227"/>
        <v>0</v>
      </c>
    </row>
    <row r="4830" spans="1:9" hidden="1" x14ac:dyDescent="0.2">
      <c r="A4830" s="6">
        <v>44092.708333333336</v>
      </c>
      <c r="B4830" s="1" t="s">
        <v>25</v>
      </c>
      <c r="C4830">
        <v>115</v>
      </c>
      <c r="D4830">
        <v>8</v>
      </c>
      <c r="E4830">
        <v>2153</v>
      </c>
      <c r="F4830">
        <v>25423</v>
      </c>
      <c r="G4830" s="3">
        <f t="shared" si="225"/>
        <v>176</v>
      </c>
      <c r="H4830" s="4">
        <f t="shared" si="226"/>
        <v>6.9228651221334703E-3</v>
      </c>
      <c r="I4830" s="1">
        <f t="shared" si="227"/>
        <v>2</v>
      </c>
    </row>
    <row r="4831" spans="1:9" hidden="1" x14ac:dyDescent="0.2">
      <c r="A4831" s="6">
        <v>44093.708333333336</v>
      </c>
      <c r="B4831" s="1" t="s">
        <v>25</v>
      </c>
      <c r="C4831">
        <v>125</v>
      </c>
      <c r="D4831">
        <v>10</v>
      </c>
      <c r="E4831">
        <v>2158</v>
      </c>
      <c r="F4831">
        <v>25609</v>
      </c>
      <c r="G4831" s="3">
        <f t="shared" si="225"/>
        <v>186</v>
      </c>
      <c r="H4831" s="4">
        <f t="shared" si="226"/>
        <v>7.2630715763989384E-3</v>
      </c>
      <c r="I4831" s="1">
        <f t="shared" si="227"/>
        <v>5</v>
      </c>
    </row>
    <row r="4832" spans="1:9" hidden="1" x14ac:dyDescent="0.2">
      <c r="A4832" s="6">
        <v>44094.708333333336</v>
      </c>
      <c r="B4832" s="1" t="s">
        <v>25</v>
      </c>
      <c r="C4832">
        <v>124</v>
      </c>
      <c r="D4832">
        <v>10</v>
      </c>
      <c r="E4832">
        <v>2162</v>
      </c>
      <c r="F4832">
        <v>25782</v>
      </c>
      <c r="G4832" s="3">
        <f t="shared" si="225"/>
        <v>173</v>
      </c>
      <c r="H4832" s="4">
        <f t="shared" si="226"/>
        <v>6.7101078271661896E-3</v>
      </c>
      <c r="I4832" s="1">
        <f t="shared" si="227"/>
        <v>4</v>
      </c>
    </row>
    <row r="4833" spans="1:9" hidden="1" x14ac:dyDescent="0.2">
      <c r="A4833" s="6">
        <v>44095.708333333336</v>
      </c>
      <c r="B4833" s="1" t="s">
        <v>25</v>
      </c>
      <c r="C4833">
        <v>129</v>
      </c>
      <c r="D4833">
        <v>12</v>
      </c>
      <c r="E4833">
        <v>2162</v>
      </c>
      <c r="F4833">
        <v>25885</v>
      </c>
      <c r="G4833" s="3">
        <f t="shared" si="225"/>
        <v>103</v>
      </c>
      <c r="H4833" s="4">
        <f t="shared" si="226"/>
        <v>3.9791384971991084E-3</v>
      </c>
      <c r="I4833" s="1">
        <f t="shared" si="227"/>
        <v>0</v>
      </c>
    </row>
    <row r="4834" spans="1:9" hidden="1" x14ac:dyDescent="0.2">
      <c r="A4834" s="6">
        <v>44096.708333333336</v>
      </c>
      <c r="B4834" s="1" t="s">
        <v>25</v>
      </c>
      <c r="C4834">
        <v>141</v>
      </c>
      <c r="D4834">
        <v>14</v>
      </c>
      <c r="E4834">
        <v>2165</v>
      </c>
      <c r="F4834">
        <v>26004</v>
      </c>
      <c r="G4834" s="3">
        <f t="shared" si="225"/>
        <v>119</v>
      </c>
      <c r="H4834" s="4">
        <f t="shared" si="226"/>
        <v>4.576219043224139E-3</v>
      </c>
      <c r="I4834" s="1">
        <f t="shared" si="227"/>
        <v>3</v>
      </c>
    </row>
    <row r="4835" spans="1:9" hidden="1" x14ac:dyDescent="0.2">
      <c r="A4835" s="6">
        <v>44097.708333333336</v>
      </c>
      <c r="B4835" s="1" t="s">
        <v>25</v>
      </c>
      <c r="C4835">
        <v>139</v>
      </c>
      <c r="D4835">
        <v>16</v>
      </c>
      <c r="E4835">
        <v>2167</v>
      </c>
      <c r="F4835">
        <v>26154</v>
      </c>
      <c r="G4835" s="3">
        <f t="shared" si="225"/>
        <v>150</v>
      </c>
      <c r="H4835" s="4">
        <f t="shared" si="226"/>
        <v>5.7352603808212832E-3</v>
      </c>
      <c r="I4835" s="1">
        <f t="shared" si="227"/>
        <v>2</v>
      </c>
    </row>
    <row r="4836" spans="1:9" hidden="1" x14ac:dyDescent="0.2">
      <c r="A4836" s="6">
        <v>44098.708333333336</v>
      </c>
      <c r="B4836" s="1" t="s">
        <v>25</v>
      </c>
      <c r="C4836">
        <v>144</v>
      </c>
      <c r="D4836">
        <v>17</v>
      </c>
      <c r="E4836">
        <v>2169</v>
      </c>
      <c r="F4836">
        <v>26402</v>
      </c>
      <c r="G4836" s="3">
        <f t="shared" si="225"/>
        <v>248</v>
      </c>
      <c r="H4836" s="4">
        <f t="shared" si="226"/>
        <v>9.3932277857737834E-3</v>
      </c>
      <c r="I4836" s="1">
        <f t="shared" si="227"/>
        <v>2</v>
      </c>
    </row>
    <row r="4837" spans="1:9" hidden="1" x14ac:dyDescent="0.2">
      <c r="A4837" s="6">
        <v>44099.708333333336</v>
      </c>
      <c r="B4837" s="1" t="s">
        <v>25</v>
      </c>
      <c r="C4837">
        <v>140</v>
      </c>
      <c r="D4837">
        <v>19</v>
      </c>
      <c r="E4837">
        <v>2173</v>
      </c>
      <c r="F4837">
        <v>26598</v>
      </c>
      <c r="G4837" s="3">
        <f t="shared" si="225"/>
        <v>196</v>
      </c>
      <c r="H4837" s="4">
        <f t="shared" si="226"/>
        <v>7.3689751109106139E-3</v>
      </c>
      <c r="I4837" s="1">
        <f t="shared" si="227"/>
        <v>4</v>
      </c>
    </row>
    <row r="4838" spans="1:9" hidden="1" x14ac:dyDescent="0.2">
      <c r="A4838" s="6">
        <v>44100.708333333336</v>
      </c>
      <c r="B4838" s="1" t="s">
        <v>25</v>
      </c>
      <c r="C4838">
        <v>147</v>
      </c>
      <c r="D4838">
        <v>21</v>
      </c>
      <c r="E4838">
        <v>2174</v>
      </c>
      <c r="F4838">
        <v>26814</v>
      </c>
      <c r="G4838" s="3">
        <f t="shared" si="225"/>
        <v>216</v>
      </c>
      <c r="H4838" s="4">
        <f t="shared" si="226"/>
        <v>8.0554933989707145E-3</v>
      </c>
      <c r="I4838" s="1">
        <f t="shared" si="227"/>
        <v>1</v>
      </c>
    </row>
    <row r="4839" spans="1:9" hidden="1" x14ac:dyDescent="0.2">
      <c r="A4839" s="6">
        <v>44101.708333333336</v>
      </c>
      <c r="B4839" s="1" t="s">
        <v>25</v>
      </c>
      <c r="C4839">
        <v>148</v>
      </c>
      <c r="D4839">
        <v>21</v>
      </c>
      <c r="E4839">
        <v>2176</v>
      </c>
      <c r="F4839">
        <v>26973</v>
      </c>
      <c r="G4839" s="3">
        <f t="shared" si="225"/>
        <v>159</v>
      </c>
      <c r="H4839" s="4">
        <f t="shared" si="226"/>
        <v>5.8947836725614655E-3</v>
      </c>
      <c r="I4839" s="1">
        <f t="shared" si="227"/>
        <v>2</v>
      </c>
    </row>
    <row r="4840" spans="1:9" hidden="1" x14ac:dyDescent="0.2">
      <c r="A4840" s="6">
        <v>44102.708333333336</v>
      </c>
      <c r="B4840" s="1" t="s">
        <v>25</v>
      </c>
      <c r="C4840">
        <v>155</v>
      </c>
      <c r="D4840">
        <v>21</v>
      </c>
      <c r="E4840">
        <v>2176</v>
      </c>
      <c r="F4840">
        <v>27156</v>
      </c>
      <c r="G4840" s="3">
        <f t="shared" si="225"/>
        <v>183</v>
      </c>
      <c r="H4840" s="4">
        <f t="shared" si="226"/>
        <v>6.7388422448078078E-3</v>
      </c>
      <c r="I4840" s="1">
        <f t="shared" si="227"/>
        <v>0</v>
      </c>
    </row>
    <row r="4841" spans="1:9" hidden="1" x14ac:dyDescent="0.2">
      <c r="A4841" s="6">
        <v>44103.708333333336</v>
      </c>
      <c r="B4841" s="1" t="s">
        <v>25</v>
      </c>
      <c r="C4841">
        <v>167</v>
      </c>
      <c r="D4841">
        <v>21</v>
      </c>
      <c r="E4841">
        <v>2177</v>
      </c>
      <c r="F4841">
        <v>27296</v>
      </c>
      <c r="G4841" s="3">
        <f t="shared" si="225"/>
        <v>140</v>
      </c>
      <c r="H4841" s="4">
        <f t="shared" si="226"/>
        <v>5.1289566236811801E-3</v>
      </c>
      <c r="I4841" s="1">
        <f t="shared" si="227"/>
        <v>1</v>
      </c>
    </row>
    <row r="4842" spans="1:9" hidden="1" x14ac:dyDescent="0.2">
      <c r="A4842" s="6">
        <v>44104.708333333336</v>
      </c>
      <c r="B4842" s="1" t="s">
        <v>25</v>
      </c>
      <c r="C4842">
        <v>173</v>
      </c>
      <c r="D4842">
        <v>21</v>
      </c>
      <c r="E4842">
        <v>2178</v>
      </c>
      <c r="F4842">
        <v>27451</v>
      </c>
      <c r="G4842" s="3">
        <f t="shared" si="225"/>
        <v>155</v>
      </c>
      <c r="H4842" s="4">
        <f t="shared" si="226"/>
        <v>5.6464245382681355E-3</v>
      </c>
      <c r="I4842" s="1">
        <f t="shared" si="227"/>
        <v>1</v>
      </c>
    </row>
    <row r="4843" spans="1:9" hidden="1" x14ac:dyDescent="0.2">
      <c r="A4843" s="6">
        <v>44105.708333333336</v>
      </c>
      <c r="B4843" s="1" t="s">
        <v>25</v>
      </c>
      <c r="C4843">
        <v>180</v>
      </c>
      <c r="D4843">
        <v>24</v>
      </c>
      <c r="E4843">
        <v>2183</v>
      </c>
      <c r="F4843">
        <v>27896</v>
      </c>
      <c r="G4843" s="3">
        <f t="shared" si="225"/>
        <v>445</v>
      </c>
      <c r="H4843" s="4">
        <f t="shared" si="226"/>
        <v>1.5952107829079409E-2</v>
      </c>
      <c r="I4843" s="1">
        <f t="shared" si="227"/>
        <v>5</v>
      </c>
    </row>
    <row r="4844" spans="1:9" hidden="1" x14ac:dyDescent="0.2">
      <c r="A4844" s="6">
        <v>44106.708333333336</v>
      </c>
      <c r="B4844" s="1" t="s">
        <v>25</v>
      </c>
      <c r="C4844">
        <v>167</v>
      </c>
      <c r="D4844">
        <v>22</v>
      </c>
      <c r="E4844">
        <v>2189</v>
      </c>
      <c r="F4844">
        <v>28087</v>
      </c>
      <c r="G4844" s="3">
        <f t="shared" si="225"/>
        <v>191</v>
      </c>
      <c r="H4844" s="4">
        <f t="shared" si="226"/>
        <v>6.80029907074442E-3</v>
      </c>
      <c r="I4844" s="1">
        <f t="shared" si="227"/>
        <v>6</v>
      </c>
    </row>
    <row r="4845" spans="1:9" hidden="1" x14ac:dyDescent="0.2">
      <c r="A4845" s="6">
        <v>44107.708333333336</v>
      </c>
      <c r="B4845" s="1" t="s">
        <v>25</v>
      </c>
      <c r="C4845">
        <v>174</v>
      </c>
      <c r="D4845">
        <v>21</v>
      </c>
      <c r="E4845">
        <v>2193</v>
      </c>
      <c r="F4845">
        <v>28363</v>
      </c>
      <c r="G4845" s="3">
        <f t="shared" si="225"/>
        <v>276</v>
      </c>
      <c r="H4845" s="4">
        <f t="shared" si="226"/>
        <v>9.7309875542079816E-3</v>
      </c>
      <c r="I4845" s="1">
        <f t="shared" si="227"/>
        <v>4</v>
      </c>
    </row>
    <row r="4846" spans="1:9" hidden="1" x14ac:dyDescent="0.2">
      <c r="A4846" s="6">
        <v>44108.708333333336</v>
      </c>
      <c r="B4846" s="1" t="s">
        <v>25</v>
      </c>
      <c r="C4846">
        <v>178</v>
      </c>
      <c r="D4846">
        <v>20</v>
      </c>
      <c r="E4846">
        <v>2194</v>
      </c>
      <c r="F4846">
        <v>28624</v>
      </c>
      <c r="G4846" s="3">
        <f t="shared" si="225"/>
        <v>261</v>
      </c>
      <c r="H4846" s="4">
        <f t="shared" si="226"/>
        <v>9.1182224706539694E-3</v>
      </c>
      <c r="I4846" s="1">
        <f t="shared" si="227"/>
        <v>1</v>
      </c>
    </row>
    <row r="4847" spans="1:9" hidden="1" x14ac:dyDescent="0.2">
      <c r="A4847" s="6">
        <v>44109.708333333336</v>
      </c>
      <c r="B4847" s="1" t="s">
        <v>25</v>
      </c>
      <c r="C4847">
        <v>182</v>
      </c>
      <c r="D4847">
        <v>20</v>
      </c>
      <c r="E4847">
        <v>2194</v>
      </c>
      <c r="F4847">
        <v>28854</v>
      </c>
      <c r="G4847" s="3">
        <f t="shared" si="225"/>
        <v>230</v>
      </c>
      <c r="H4847" s="4">
        <f t="shared" si="226"/>
        <v>7.9711651764053926E-3</v>
      </c>
      <c r="I4847" s="1">
        <f t="shared" si="227"/>
        <v>0</v>
      </c>
    </row>
    <row r="4848" spans="1:9" hidden="1" x14ac:dyDescent="0.2">
      <c r="A4848" s="6">
        <v>44110.708333333336</v>
      </c>
      <c r="B4848" s="1" t="s">
        <v>25</v>
      </c>
      <c r="C4848">
        <v>208</v>
      </c>
      <c r="D4848">
        <v>15</v>
      </c>
      <c r="E4848">
        <v>2198</v>
      </c>
      <c r="F4848">
        <v>29043</v>
      </c>
      <c r="G4848" s="3">
        <f t="shared" si="225"/>
        <v>189</v>
      </c>
      <c r="H4848" s="4">
        <f t="shared" si="226"/>
        <v>6.5075921908893664E-3</v>
      </c>
      <c r="I4848" s="1">
        <f t="shared" si="227"/>
        <v>4</v>
      </c>
    </row>
    <row r="4849" spans="1:9" hidden="1" x14ac:dyDescent="0.2">
      <c r="A4849" s="6">
        <v>44111.708333333336</v>
      </c>
      <c r="B4849" s="1" t="s">
        <v>25</v>
      </c>
      <c r="C4849">
        <v>214</v>
      </c>
      <c r="D4849">
        <v>16</v>
      </c>
      <c r="E4849">
        <v>2200</v>
      </c>
      <c r="F4849">
        <v>29418</v>
      </c>
      <c r="G4849" s="3">
        <f t="shared" si="225"/>
        <v>375</v>
      </c>
      <c r="H4849" s="4">
        <f t="shared" si="226"/>
        <v>1.2747297572914595E-2</v>
      </c>
      <c r="I4849" s="1">
        <f t="shared" si="227"/>
        <v>2</v>
      </c>
    </row>
    <row r="4850" spans="1:9" hidden="1" x14ac:dyDescent="0.2">
      <c r="A4850" s="6">
        <v>44112.708333333336</v>
      </c>
      <c r="B4850" s="1" t="s">
        <v>25</v>
      </c>
      <c r="C4850">
        <v>213</v>
      </c>
      <c r="D4850">
        <v>19</v>
      </c>
      <c r="E4850">
        <v>2206</v>
      </c>
      <c r="F4850">
        <v>29909</v>
      </c>
      <c r="G4850" s="3">
        <f t="shared" si="225"/>
        <v>491</v>
      </c>
      <c r="H4850" s="4">
        <f t="shared" si="226"/>
        <v>1.6416463271924808E-2</v>
      </c>
      <c r="I4850" s="1">
        <f t="shared" si="227"/>
        <v>6</v>
      </c>
    </row>
    <row r="4851" spans="1:9" hidden="1" x14ac:dyDescent="0.2">
      <c r="A4851" s="6">
        <v>44113.708333333336</v>
      </c>
      <c r="B4851" s="1" t="s">
        <v>25</v>
      </c>
      <c r="C4851">
        <v>208</v>
      </c>
      <c r="D4851">
        <v>21</v>
      </c>
      <c r="E4851">
        <v>2209</v>
      </c>
      <c r="F4851">
        <v>30504</v>
      </c>
      <c r="G4851" s="3">
        <f t="shared" si="225"/>
        <v>595</v>
      </c>
      <c r="H4851" s="4">
        <f t="shared" si="226"/>
        <v>1.9505638604773168E-2</v>
      </c>
      <c r="I4851" s="1">
        <f t="shared" si="227"/>
        <v>3</v>
      </c>
    </row>
    <row r="4852" spans="1:9" hidden="1" x14ac:dyDescent="0.2">
      <c r="A4852" s="6">
        <v>44114.708333333336</v>
      </c>
      <c r="B4852" s="1" t="s">
        <v>25</v>
      </c>
      <c r="C4852">
        <v>231</v>
      </c>
      <c r="D4852">
        <v>20</v>
      </c>
      <c r="E4852">
        <v>2216</v>
      </c>
      <c r="F4852">
        <v>31065</v>
      </c>
      <c r="G4852" s="3">
        <f t="shared" si="225"/>
        <v>561</v>
      </c>
      <c r="H4852" s="4">
        <f t="shared" si="226"/>
        <v>1.8058908739739254E-2</v>
      </c>
      <c r="I4852" s="1">
        <f t="shared" si="227"/>
        <v>7</v>
      </c>
    </row>
    <row r="4853" spans="1:9" hidden="1" x14ac:dyDescent="0.2">
      <c r="A4853" s="6">
        <v>44115.708333333336</v>
      </c>
      <c r="B4853" s="1" t="s">
        <v>25</v>
      </c>
      <c r="C4853">
        <v>238</v>
      </c>
      <c r="D4853">
        <v>24</v>
      </c>
      <c r="E4853">
        <v>2218</v>
      </c>
      <c r="F4853">
        <v>31503</v>
      </c>
      <c r="G4853" s="3">
        <f t="shared" si="225"/>
        <v>438</v>
      </c>
      <c r="H4853" s="4">
        <f t="shared" si="226"/>
        <v>1.390343776783165E-2</v>
      </c>
      <c r="I4853" s="1">
        <f t="shared" si="227"/>
        <v>2</v>
      </c>
    </row>
  </sheetData>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4F120-60E9-49D9-9D86-0197FF11CE00}">
  <sheetPr codeName="Sheet2"/>
  <dimension ref="A1:O50"/>
  <sheetViews>
    <sheetView zoomScale="70" zoomScaleNormal="70" workbookViewId="0">
      <selection activeCell="AG32" sqref="AG32"/>
    </sheetView>
  </sheetViews>
  <sheetFormatPr baseColWidth="10" defaultColWidth="8.83203125" defaultRowHeight="15" x14ac:dyDescent="0.2"/>
  <cols>
    <col min="1" max="1" width="23.5" customWidth="1"/>
    <col min="2" max="2" width="20.5" bestFit="1" customWidth="1"/>
    <col min="3" max="3" width="18.83203125" bestFit="1" customWidth="1"/>
    <col min="4" max="4" width="14.1640625" bestFit="1" customWidth="1"/>
    <col min="5" max="5" width="16.6640625" bestFit="1" customWidth="1"/>
    <col min="6" max="6" width="25.5" bestFit="1" customWidth="1"/>
    <col min="7" max="7" width="25.33203125" bestFit="1" customWidth="1"/>
    <col min="8" max="8" width="9" bestFit="1" customWidth="1"/>
    <col min="9" max="9" width="11.1640625" bestFit="1" customWidth="1"/>
    <col min="10" max="10" width="8.5" bestFit="1" customWidth="1"/>
    <col min="11" max="11" width="19" customWidth="1"/>
  </cols>
  <sheetData>
    <row r="1" spans="1:14" x14ac:dyDescent="0.2">
      <c r="B1" t="s">
        <v>54</v>
      </c>
      <c r="C1" t="s">
        <v>53</v>
      </c>
      <c r="D1" t="s">
        <v>55</v>
      </c>
      <c r="E1" t="s">
        <v>56</v>
      </c>
      <c r="F1" t="s">
        <v>57</v>
      </c>
      <c r="G1" t="s">
        <v>58</v>
      </c>
      <c r="H1" t="s">
        <v>59</v>
      </c>
      <c r="I1" t="s">
        <v>66</v>
      </c>
      <c r="J1" t="s">
        <v>60</v>
      </c>
      <c r="K1" t="s">
        <v>61</v>
      </c>
      <c r="L1" t="s">
        <v>51</v>
      </c>
      <c r="M1" t="s">
        <v>62</v>
      </c>
      <c r="N1" t="s">
        <v>63</v>
      </c>
    </row>
    <row r="2" spans="1:14" x14ac:dyDescent="0.2">
      <c r="A2" t="s">
        <v>1</v>
      </c>
      <c r="B2" t="s">
        <v>26</v>
      </c>
      <c r="C2" t="s">
        <v>3</v>
      </c>
      <c r="D2" t="s">
        <v>27</v>
      </c>
      <c r="E2" t="s">
        <v>28</v>
      </c>
      <c r="F2" t="s">
        <v>29</v>
      </c>
      <c r="G2" t="s">
        <v>30</v>
      </c>
      <c r="H2" t="s">
        <v>31</v>
      </c>
      <c r="I2" t="s">
        <v>4</v>
      </c>
      <c r="J2" t="s">
        <v>32</v>
      </c>
      <c r="K2" t="s">
        <v>33</v>
      </c>
    </row>
    <row r="3" spans="1:14" x14ac:dyDescent="0.2">
      <c r="A3" s="1" t="s">
        <v>6</v>
      </c>
      <c r="B3">
        <v>137</v>
      </c>
      <c r="C3">
        <v>11</v>
      </c>
      <c r="D3">
        <v>148</v>
      </c>
      <c r="E3">
        <v>1384</v>
      </c>
      <c r="F3">
        <v>1532</v>
      </c>
      <c r="G3">
        <v>117</v>
      </c>
      <c r="H3">
        <v>3154</v>
      </c>
      <c r="I3">
        <v>488</v>
      </c>
      <c r="J3">
        <v>5174</v>
      </c>
      <c r="K3">
        <v>225647</v>
      </c>
    </row>
    <row r="4" spans="1:14" x14ac:dyDescent="0.2">
      <c r="A4" s="1" t="s">
        <v>7</v>
      </c>
      <c r="B4">
        <v>36</v>
      </c>
      <c r="C4">
        <v>0</v>
      </c>
      <c r="D4">
        <v>36</v>
      </c>
      <c r="E4">
        <v>459</v>
      </c>
      <c r="F4">
        <v>495</v>
      </c>
      <c r="G4">
        <v>11</v>
      </c>
      <c r="H4">
        <v>528</v>
      </c>
      <c r="I4">
        <v>35</v>
      </c>
      <c r="J4">
        <v>1058</v>
      </c>
      <c r="K4">
        <v>82280</v>
      </c>
    </row>
    <row r="5" spans="1:14" x14ac:dyDescent="0.2">
      <c r="A5" s="1" t="s">
        <v>8</v>
      </c>
      <c r="B5">
        <v>42</v>
      </c>
      <c r="C5">
        <v>1</v>
      </c>
      <c r="D5">
        <v>43</v>
      </c>
      <c r="E5">
        <v>730</v>
      </c>
      <c r="F5">
        <v>773</v>
      </c>
      <c r="G5">
        <v>53</v>
      </c>
      <c r="H5">
        <v>1467</v>
      </c>
      <c r="I5">
        <v>104</v>
      </c>
      <c r="J5">
        <v>2344</v>
      </c>
      <c r="K5">
        <v>223860</v>
      </c>
    </row>
    <row r="6" spans="1:14" x14ac:dyDescent="0.2">
      <c r="A6" s="1" t="s">
        <v>9</v>
      </c>
      <c r="B6">
        <v>685</v>
      </c>
      <c r="C6">
        <v>64</v>
      </c>
      <c r="D6">
        <v>749</v>
      </c>
      <c r="E6">
        <v>10477</v>
      </c>
      <c r="F6">
        <v>11226</v>
      </c>
      <c r="G6">
        <v>662</v>
      </c>
      <c r="H6">
        <v>7487</v>
      </c>
      <c r="I6">
        <v>479</v>
      </c>
      <c r="J6">
        <v>19192</v>
      </c>
      <c r="K6">
        <v>690109</v>
      </c>
    </row>
    <row r="7" spans="1:14" x14ac:dyDescent="0.2">
      <c r="A7" s="1" t="s">
        <v>77</v>
      </c>
      <c r="B7">
        <v>284</v>
      </c>
      <c r="C7">
        <v>25</v>
      </c>
      <c r="D7">
        <v>309</v>
      </c>
      <c r="E7">
        <v>6364</v>
      </c>
      <c r="F7">
        <v>6673</v>
      </c>
      <c r="G7">
        <v>337</v>
      </c>
      <c r="H7">
        <v>26849</v>
      </c>
      <c r="I7">
        <v>4496</v>
      </c>
      <c r="J7">
        <v>38018</v>
      </c>
      <c r="K7">
        <v>1297651</v>
      </c>
    </row>
    <row r="8" spans="1:14" x14ac:dyDescent="0.2">
      <c r="A8" s="1" t="s">
        <v>10</v>
      </c>
      <c r="B8">
        <v>22</v>
      </c>
      <c r="C8">
        <v>5</v>
      </c>
      <c r="D8">
        <v>27</v>
      </c>
      <c r="E8">
        <v>1345</v>
      </c>
      <c r="F8">
        <v>1372</v>
      </c>
      <c r="G8">
        <v>59</v>
      </c>
      <c r="H8">
        <v>3844</v>
      </c>
      <c r="I8">
        <v>356</v>
      </c>
      <c r="J8">
        <v>5572</v>
      </c>
      <c r="K8">
        <v>451336</v>
      </c>
    </row>
    <row r="9" spans="1:14" x14ac:dyDescent="0.2">
      <c r="A9" s="1" t="s">
        <v>11</v>
      </c>
      <c r="B9">
        <v>927</v>
      </c>
      <c r="C9">
        <v>78</v>
      </c>
      <c r="D9">
        <v>1005</v>
      </c>
      <c r="E9">
        <v>9117</v>
      </c>
      <c r="F9">
        <v>10122</v>
      </c>
      <c r="G9">
        <v>395</v>
      </c>
      <c r="H9">
        <v>9179</v>
      </c>
      <c r="I9">
        <v>984</v>
      </c>
      <c r="J9">
        <v>20285</v>
      </c>
      <c r="K9">
        <v>1029316</v>
      </c>
    </row>
    <row r="10" spans="1:14" x14ac:dyDescent="0.2">
      <c r="A10" s="1" t="s">
        <v>12</v>
      </c>
      <c r="B10">
        <v>261</v>
      </c>
      <c r="C10">
        <v>24</v>
      </c>
      <c r="D10">
        <v>285</v>
      </c>
      <c r="E10">
        <v>2456</v>
      </c>
      <c r="F10">
        <v>2741</v>
      </c>
      <c r="G10">
        <v>186</v>
      </c>
      <c r="H10">
        <v>11093</v>
      </c>
      <c r="I10">
        <v>1621</v>
      </c>
      <c r="J10">
        <v>15455</v>
      </c>
      <c r="K10">
        <v>349066</v>
      </c>
    </row>
    <row r="11" spans="1:14" x14ac:dyDescent="0.2">
      <c r="A11" s="1" t="s">
        <v>13</v>
      </c>
      <c r="B11">
        <v>463</v>
      </c>
      <c r="C11">
        <v>50</v>
      </c>
      <c r="D11">
        <v>513</v>
      </c>
      <c r="E11">
        <v>12866</v>
      </c>
      <c r="F11">
        <v>13379</v>
      </c>
      <c r="G11">
        <v>696</v>
      </c>
      <c r="H11">
        <v>83353</v>
      </c>
      <c r="I11">
        <v>16988</v>
      </c>
      <c r="J11">
        <v>113720</v>
      </c>
      <c r="K11">
        <v>2332922</v>
      </c>
    </row>
    <row r="12" spans="1:14" x14ac:dyDescent="0.2">
      <c r="A12" s="1" t="s">
        <v>14</v>
      </c>
      <c r="B12">
        <v>50</v>
      </c>
      <c r="C12">
        <v>5</v>
      </c>
      <c r="D12">
        <v>55</v>
      </c>
      <c r="E12">
        <v>1274</v>
      </c>
      <c r="F12">
        <v>1329</v>
      </c>
      <c r="G12">
        <v>37</v>
      </c>
      <c r="H12">
        <v>6309</v>
      </c>
      <c r="I12">
        <v>992</v>
      </c>
      <c r="J12">
        <v>8630</v>
      </c>
      <c r="K12">
        <v>269232</v>
      </c>
    </row>
    <row r="13" spans="1:14" x14ac:dyDescent="0.2">
      <c r="A13" s="1" t="s">
        <v>15</v>
      </c>
      <c r="B13">
        <v>9</v>
      </c>
      <c r="C13">
        <v>0</v>
      </c>
      <c r="D13">
        <v>9</v>
      </c>
      <c r="E13">
        <v>155</v>
      </c>
      <c r="F13">
        <v>164</v>
      </c>
      <c r="G13">
        <v>7</v>
      </c>
      <c r="H13">
        <v>556</v>
      </c>
      <c r="I13">
        <v>26</v>
      </c>
      <c r="J13">
        <v>746</v>
      </c>
      <c r="K13">
        <v>48601</v>
      </c>
    </row>
    <row r="14" spans="1:14" x14ac:dyDescent="0.2">
      <c r="A14" s="1" t="s">
        <v>16</v>
      </c>
      <c r="B14">
        <v>42</v>
      </c>
      <c r="C14">
        <v>2</v>
      </c>
      <c r="D14">
        <v>44</v>
      </c>
      <c r="E14">
        <v>929</v>
      </c>
      <c r="F14">
        <v>973</v>
      </c>
      <c r="G14">
        <v>45</v>
      </c>
      <c r="H14">
        <v>2843</v>
      </c>
      <c r="I14">
        <v>293</v>
      </c>
      <c r="J14">
        <v>4109</v>
      </c>
      <c r="K14">
        <v>193891</v>
      </c>
    </row>
    <row r="15" spans="1:14" x14ac:dyDescent="0.2">
      <c r="A15" s="1" t="s">
        <v>17</v>
      </c>
      <c r="B15">
        <v>19</v>
      </c>
      <c r="C15">
        <v>0</v>
      </c>
      <c r="D15">
        <v>19</v>
      </c>
      <c r="E15">
        <v>661</v>
      </c>
      <c r="F15">
        <v>680</v>
      </c>
      <c r="G15">
        <v>2</v>
      </c>
      <c r="H15">
        <v>5396</v>
      </c>
      <c r="I15">
        <v>409</v>
      </c>
      <c r="J15">
        <v>6485</v>
      </c>
      <c r="K15">
        <v>250412</v>
      </c>
    </row>
    <row r="16" spans="1:14" x14ac:dyDescent="0.2">
      <c r="A16" s="1" t="s">
        <v>18</v>
      </c>
      <c r="B16">
        <v>457</v>
      </c>
      <c r="C16">
        <v>22</v>
      </c>
      <c r="D16">
        <v>479</v>
      </c>
      <c r="E16">
        <v>4984</v>
      </c>
      <c r="F16">
        <v>5463</v>
      </c>
      <c r="G16">
        <v>454</v>
      </c>
      <c r="H16">
        <v>29314</v>
      </c>
      <c r="I16">
        <v>4180</v>
      </c>
      <c r="J16">
        <v>38957</v>
      </c>
      <c r="K16">
        <v>799421</v>
      </c>
    </row>
    <row r="17" spans="1:15" x14ac:dyDescent="0.2">
      <c r="A17" s="1" t="s">
        <v>19</v>
      </c>
      <c r="B17">
        <v>307</v>
      </c>
      <c r="C17">
        <v>19</v>
      </c>
      <c r="D17">
        <v>326</v>
      </c>
      <c r="E17">
        <v>3587</v>
      </c>
      <c r="F17">
        <v>3913</v>
      </c>
      <c r="G17">
        <v>157</v>
      </c>
      <c r="H17">
        <v>5142</v>
      </c>
      <c r="I17">
        <v>614</v>
      </c>
      <c r="J17">
        <v>9669</v>
      </c>
      <c r="K17">
        <v>456383</v>
      </c>
    </row>
    <row r="18" spans="1:15" x14ac:dyDescent="0.2">
      <c r="A18" s="1" t="s">
        <v>20</v>
      </c>
      <c r="B18">
        <v>157</v>
      </c>
      <c r="C18">
        <v>23</v>
      </c>
      <c r="D18">
        <v>180</v>
      </c>
      <c r="E18">
        <v>2679</v>
      </c>
      <c r="F18">
        <v>2859</v>
      </c>
      <c r="G18">
        <v>129</v>
      </c>
      <c r="H18">
        <v>2113</v>
      </c>
      <c r="I18">
        <v>166</v>
      </c>
      <c r="J18">
        <v>5138</v>
      </c>
      <c r="K18">
        <v>214037</v>
      </c>
    </row>
    <row r="19" spans="1:15" x14ac:dyDescent="0.2">
      <c r="A19" s="1" t="s">
        <v>21</v>
      </c>
      <c r="B19">
        <v>404</v>
      </c>
      <c r="C19">
        <v>42</v>
      </c>
      <c r="D19">
        <v>446</v>
      </c>
      <c r="E19">
        <v>4236</v>
      </c>
      <c r="F19">
        <v>4682</v>
      </c>
      <c r="G19">
        <v>298</v>
      </c>
      <c r="H19">
        <v>4571</v>
      </c>
      <c r="I19">
        <v>339</v>
      </c>
      <c r="J19">
        <v>9592</v>
      </c>
      <c r="K19">
        <v>552826</v>
      </c>
    </row>
    <row r="20" spans="1:15" x14ac:dyDescent="0.2">
      <c r="A20" s="1" t="s">
        <v>22</v>
      </c>
      <c r="B20">
        <v>205</v>
      </c>
      <c r="C20">
        <v>40</v>
      </c>
      <c r="D20">
        <v>245</v>
      </c>
      <c r="E20">
        <v>6259</v>
      </c>
      <c r="F20">
        <v>6504</v>
      </c>
      <c r="G20">
        <v>466</v>
      </c>
      <c r="H20">
        <v>10942</v>
      </c>
      <c r="I20">
        <v>1180</v>
      </c>
      <c r="J20">
        <v>18626</v>
      </c>
      <c r="K20">
        <v>848466</v>
      </c>
    </row>
    <row r="21" spans="1:15" x14ac:dyDescent="0.2">
      <c r="A21" s="1" t="s">
        <v>23</v>
      </c>
      <c r="B21">
        <v>61</v>
      </c>
      <c r="C21">
        <v>9</v>
      </c>
      <c r="D21">
        <v>70</v>
      </c>
      <c r="E21">
        <v>1300</v>
      </c>
      <c r="F21">
        <v>1370</v>
      </c>
      <c r="G21">
        <v>148</v>
      </c>
      <c r="H21">
        <v>2012</v>
      </c>
      <c r="I21">
        <v>90</v>
      </c>
      <c r="J21">
        <v>3472</v>
      </c>
      <c r="K21">
        <v>233252</v>
      </c>
    </row>
    <row r="22" spans="1:15" x14ac:dyDescent="0.2">
      <c r="A22" s="1" t="s">
        <v>24</v>
      </c>
      <c r="B22">
        <v>9</v>
      </c>
      <c r="C22">
        <v>3</v>
      </c>
      <c r="D22">
        <v>12</v>
      </c>
      <c r="E22">
        <v>213</v>
      </c>
      <c r="F22">
        <v>225</v>
      </c>
      <c r="G22">
        <v>32</v>
      </c>
      <c r="H22">
        <v>1125</v>
      </c>
      <c r="I22">
        <v>146</v>
      </c>
      <c r="J22">
        <v>1496</v>
      </c>
      <c r="K22">
        <v>31492</v>
      </c>
    </row>
    <row r="23" spans="1:15" x14ac:dyDescent="0.2">
      <c r="A23" s="1" t="s">
        <v>25</v>
      </c>
      <c r="B23">
        <v>244</v>
      </c>
      <c r="C23">
        <v>29</v>
      </c>
      <c r="D23">
        <v>273</v>
      </c>
      <c r="E23">
        <v>6016</v>
      </c>
      <c r="F23">
        <v>6289</v>
      </c>
      <c r="G23">
        <v>328</v>
      </c>
      <c r="H23">
        <v>23323</v>
      </c>
      <c r="I23">
        <v>2219</v>
      </c>
      <c r="J23">
        <v>31831</v>
      </c>
      <c r="K23">
        <v>2069955</v>
      </c>
    </row>
    <row r="25" spans="1:15" x14ac:dyDescent="0.2">
      <c r="N25">
        <f>SUM(picture_by_region[totale_positivi_alla_data])</f>
        <v>82764</v>
      </c>
      <c r="O25">
        <f>SUM(picture_by_region[totale])</f>
        <v>359569</v>
      </c>
    </row>
    <row r="28" spans="1:15" x14ac:dyDescent="0.2">
      <c r="A28" t="s">
        <v>129</v>
      </c>
      <c r="B28" t="s">
        <v>246</v>
      </c>
      <c r="C28" t="s">
        <v>247</v>
      </c>
      <c r="D28" t="s">
        <v>251</v>
      </c>
      <c r="E28" t="s">
        <v>249</v>
      </c>
      <c r="F28" t="s">
        <v>252</v>
      </c>
      <c r="G28" t="s">
        <v>250</v>
      </c>
    </row>
    <row r="29" spans="1:15" x14ac:dyDescent="0.2">
      <c r="A29" t="str">
        <f>morti_per_regione!A17</f>
        <v>Abruzzo</v>
      </c>
      <c r="B29">
        <f>pop_by_region!D17</f>
        <v>1305770</v>
      </c>
      <c r="C29">
        <f>morti_per_regione!D17</f>
        <v>14680</v>
      </c>
      <c r="D29">
        <f t="shared" ref="D29:D50" si="0">(C29/B29)*100</f>
        <v>1.1242408693720947</v>
      </c>
      <c r="E29">
        <f>I3</f>
        <v>488</v>
      </c>
      <c r="F29">
        <f>(E29/B29)*100</f>
        <v>3.7372584758418405E-2</v>
      </c>
      <c r="G29">
        <f>(E29/C29)*100</f>
        <v>3.3242506811989099</v>
      </c>
    </row>
    <row r="30" spans="1:15" x14ac:dyDescent="0.2">
      <c r="A30" t="str">
        <f>morti_per_regione!A21</f>
        <v>Basilicata</v>
      </c>
      <c r="B30">
        <f>pop_by_region!D21</f>
        <v>556934</v>
      </c>
      <c r="C30">
        <f>morti_per_regione!D21</f>
        <v>6251</v>
      </c>
      <c r="D30">
        <f t="shared" si="0"/>
        <v>1.1223951132450165</v>
      </c>
      <c r="E30">
        <f t="shared" ref="E30:E46" si="1">I4</f>
        <v>35</v>
      </c>
      <c r="F30">
        <f t="shared" ref="F30:F50" si="2">(E30/B30)*100</f>
        <v>6.2844071290314467E-3</v>
      </c>
      <c r="G30">
        <f t="shared" ref="G30:G50" si="3">(E30/C30)*100</f>
        <v>0.55991041433370659</v>
      </c>
    </row>
    <row r="31" spans="1:15" x14ac:dyDescent="0.2">
      <c r="A31" t="str">
        <f>morti_per_regione!A22</f>
        <v>Calabria</v>
      </c>
      <c r="B31">
        <f>pop_by_region!D22</f>
        <v>1924701</v>
      </c>
      <c r="C31">
        <f>morti_per_regione!D22</f>
        <v>19756</v>
      </c>
      <c r="D31">
        <f t="shared" si="0"/>
        <v>1.0264451465448399</v>
      </c>
      <c r="E31">
        <f t="shared" si="1"/>
        <v>104</v>
      </c>
      <c r="F31">
        <f t="shared" si="2"/>
        <v>5.4034366896468598E-3</v>
      </c>
      <c r="G31">
        <f t="shared" si="3"/>
        <v>0.52642235270297633</v>
      </c>
    </row>
    <row r="32" spans="1:15" x14ac:dyDescent="0.2">
      <c r="A32" t="str">
        <f>morti_per_regione!A19</f>
        <v>Campania</v>
      </c>
      <c r="B32">
        <f>pop_by_region!D19</f>
        <v>5785861</v>
      </c>
      <c r="C32">
        <f>morti_per_regione!D19</f>
        <v>53740</v>
      </c>
      <c r="D32">
        <f t="shared" si="0"/>
        <v>0.92881595323496369</v>
      </c>
      <c r="E32">
        <f t="shared" si="1"/>
        <v>479</v>
      </c>
      <c r="F32">
        <f t="shared" si="2"/>
        <v>8.2788024116030451E-3</v>
      </c>
      <c r="G32">
        <f t="shared" si="3"/>
        <v>0.89132861927800522</v>
      </c>
    </row>
    <row r="33" spans="1:7" x14ac:dyDescent="0.2">
      <c r="A33" t="str">
        <f>morti_per_regione!A12</f>
        <v>Emilia-Romagna</v>
      </c>
      <c r="B33">
        <f>pop_by_region!D12</f>
        <v>4467118</v>
      </c>
      <c r="C33">
        <f>morti_per_regione!D12</f>
        <v>49811</v>
      </c>
      <c r="D33">
        <f t="shared" si="0"/>
        <v>1.1150589709069696</v>
      </c>
      <c r="E33">
        <f t="shared" si="1"/>
        <v>4496</v>
      </c>
      <c r="F33">
        <f t="shared" si="2"/>
        <v>0.10064654661014102</v>
      </c>
      <c r="G33">
        <f t="shared" si="3"/>
        <v>9.0261187287948452</v>
      </c>
    </row>
    <row r="34" spans="1:7" x14ac:dyDescent="0.2">
      <c r="A34" t="str">
        <f>morti_per_regione!A11</f>
        <v>Friuli-Venezia Giulia</v>
      </c>
      <c r="B34">
        <f>pop_by_region!D11</f>
        <v>1211357</v>
      </c>
      <c r="C34">
        <f>morti_per_regione!D11</f>
        <v>14476</v>
      </c>
      <c r="D34">
        <f t="shared" si="0"/>
        <v>1.1950234323985416</v>
      </c>
      <c r="E34">
        <f t="shared" si="1"/>
        <v>356</v>
      </c>
      <c r="F34">
        <f t="shared" si="2"/>
        <v>2.9388528732652717E-2</v>
      </c>
      <c r="G34">
        <f t="shared" si="3"/>
        <v>2.4592428847747998</v>
      </c>
    </row>
    <row r="35" spans="1:7" x14ac:dyDescent="0.2">
      <c r="A35" t="str">
        <f>morti_per_regione!A16</f>
        <v>Lazio</v>
      </c>
      <c r="B35">
        <f>pop_by_region!D16</f>
        <v>5865544</v>
      </c>
      <c r="C35">
        <f>morti_per_regione!D16</f>
        <v>57289</v>
      </c>
      <c r="D35">
        <f t="shared" si="0"/>
        <v>0.97670395107427377</v>
      </c>
      <c r="E35">
        <f t="shared" si="1"/>
        <v>984</v>
      </c>
      <c r="F35">
        <f t="shared" si="2"/>
        <v>1.6775937577145444E-2</v>
      </c>
      <c r="G35">
        <f t="shared" si="3"/>
        <v>1.7176072195360368</v>
      </c>
    </row>
    <row r="36" spans="1:7" x14ac:dyDescent="0.2">
      <c r="A36" t="str">
        <f>morti_per_regione!A5</f>
        <v>Liguria</v>
      </c>
      <c r="B36">
        <f>pop_by_region!D5</f>
        <v>1543127</v>
      </c>
      <c r="C36">
        <f>morti_per_regione!D5</f>
        <v>22238</v>
      </c>
      <c r="D36">
        <f t="shared" si="0"/>
        <v>1.4410997928232738</v>
      </c>
      <c r="E36">
        <f t="shared" si="1"/>
        <v>1621</v>
      </c>
      <c r="F36">
        <f t="shared" si="2"/>
        <v>0.1050464414140897</v>
      </c>
      <c r="G36">
        <f t="shared" si="3"/>
        <v>7.28932457954852</v>
      </c>
    </row>
    <row r="37" spans="1:7" x14ac:dyDescent="0.2">
      <c r="A37" t="str">
        <f>morti_per_regione!A6</f>
        <v>Lombardia</v>
      </c>
      <c r="B37">
        <f>pop_by_region!D6</f>
        <v>10103969</v>
      </c>
      <c r="C37">
        <f>morti_per_regione!D6</f>
        <v>99542</v>
      </c>
      <c r="D37">
        <f t="shared" si="0"/>
        <v>0.9851772110543886</v>
      </c>
      <c r="E37">
        <f t="shared" si="1"/>
        <v>16988</v>
      </c>
      <c r="F37">
        <f t="shared" si="2"/>
        <v>0.16813194894006503</v>
      </c>
      <c r="G37">
        <f t="shared" si="3"/>
        <v>17.066163026662114</v>
      </c>
    </row>
    <row r="38" spans="1:7" x14ac:dyDescent="0.2">
      <c r="A38" t="str">
        <f>morti_per_regione!A15</f>
        <v>Marche</v>
      </c>
      <c r="B38">
        <f>pop_by_region!D15</f>
        <v>1518400</v>
      </c>
      <c r="C38">
        <f>morti_per_regione!D15</f>
        <v>17175</v>
      </c>
      <c r="D38">
        <f t="shared" si="0"/>
        <v>1.1311248682824027</v>
      </c>
      <c r="E38">
        <f t="shared" si="1"/>
        <v>992</v>
      </c>
      <c r="F38">
        <f t="shared" si="2"/>
        <v>6.5331928345626969E-2</v>
      </c>
      <c r="G38">
        <f t="shared" si="3"/>
        <v>5.7758369723435221</v>
      </c>
    </row>
    <row r="39" spans="1:7" x14ac:dyDescent="0.2">
      <c r="A39" t="str">
        <f>morti_per_regione!A18</f>
        <v>Molise</v>
      </c>
      <c r="B39">
        <f>pop_by_region!D18</f>
        <v>302265</v>
      </c>
      <c r="C39">
        <f>morti_per_regione!D18</f>
        <v>3703</v>
      </c>
      <c r="D39">
        <f t="shared" si="0"/>
        <v>1.2250839495144989</v>
      </c>
      <c r="E39">
        <f t="shared" si="1"/>
        <v>26</v>
      </c>
      <c r="F39">
        <f t="shared" si="2"/>
        <v>8.6017236530858687E-3</v>
      </c>
      <c r="G39">
        <f t="shared" si="3"/>
        <v>0.70213340534701596</v>
      </c>
    </row>
    <row r="40" spans="1:7" x14ac:dyDescent="0.2">
      <c r="A40" s="20" t="s">
        <v>16</v>
      </c>
      <c r="B40">
        <f>pop_by_region!D8</f>
        <v>532080</v>
      </c>
      <c r="C40">
        <f>morti_per_regione!D8</f>
        <v>4397</v>
      </c>
      <c r="D40">
        <f t="shared" si="0"/>
        <v>0.82637949180574355</v>
      </c>
      <c r="E40">
        <f t="shared" si="1"/>
        <v>293</v>
      </c>
      <c r="F40">
        <f t="shared" si="2"/>
        <v>5.5066907231995185E-2</v>
      </c>
      <c r="G40">
        <f t="shared" si="3"/>
        <v>6.6636342961109847</v>
      </c>
    </row>
    <row r="41" spans="1:7" x14ac:dyDescent="0.2">
      <c r="A41" s="19" t="s">
        <v>17</v>
      </c>
      <c r="B41">
        <f>pop_by_region!D9</f>
        <v>542739</v>
      </c>
      <c r="C41">
        <f>morti_per_regione!D9</f>
        <v>5014</v>
      </c>
      <c r="D41">
        <f t="shared" si="0"/>
        <v>0.92383263410221117</v>
      </c>
      <c r="E41">
        <f t="shared" si="1"/>
        <v>409</v>
      </c>
      <c r="F41">
        <f t="shared" si="2"/>
        <v>7.5358505653730437E-2</v>
      </c>
      <c r="G41">
        <f t="shared" si="3"/>
        <v>8.157159952134025</v>
      </c>
    </row>
    <row r="42" spans="1:7" x14ac:dyDescent="0.2">
      <c r="A42" s="21" t="str">
        <f>morti_per_regione!A3</f>
        <v>Piemonte</v>
      </c>
      <c r="B42">
        <f>pop_by_region!D3</f>
        <v>4341375</v>
      </c>
      <c r="C42">
        <f>morti_per_regione!D3</f>
        <v>53838</v>
      </c>
      <c r="D42">
        <f t="shared" si="0"/>
        <v>1.2401140191759523</v>
      </c>
      <c r="E42">
        <f t="shared" si="1"/>
        <v>4180</v>
      </c>
      <c r="F42">
        <f t="shared" si="2"/>
        <v>9.62828596930696E-2</v>
      </c>
      <c r="G42">
        <f t="shared" si="3"/>
        <v>7.7640328392585172</v>
      </c>
    </row>
    <row r="43" spans="1:7" x14ac:dyDescent="0.2">
      <c r="A43" t="str">
        <f>morti_per_regione!A20</f>
        <v>Puglia</v>
      </c>
      <c r="B43">
        <f>pop_by_region!D20</f>
        <v>4008296</v>
      </c>
      <c r="C43">
        <f>morti_per_regione!D20</f>
        <v>38830</v>
      </c>
      <c r="D43">
        <f t="shared" si="0"/>
        <v>0.96874083151543688</v>
      </c>
      <c r="E43">
        <f t="shared" si="1"/>
        <v>614</v>
      </c>
      <c r="F43">
        <f t="shared" si="2"/>
        <v>1.5318229990998668E-2</v>
      </c>
      <c r="G43">
        <f t="shared" si="3"/>
        <v>1.5812516095802216</v>
      </c>
    </row>
    <row r="44" spans="1:7" x14ac:dyDescent="0.2">
      <c r="A44" t="str">
        <f>morti_per_regione!A24</f>
        <v>Sardegna</v>
      </c>
      <c r="B44">
        <f>pop_by_region!D24</f>
        <v>1630474</v>
      </c>
      <c r="C44">
        <f>morti_per_regione!D24</f>
        <v>16277</v>
      </c>
      <c r="D44">
        <f t="shared" si="0"/>
        <v>0.99829865425636966</v>
      </c>
      <c r="E44">
        <f t="shared" si="1"/>
        <v>166</v>
      </c>
      <c r="F44">
        <f t="shared" si="2"/>
        <v>1.0181088444219288E-2</v>
      </c>
      <c r="G44">
        <f t="shared" si="3"/>
        <v>1.0198439515881306</v>
      </c>
    </row>
    <row r="45" spans="1:7" x14ac:dyDescent="0.2">
      <c r="A45" t="str">
        <f>morti_per_regione!A23</f>
        <v>Sicilia</v>
      </c>
      <c r="B45">
        <f>pop_by_region!D23</f>
        <v>4968410</v>
      </c>
      <c r="C45">
        <f>morti_per_regione!D23</f>
        <v>51983</v>
      </c>
      <c r="D45">
        <f t="shared" si="0"/>
        <v>1.0462703359827388</v>
      </c>
      <c r="E45">
        <f t="shared" si="1"/>
        <v>339</v>
      </c>
      <c r="F45">
        <f t="shared" si="2"/>
        <v>6.8231083988640221E-3</v>
      </c>
      <c r="G45">
        <f t="shared" si="3"/>
        <v>0.65213627532077789</v>
      </c>
    </row>
    <row r="46" spans="1:7" x14ac:dyDescent="0.2">
      <c r="A46" t="str">
        <f>morti_per_regione!A13</f>
        <v>Toscana</v>
      </c>
      <c r="B46">
        <f>pop_by_region!D13</f>
        <v>3722729</v>
      </c>
      <c r="C46">
        <f>morti_per_regione!D13</f>
        <v>43442</v>
      </c>
      <c r="D46">
        <f t="shared" si="0"/>
        <v>1.1669396295029801</v>
      </c>
      <c r="E46">
        <f t="shared" si="1"/>
        <v>1180</v>
      </c>
      <c r="F46">
        <f t="shared" si="2"/>
        <v>3.1697176990320812E-2</v>
      </c>
      <c r="G46">
        <f t="shared" si="3"/>
        <v>2.7162653653146727</v>
      </c>
    </row>
    <row r="47" spans="1:7" x14ac:dyDescent="0.2">
      <c r="A47" t="str">
        <f>morti_per_regione!A7</f>
        <v>Trentino Alto Adige / Südtirol</v>
      </c>
      <c r="B47">
        <f>pop_by_region!D7</f>
        <v>1074819</v>
      </c>
      <c r="C47">
        <f>morti_per_regione!D7</f>
        <v>9411</v>
      </c>
      <c r="D47">
        <f t="shared" si="0"/>
        <v>0.87558928526570523</v>
      </c>
      <c r="E47">
        <v>0</v>
      </c>
      <c r="F47">
        <f t="shared" si="2"/>
        <v>0</v>
      </c>
      <c r="G47">
        <f t="shared" si="3"/>
        <v>0</v>
      </c>
    </row>
    <row r="48" spans="1:7" x14ac:dyDescent="0.2">
      <c r="A48" t="str">
        <f>morti_per_regione!A14</f>
        <v>Umbria</v>
      </c>
      <c r="B48">
        <f>pop_by_region!D14</f>
        <v>880285</v>
      </c>
      <c r="C48">
        <f>morti_per_regione!D14</f>
        <v>10078</v>
      </c>
      <c r="D48">
        <f t="shared" si="0"/>
        <v>1.1448564953395775</v>
      </c>
      <c r="E48">
        <f>I21</f>
        <v>90</v>
      </c>
      <c r="F48">
        <f t="shared" si="2"/>
        <v>1.0223961557904542E-2</v>
      </c>
      <c r="G48">
        <f t="shared" si="3"/>
        <v>0.8930343322087716</v>
      </c>
    </row>
    <row r="49" spans="1:7" x14ac:dyDescent="0.2">
      <c r="A49" t="str">
        <f>morti_per_regione!A4</f>
        <v>Valle d'Aosta / Vallée d'Aoste</v>
      </c>
      <c r="B49">
        <f>pop_by_region!D4</f>
        <v>125501</v>
      </c>
      <c r="C49">
        <f>morti_per_regione!D4</f>
        <v>1477</v>
      </c>
      <c r="D49">
        <f t="shared" si="0"/>
        <v>1.1768830527246794</v>
      </c>
      <c r="E49">
        <f t="shared" ref="E49:E50" si="4">I22</f>
        <v>146</v>
      </c>
      <c r="F49">
        <f t="shared" si="2"/>
        <v>0.11633373439255465</v>
      </c>
      <c r="G49">
        <f t="shared" si="3"/>
        <v>9.8849018280297898</v>
      </c>
    </row>
    <row r="50" spans="1:7" x14ac:dyDescent="0.2">
      <c r="A50" t="str">
        <f>morti_per_regione!A10</f>
        <v>Veneto</v>
      </c>
      <c r="B50">
        <f>pop_by_region!D10</f>
        <v>4907704</v>
      </c>
      <c r="C50">
        <f>morti_per_regione!D10</f>
        <v>49136</v>
      </c>
      <c r="D50">
        <f t="shared" si="0"/>
        <v>1.0012013764481313</v>
      </c>
      <c r="E50">
        <f t="shared" si="4"/>
        <v>2219</v>
      </c>
      <c r="F50">
        <f t="shared" si="2"/>
        <v>4.521462582095416E-2</v>
      </c>
      <c r="G50">
        <f t="shared" si="3"/>
        <v>4.5160371214588082</v>
      </c>
    </row>
  </sheetData>
  <sortState xmlns:xlrd2="http://schemas.microsoft.com/office/spreadsheetml/2017/richdata2" ref="A29:D50">
    <sortCondition ref="A29:A50"/>
  </sortState>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7F1FA-8AAC-4BE0-AEB7-5535F27CF41C}">
  <sheetPr codeName="Sheet3"/>
  <dimension ref="A1:AO238"/>
  <sheetViews>
    <sheetView zoomScale="77" zoomScaleNormal="77" workbookViewId="0">
      <pane ySplit="900" activePane="bottomLeft"/>
      <selection activeCell="J1" sqref="J1"/>
      <selection pane="bottomLeft" activeCell="O3" sqref="O3"/>
    </sheetView>
  </sheetViews>
  <sheetFormatPr baseColWidth="10" defaultColWidth="8.83203125" defaultRowHeight="15" x14ac:dyDescent="0.2"/>
  <cols>
    <col min="1" max="1" width="8.1640625" style="6" bestFit="1" customWidth="1"/>
    <col min="2" max="2" width="20.83203125" bestFit="1" customWidth="1"/>
    <col min="3" max="3" width="19.33203125" bestFit="1" customWidth="1"/>
    <col min="4" max="4" width="14.5" bestFit="1" customWidth="1"/>
    <col min="5" max="5" width="16.83203125" bestFit="1" customWidth="1"/>
    <col min="6" max="6" width="25.5" bestFit="1" customWidth="1"/>
    <col min="7" max="7" width="25.33203125" bestFit="1" customWidth="1"/>
    <col min="8" max="8" width="9.83203125" bestFit="1" customWidth="1"/>
    <col min="9" max="9" width="12" bestFit="1" customWidth="1"/>
    <col min="10" max="10" width="9.5" bestFit="1" customWidth="1"/>
    <col min="11" max="11" width="10.1640625" bestFit="1" customWidth="1"/>
    <col min="12" max="12" width="14.5" bestFit="1" customWidth="1"/>
    <col min="13" max="13" width="19.5" bestFit="1" customWidth="1"/>
    <col min="14" max="14" width="18.5" bestFit="1" customWidth="1"/>
    <col min="15" max="15" width="26.5" bestFit="1" customWidth="1"/>
    <col min="16" max="16" width="16.83203125" bestFit="1" customWidth="1"/>
    <col min="17" max="17" width="27.5" bestFit="1" customWidth="1"/>
    <col min="18" max="18" width="26.5" bestFit="1" customWidth="1"/>
    <col min="39" max="39" width="19.33203125" customWidth="1"/>
  </cols>
  <sheetData>
    <row r="1" spans="1:19" x14ac:dyDescent="0.2">
      <c r="B1" t="s">
        <v>54</v>
      </c>
      <c r="C1" t="s">
        <v>53</v>
      </c>
      <c r="D1" t="s">
        <v>55</v>
      </c>
      <c r="E1" t="s">
        <v>56</v>
      </c>
      <c r="F1" t="s">
        <v>57</v>
      </c>
      <c r="G1" t="s">
        <v>58</v>
      </c>
      <c r="H1" t="s">
        <v>59</v>
      </c>
      <c r="I1" t="s">
        <v>66</v>
      </c>
      <c r="J1" t="s">
        <v>60</v>
      </c>
      <c r="K1" t="s">
        <v>61</v>
      </c>
      <c r="L1" t="s">
        <v>69</v>
      </c>
      <c r="M1" t="s">
        <v>70</v>
      </c>
      <c r="S1" t="s">
        <v>63</v>
      </c>
    </row>
    <row r="2" spans="1:19" x14ac:dyDescent="0.2">
      <c r="A2" s="6" t="s">
        <v>0</v>
      </c>
      <c r="B2" t="s">
        <v>26</v>
      </c>
      <c r="C2" t="s">
        <v>3</v>
      </c>
      <c r="D2" t="s">
        <v>27</v>
      </c>
      <c r="E2" t="s">
        <v>28</v>
      </c>
      <c r="F2" t="s">
        <v>29</v>
      </c>
      <c r="G2" t="s">
        <v>30</v>
      </c>
      <c r="H2" t="s">
        <v>31</v>
      </c>
      <c r="I2" t="s">
        <v>4</v>
      </c>
      <c r="J2" t="s">
        <v>32</v>
      </c>
      <c r="K2" t="s">
        <v>33</v>
      </c>
      <c r="L2" t="s">
        <v>64</v>
      </c>
      <c r="M2" t="s">
        <v>65</v>
      </c>
      <c r="N2" t="s">
        <v>68</v>
      </c>
      <c r="O2" t="s">
        <v>71</v>
      </c>
      <c r="P2" t="s">
        <v>72</v>
      </c>
      <c r="Q2" t="s">
        <v>78</v>
      </c>
      <c r="R2" s="18" t="s">
        <v>80</v>
      </c>
    </row>
    <row r="3" spans="1:19" x14ac:dyDescent="0.2">
      <c r="A3" s="6">
        <v>43885.75</v>
      </c>
      <c r="B3">
        <v>101</v>
      </c>
      <c r="C3">
        <v>26</v>
      </c>
      <c r="D3">
        <v>127</v>
      </c>
      <c r="E3">
        <v>94</v>
      </c>
      <c r="F3">
        <v>221</v>
      </c>
      <c r="G3">
        <v>221</v>
      </c>
      <c r="H3">
        <v>1</v>
      </c>
      <c r="I3">
        <v>7</v>
      </c>
      <c r="J3">
        <v>229</v>
      </c>
      <c r="K3">
        <v>4324</v>
      </c>
      <c r="L3">
        <v>0</v>
      </c>
      <c r="M3" s="1">
        <f t="shared" ref="M3:M66" si="0">J3</f>
        <v>229</v>
      </c>
      <c r="N3" s="1">
        <v>0</v>
      </c>
      <c r="O3" s="1">
        <v>0</v>
      </c>
      <c r="P3" s="1">
        <v>0</v>
      </c>
      <c r="Q3" s="1">
        <v>0</v>
      </c>
      <c r="R3" s="18">
        <f>inhospital_tot__2[[#This Row],[nuovi_positivi_alla_data]]*(1 + $T$28)</f>
        <v>628.14144434570585</v>
      </c>
    </row>
    <row r="4" spans="1:19" x14ac:dyDescent="0.2">
      <c r="A4" s="6">
        <v>43886.75</v>
      </c>
      <c r="B4">
        <v>114</v>
      </c>
      <c r="C4">
        <v>35</v>
      </c>
      <c r="D4">
        <v>149</v>
      </c>
      <c r="E4">
        <v>162</v>
      </c>
      <c r="F4">
        <v>311</v>
      </c>
      <c r="G4">
        <v>93</v>
      </c>
      <c r="H4">
        <v>1</v>
      </c>
      <c r="I4">
        <v>10</v>
      </c>
      <c r="J4">
        <v>322</v>
      </c>
      <c r="K4">
        <v>8623</v>
      </c>
      <c r="L4">
        <f>K4-K3</f>
        <v>4299</v>
      </c>
      <c r="M4" s="1">
        <f t="shared" si="0"/>
        <v>322</v>
      </c>
      <c r="N4" s="1">
        <f>I4-I3</f>
        <v>3</v>
      </c>
      <c r="O4" s="1">
        <f>(N4/J4)*100</f>
        <v>0.93167701863354035</v>
      </c>
      <c r="P4" s="1">
        <f t="shared" ref="P4:P66" si="1">H4-H3</f>
        <v>0</v>
      </c>
      <c r="Q4" s="1">
        <f>inhospital_tot__2[[#This Row],[infected_per_day]]/inhospital_tot__2[[#This Row],[Test per day]]</f>
        <v>7.4901139799953484E-2</v>
      </c>
      <c r="R4" s="18">
        <f>inhospital_tot__2[[#This Row],[nuovi_positivi_alla_data]]*(1 + $T$28)</f>
        <v>264.33101504140564</v>
      </c>
    </row>
    <row r="5" spans="1:19" x14ac:dyDescent="0.2">
      <c r="A5" s="6">
        <v>43887.75</v>
      </c>
      <c r="B5">
        <v>128</v>
      </c>
      <c r="C5">
        <v>36</v>
      </c>
      <c r="D5">
        <v>164</v>
      </c>
      <c r="E5">
        <v>221</v>
      </c>
      <c r="F5">
        <v>385</v>
      </c>
      <c r="G5">
        <v>78</v>
      </c>
      <c r="H5">
        <v>3</v>
      </c>
      <c r="I5">
        <v>12</v>
      </c>
      <c r="J5">
        <v>400</v>
      </c>
      <c r="K5">
        <v>9587</v>
      </c>
      <c r="L5">
        <f t="shared" ref="L5:L27" si="2">K5-K4</f>
        <v>964</v>
      </c>
      <c r="M5" s="1">
        <f t="shared" si="0"/>
        <v>400</v>
      </c>
      <c r="N5" s="1">
        <f t="shared" ref="N5:N28" si="3">I5-I4</f>
        <v>2</v>
      </c>
      <c r="O5" s="1">
        <f t="shared" ref="O5:O28" si="4">(N5/J5)*100</f>
        <v>0.5</v>
      </c>
      <c r="P5" s="1">
        <f t="shared" si="1"/>
        <v>2</v>
      </c>
      <c r="Q5" s="1">
        <f>inhospital_tot__2[[#This Row],[infected_per_day]]/inhospital_tot__2[[#This Row],[Test per day]]</f>
        <v>0.41493775933609961</v>
      </c>
      <c r="R5" s="18">
        <f>inhospital_tot__2[[#This Row],[nuovi_positivi_alla_data]]*(1 + $T$28)</f>
        <v>221.69698035730795</v>
      </c>
    </row>
    <row r="6" spans="1:19" x14ac:dyDescent="0.2">
      <c r="A6" s="6">
        <v>43888.75</v>
      </c>
      <c r="B6">
        <v>248</v>
      </c>
      <c r="C6">
        <v>56</v>
      </c>
      <c r="D6">
        <v>304</v>
      </c>
      <c r="E6">
        <v>284</v>
      </c>
      <c r="F6">
        <v>588</v>
      </c>
      <c r="G6">
        <v>250</v>
      </c>
      <c r="H6">
        <v>45</v>
      </c>
      <c r="I6">
        <v>17</v>
      </c>
      <c r="J6">
        <v>650</v>
      </c>
      <c r="K6">
        <v>12014</v>
      </c>
      <c r="L6">
        <f t="shared" si="2"/>
        <v>2427</v>
      </c>
      <c r="M6" s="1">
        <f t="shared" si="0"/>
        <v>650</v>
      </c>
      <c r="N6" s="1">
        <f t="shared" si="3"/>
        <v>5</v>
      </c>
      <c r="O6" s="1">
        <f t="shared" si="4"/>
        <v>0.76923076923076927</v>
      </c>
      <c r="P6" s="1">
        <f t="shared" si="1"/>
        <v>42</v>
      </c>
      <c r="Q6" s="1">
        <f>inhospital_tot__2[[#This Row],[infected_per_day]]/inhospital_tot__2[[#This Row],[Test per day]]</f>
        <v>0.26782035434693036</v>
      </c>
      <c r="R6" s="18">
        <f>inhospital_tot__2[[#This Row],[nuovi_positivi_alla_data]]*(1 + $T$28)</f>
        <v>710.56724473496138</v>
      </c>
    </row>
    <row r="7" spans="1:19" x14ac:dyDescent="0.2">
      <c r="A7" s="6">
        <v>43889.75</v>
      </c>
      <c r="B7">
        <v>345</v>
      </c>
      <c r="C7">
        <v>64</v>
      </c>
      <c r="D7">
        <v>409</v>
      </c>
      <c r="E7">
        <v>412</v>
      </c>
      <c r="F7">
        <v>821</v>
      </c>
      <c r="G7">
        <v>238</v>
      </c>
      <c r="H7">
        <v>46</v>
      </c>
      <c r="I7">
        <v>21</v>
      </c>
      <c r="J7">
        <v>888</v>
      </c>
      <c r="K7">
        <v>15695</v>
      </c>
      <c r="L7">
        <f t="shared" si="2"/>
        <v>3681</v>
      </c>
      <c r="M7" s="1">
        <f t="shared" si="0"/>
        <v>888</v>
      </c>
      <c r="N7" s="1">
        <f t="shared" si="3"/>
        <v>4</v>
      </c>
      <c r="O7" s="1">
        <f t="shared" si="4"/>
        <v>0.45045045045045046</v>
      </c>
      <c r="P7" s="1">
        <f t="shared" si="1"/>
        <v>1</v>
      </c>
      <c r="Q7" s="1">
        <f>inhospital_tot__2[[#This Row],[infected_per_day]]/inhospital_tot__2[[#This Row],[Test per day]]</f>
        <v>0.24123879380603097</v>
      </c>
      <c r="R7" s="18">
        <f>inhospital_tot__2[[#This Row],[nuovi_positivi_alla_data]]*(1 + $T$28)</f>
        <v>676.46001698768316</v>
      </c>
    </row>
    <row r="8" spans="1:19" x14ac:dyDescent="0.2">
      <c r="A8" s="6">
        <v>43890.708333333336</v>
      </c>
      <c r="B8">
        <v>401</v>
      </c>
      <c r="C8">
        <v>105</v>
      </c>
      <c r="D8">
        <v>506</v>
      </c>
      <c r="E8">
        <v>543</v>
      </c>
      <c r="F8">
        <v>1049</v>
      </c>
      <c r="G8">
        <v>240</v>
      </c>
      <c r="H8">
        <v>50</v>
      </c>
      <c r="I8">
        <v>29</v>
      </c>
      <c r="J8">
        <v>1128</v>
      </c>
      <c r="K8">
        <v>18661</v>
      </c>
      <c r="L8">
        <f t="shared" si="2"/>
        <v>2966</v>
      </c>
      <c r="M8" s="1">
        <f t="shared" si="0"/>
        <v>1128</v>
      </c>
      <c r="N8" s="1">
        <f t="shared" si="3"/>
        <v>8</v>
      </c>
      <c r="O8" s="1">
        <f t="shared" si="4"/>
        <v>0.70921985815602839</v>
      </c>
      <c r="P8" s="1">
        <f t="shared" si="1"/>
        <v>4</v>
      </c>
      <c r="Q8" s="1">
        <f>inhospital_tot__2[[#This Row],[infected_per_day]]/inhospital_tot__2[[#This Row],[Test per day]]</f>
        <v>0.38031018206338502</v>
      </c>
      <c r="R8" s="18">
        <f>inhospital_tot__2[[#This Row],[nuovi_positivi_alla_data]]*(1 + $T$28)</f>
        <v>682.14455494556296</v>
      </c>
    </row>
    <row r="9" spans="1:19" x14ac:dyDescent="0.2">
      <c r="A9" s="6">
        <v>43891.708333333336</v>
      </c>
      <c r="B9">
        <v>639</v>
      </c>
      <c r="C9">
        <v>140</v>
      </c>
      <c r="D9">
        <v>779</v>
      </c>
      <c r="E9">
        <v>798</v>
      </c>
      <c r="F9">
        <v>1577</v>
      </c>
      <c r="G9">
        <v>566</v>
      </c>
      <c r="H9">
        <v>83</v>
      </c>
      <c r="I9">
        <v>34</v>
      </c>
      <c r="J9">
        <v>1694</v>
      </c>
      <c r="K9">
        <v>21127</v>
      </c>
      <c r="L9">
        <f t="shared" si="2"/>
        <v>2466</v>
      </c>
      <c r="M9" s="1">
        <f t="shared" si="0"/>
        <v>1694</v>
      </c>
      <c r="N9" s="1">
        <f t="shared" si="3"/>
        <v>5</v>
      </c>
      <c r="O9" s="1">
        <f t="shared" si="4"/>
        <v>0.29515938606847697</v>
      </c>
      <c r="P9" s="1">
        <f t="shared" si="1"/>
        <v>33</v>
      </c>
      <c r="Q9" s="1">
        <f>inhospital_tot__2[[#This Row],[infected_per_day]]/inhospital_tot__2[[#This Row],[Test per day]]</f>
        <v>0.68694241686942414</v>
      </c>
      <c r="R9" s="18">
        <f>inhospital_tot__2[[#This Row],[nuovi_positivi_alla_data]]*(1 + $T$28)</f>
        <v>1608.7242420799525</v>
      </c>
    </row>
    <row r="10" spans="1:19" x14ac:dyDescent="0.2">
      <c r="A10" s="6">
        <v>43892.75</v>
      </c>
      <c r="B10">
        <v>742</v>
      </c>
      <c r="C10">
        <v>166</v>
      </c>
      <c r="D10">
        <v>908</v>
      </c>
      <c r="E10">
        <v>927</v>
      </c>
      <c r="F10">
        <v>1835</v>
      </c>
      <c r="G10">
        <v>342</v>
      </c>
      <c r="H10">
        <v>149</v>
      </c>
      <c r="I10">
        <v>52</v>
      </c>
      <c r="J10">
        <v>2036</v>
      </c>
      <c r="K10">
        <v>23345</v>
      </c>
      <c r="L10">
        <f t="shared" si="2"/>
        <v>2218</v>
      </c>
      <c r="M10" s="1">
        <f t="shared" si="0"/>
        <v>2036</v>
      </c>
      <c r="N10" s="1">
        <f t="shared" si="3"/>
        <v>18</v>
      </c>
      <c r="O10" s="1">
        <f t="shared" si="4"/>
        <v>0.88408644400785852</v>
      </c>
      <c r="P10" s="1">
        <f t="shared" si="1"/>
        <v>66</v>
      </c>
      <c r="Q10" s="1">
        <f>inhospital_tot__2[[#This Row],[infected_per_day]]/inhospital_tot__2[[#This Row],[Test per day]]</f>
        <v>0.91794409377817854</v>
      </c>
      <c r="R10" s="18">
        <f>inhospital_tot__2[[#This Row],[nuovi_positivi_alla_data]]*(1 + $T$28)</f>
        <v>972.05599079742717</v>
      </c>
    </row>
    <row r="11" spans="1:19" x14ac:dyDescent="0.2">
      <c r="A11" s="6">
        <v>43893.75</v>
      </c>
      <c r="B11">
        <v>1034</v>
      </c>
      <c r="C11">
        <v>229</v>
      </c>
      <c r="D11">
        <v>1263</v>
      </c>
      <c r="E11">
        <v>1000</v>
      </c>
      <c r="F11">
        <v>2263</v>
      </c>
      <c r="G11">
        <v>466</v>
      </c>
      <c r="H11">
        <v>160</v>
      </c>
      <c r="I11">
        <v>79</v>
      </c>
      <c r="J11">
        <v>2502</v>
      </c>
      <c r="K11">
        <v>25856</v>
      </c>
      <c r="L11">
        <f t="shared" si="2"/>
        <v>2511</v>
      </c>
      <c r="M11" s="1">
        <f t="shared" si="0"/>
        <v>2502</v>
      </c>
      <c r="N11" s="1">
        <f t="shared" si="3"/>
        <v>27</v>
      </c>
      <c r="O11" s="1">
        <f t="shared" si="4"/>
        <v>1.079136690647482</v>
      </c>
      <c r="P11" s="1">
        <f t="shared" si="1"/>
        <v>11</v>
      </c>
      <c r="Q11" s="1">
        <f>inhospital_tot__2[[#This Row],[infected_per_day]]/inhospital_tot__2[[#This Row],[Test per day]]</f>
        <v>0.99641577060931896</v>
      </c>
      <c r="R11" s="18">
        <f>inhospital_tot__2[[#This Row],[nuovi_positivi_alla_data]]*(1 + $T$28)</f>
        <v>1324.4973441859679</v>
      </c>
    </row>
    <row r="12" spans="1:19" x14ac:dyDescent="0.2">
      <c r="A12" s="6">
        <v>43894.708333333336</v>
      </c>
      <c r="B12">
        <v>1346</v>
      </c>
      <c r="C12">
        <v>295</v>
      </c>
      <c r="D12">
        <v>1641</v>
      </c>
      <c r="E12">
        <v>1065</v>
      </c>
      <c r="F12">
        <v>2706</v>
      </c>
      <c r="G12">
        <v>587</v>
      </c>
      <c r="H12">
        <v>276</v>
      </c>
      <c r="I12">
        <v>107</v>
      </c>
      <c r="J12">
        <v>3089</v>
      </c>
      <c r="K12">
        <v>29837</v>
      </c>
      <c r="L12">
        <f t="shared" si="2"/>
        <v>3981</v>
      </c>
      <c r="M12" s="1">
        <f t="shared" si="0"/>
        <v>3089</v>
      </c>
      <c r="N12" s="1">
        <f t="shared" si="3"/>
        <v>28</v>
      </c>
      <c r="O12" s="1">
        <f t="shared" si="4"/>
        <v>0.90644221430883787</v>
      </c>
      <c r="P12" s="1">
        <f t="shared" si="1"/>
        <v>116</v>
      </c>
      <c r="Q12" s="1">
        <f>inhospital_tot__2[[#This Row],[infected_per_day]]/inhospital_tot__2[[#This Row],[Test per day]]</f>
        <v>0.77593569454910827</v>
      </c>
      <c r="R12" s="18">
        <f>inhospital_tot__2[[#This Row],[nuovi_positivi_alla_data]]*(1 + $T$28)</f>
        <v>1668.4118906376893</v>
      </c>
    </row>
    <row r="13" spans="1:19" x14ac:dyDescent="0.2">
      <c r="A13" s="6">
        <v>43895.708333333336</v>
      </c>
      <c r="B13">
        <v>1790</v>
      </c>
      <c r="C13">
        <v>351</v>
      </c>
      <c r="D13">
        <v>2141</v>
      </c>
      <c r="E13">
        <v>1155</v>
      </c>
      <c r="F13">
        <v>3296</v>
      </c>
      <c r="G13">
        <v>769</v>
      </c>
      <c r="H13">
        <v>414</v>
      </c>
      <c r="I13">
        <v>148</v>
      </c>
      <c r="J13">
        <v>3858</v>
      </c>
      <c r="K13">
        <v>32362</v>
      </c>
      <c r="L13">
        <f t="shared" si="2"/>
        <v>2525</v>
      </c>
      <c r="M13" s="1">
        <f t="shared" si="0"/>
        <v>3858</v>
      </c>
      <c r="N13" s="1">
        <f t="shared" si="3"/>
        <v>41</v>
      </c>
      <c r="O13" s="1">
        <f t="shared" si="4"/>
        <v>1.0627268014515292</v>
      </c>
      <c r="P13" s="1">
        <f t="shared" si="1"/>
        <v>138</v>
      </c>
      <c r="Q13" s="1">
        <f>inhospital_tot__2[[#This Row],[infected_per_day]]/inhospital_tot__2[[#This Row],[Test per day]]</f>
        <v>1.5279207920792079</v>
      </c>
      <c r="R13" s="18">
        <f>inhospital_tot__2[[#This Row],[nuovi_positivi_alla_data]]*(1 + $T$28)</f>
        <v>2185.7048448047412</v>
      </c>
    </row>
    <row r="14" spans="1:19" x14ac:dyDescent="0.2">
      <c r="A14" s="6">
        <v>43896.708333333336</v>
      </c>
      <c r="B14">
        <v>2394</v>
      </c>
      <c r="C14">
        <v>462</v>
      </c>
      <c r="D14">
        <v>2856</v>
      </c>
      <c r="E14">
        <v>1060</v>
      </c>
      <c r="F14">
        <v>3916</v>
      </c>
      <c r="G14">
        <v>778</v>
      </c>
      <c r="H14">
        <v>523</v>
      </c>
      <c r="I14">
        <v>197</v>
      </c>
      <c r="J14">
        <v>4636</v>
      </c>
      <c r="K14">
        <v>36359</v>
      </c>
      <c r="L14">
        <f t="shared" si="2"/>
        <v>3997</v>
      </c>
      <c r="M14" s="1">
        <f t="shared" si="0"/>
        <v>4636</v>
      </c>
      <c r="N14" s="1">
        <f t="shared" si="3"/>
        <v>49</v>
      </c>
      <c r="O14" s="1">
        <f t="shared" si="4"/>
        <v>1.0569456427955135</v>
      </c>
      <c r="P14" s="1">
        <f t="shared" si="1"/>
        <v>109</v>
      </c>
      <c r="Q14" s="1">
        <f>inhospital_tot__2[[#This Row],[infected_per_day]]/inhospital_tot__2[[#This Row],[Test per day]]</f>
        <v>1.1598699024268202</v>
      </c>
      <c r="R14" s="18">
        <f>inhospital_tot__2[[#This Row],[nuovi_positivi_alla_data]]*(1 + $T$28)</f>
        <v>2211.2852656151999</v>
      </c>
    </row>
    <row r="15" spans="1:19" x14ac:dyDescent="0.2">
      <c r="A15" s="6">
        <v>43897.75</v>
      </c>
      <c r="B15">
        <v>2651</v>
      </c>
      <c r="C15">
        <v>567</v>
      </c>
      <c r="D15">
        <v>3218</v>
      </c>
      <c r="E15">
        <v>1843</v>
      </c>
      <c r="F15">
        <v>5061</v>
      </c>
      <c r="G15">
        <v>1247</v>
      </c>
      <c r="H15">
        <v>589</v>
      </c>
      <c r="I15">
        <v>233</v>
      </c>
      <c r="J15">
        <v>5883</v>
      </c>
      <c r="K15">
        <v>42062</v>
      </c>
      <c r="L15">
        <f t="shared" si="2"/>
        <v>5703</v>
      </c>
      <c r="M15" s="1">
        <f t="shared" si="0"/>
        <v>5883</v>
      </c>
      <c r="N15" s="1">
        <f t="shared" si="3"/>
        <v>36</v>
      </c>
      <c r="O15" s="1">
        <f t="shared" si="4"/>
        <v>0.61193268740438556</v>
      </c>
      <c r="P15" s="1">
        <f t="shared" si="1"/>
        <v>66</v>
      </c>
      <c r="Q15" s="1">
        <f>inhospital_tot__2[[#This Row],[infected_per_day]]/inhospital_tot__2[[#This Row],[Test per day]]</f>
        <v>1.0315623356128354</v>
      </c>
      <c r="R15" s="18">
        <f>inhospital_tot__2[[#This Row],[nuovi_positivi_alla_data]]*(1 + $T$28)</f>
        <v>3544.3094167379872</v>
      </c>
    </row>
    <row r="16" spans="1:19" x14ac:dyDescent="0.2">
      <c r="A16" s="6">
        <v>43898.75</v>
      </c>
      <c r="B16">
        <v>3557</v>
      </c>
      <c r="C16">
        <v>650</v>
      </c>
      <c r="D16">
        <v>4207</v>
      </c>
      <c r="E16">
        <v>2180</v>
      </c>
      <c r="F16">
        <v>6387</v>
      </c>
      <c r="G16">
        <v>1492</v>
      </c>
      <c r="H16">
        <v>622</v>
      </c>
      <c r="I16">
        <v>366</v>
      </c>
      <c r="J16">
        <v>7375</v>
      </c>
      <c r="K16">
        <v>49937</v>
      </c>
      <c r="L16">
        <f t="shared" si="2"/>
        <v>7875</v>
      </c>
      <c r="M16" s="1">
        <f t="shared" si="0"/>
        <v>7375</v>
      </c>
      <c r="N16" s="1">
        <f t="shared" si="3"/>
        <v>133</v>
      </c>
      <c r="O16" s="1">
        <f t="shared" si="4"/>
        <v>1.8033898305084746</v>
      </c>
      <c r="P16" s="1">
        <f t="shared" si="1"/>
        <v>33</v>
      </c>
      <c r="Q16" s="1">
        <f>inhospital_tot__2[[#This Row],[infected_per_day]]/inhospital_tot__2[[#This Row],[Test per day]]</f>
        <v>0.93650793650793651</v>
      </c>
      <c r="R16" s="18">
        <f>inhospital_tot__2[[#This Row],[nuovi_positivi_alla_data]]*(1 + $T$28)</f>
        <v>4240.6653165782491</v>
      </c>
    </row>
    <row r="17" spans="1:39" x14ac:dyDescent="0.2">
      <c r="A17" s="6">
        <v>43899.75</v>
      </c>
      <c r="B17">
        <v>4316</v>
      </c>
      <c r="C17">
        <v>733</v>
      </c>
      <c r="D17">
        <v>5049</v>
      </c>
      <c r="E17">
        <v>2936</v>
      </c>
      <c r="F17">
        <v>7985</v>
      </c>
      <c r="G17">
        <v>1797</v>
      </c>
      <c r="H17">
        <v>724</v>
      </c>
      <c r="I17">
        <v>463</v>
      </c>
      <c r="J17">
        <v>9172</v>
      </c>
      <c r="K17">
        <v>53826</v>
      </c>
      <c r="L17">
        <f t="shared" si="2"/>
        <v>3889</v>
      </c>
      <c r="M17" s="1">
        <f t="shared" si="0"/>
        <v>9172</v>
      </c>
      <c r="N17" s="1">
        <f t="shared" si="3"/>
        <v>97</v>
      </c>
      <c r="O17" s="1">
        <f t="shared" si="4"/>
        <v>1.0575665067597033</v>
      </c>
      <c r="P17" s="1">
        <f t="shared" si="1"/>
        <v>102</v>
      </c>
      <c r="Q17" s="1">
        <f>inhospital_tot__2[[#This Row],[infected_per_day]]/inhospital_tot__2[[#This Row],[Test per day]]</f>
        <v>2.3584469015170995</v>
      </c>
      <c r="R17" s="18">
        <f>inhospital_tot__2[[#This Row],[nuovi_positivi_alla_data]]*(1 + $T$28)</f>
        <v>5107.5573551549023</v>
      </c>
    </row>
    <row r="18" spans="1:39" x14ac:dyDescent="0.2">
      <c r="A18" s="6">
        <v>43900.75</v>
      </c>
      <c r="B18">
        <v>5038</v>
      </c>
      <c r="C18">
        <v>877</v>
      </c>
      <c r="D18">
        <v>5915</v>
      </c>
      <c r="E18">
        <v>2599</v>
      </c>
      <c r="F18">
        <v>8514</v>
      </c>
      <c r="G18">
        <v>977</v>
      </c>
      <c r="H18">
        <v>1004</v>
      </c>
      <c r="I18">
        <v>631</v>
      </c>
      <c r="J18">
        <v>10149</v>
      </c>
      <c r="K18">
        <v>60761</v>
      </c>
      <c r="L18">
        <f t="shared" si="2"/>
        <v>6935</v>
      </c>
      <c r="M18" s="1">
        <f t="shared" si="0"/>
        <v>10149</v>
      </c>
      <c r="N18" s="1">
        <f t="shared" si="3"/>
        <v>168</v>
      </c>
      <c r="O18" s="1">
        <f t="shared" si="4"/>
        <v>1.6553355010345847</v>
      </c>
      <c r="P18" s="1">
        <f t="shared" si="1"/>
        <v>280</v>
      </c>
      <c r="Q18" s="1">
        <f>inhospital_tot__2[[#This Row],[infected_per_day]]/inhospital_tot__2[[#This Row],[Test per day]]</f>
        <v>1.4634462869502523</v>
      </c>
      <c r="R18" s="18">
        <f>inhospital_tot__2[[#This Row],[nuovi_positivi_alla_data]]*(1 + $T$28)</f>
        <v>2776.8967924242288</v>
      </c>
    </row>
    <row r="19" spans="1:39" x14ac:dyDescent="0.2">
      <c r="A19" s="6">
        <v>43901.708333333336</v>
      </c>
      <c r="B19">
        <v>5838</v>
      </c>
      <c r="C19">
        <v>1028</v>
      </c>
      <c r="D19">
        <v>6866</v>
      </c>
      <c r="E19">
        <v>3724</v>
      </c>
      <c r="F19">
        <v>10590</v>
      </c>
      <c r="G19">
        <v>2313</v>
      </c>
      <c r="H19">
        <v>1045</v>
      </c>
      <c r="I19">
        <v>827</v>
      </c>
      <c r="J19">
        <v>12462</v>
      </c>
      <c r="K19">
        <v>73154</v>
      </c>
      <c r="L19">
        <f t="shared" si="2"/>
        <v>12393</v>
      </c>
      <c r="M19" s="1">
        <f t="shared" si="0"/>
        <v>12462</v>
      </c>
      <c r="N19" s="1">
        <f t="shared" si="3"/>
        <v>196</v>
      </c>
      <c r="O19" s="1">
        <f t="shared" si="4"/>
        <v>1.5727812550152462</v>
      </c>
      <c r="P19" s="1">
        <f t="shared" si="1"/>
        <v>41</v>
      </c>
      <c r="Q19" s="1">
        <f>inhospital_tot__2[[#This Row],[infected_per_day]]/inhospital_tot__2[[#This Row],[Test per day]]</f>
        <v>1.0055676591624303</v>
      </c>
      <c r="R19" s="18">
        <f>inhospital_tot__2[[#This Row],[nuovi_positivi_alla_data]]*(1 + $T$28)</f>
        <v>6574.1681482878621</v>
      </c>
    </row>
    <row r="20" spans="1:39" x14ac:dyDescent="0.2">
      <c r="A20" s="6">
        <v>43902.708333333336</v>
      </c>
      <c r="B20">
        <v>6650</v>
      </c>
      <c r="C20">
        <v>1153</v>
      </c>
      <c r="D20">
        <v>7803</v>
      </c>
      <c r="E20">
        <v>5036</v>
      </c>
      <c r="F20">
        <v>12839</v>
      </c>
      <c r="G20">
        <v>2651</v>
      </c>
      <c r="H20">
        <v>1258</v>
      </c>
      <c r="I20">
        <v>1016</v>
      </c>
      <c r="J20">
        <v>15113</v>
      </c>
      <c r="K20">
        <v>86011</v>
      </c>
      <c r="L20">
        <f t="shared" si="2"/>
        <v>12857</v>
      </c>
      <c r="M20" s="1">
        <f t="shared" si="0"/>
        <v>15113</v>
      </c>
      <c r="N20" s="1">
        <f t="shared" si="3"/>
        <v>189</v>
      </c>
      <c r="O20" s="1">
        <f t="shared" si="4"/>
        <v>1.2505789717461788</v>
      </c>
      <c r="P20" s="1">
        <f t="shared" si="1"/>
        <v>213</v>
      </c>
      <c r="Q20" s="1">
        <f>inhospital_tot__2[[#This Row],[infected_per_day]]/inhospital_tot__2[[#This Row],[Test per day]]</f>
        <v>1.1754686163179591</v>
      </c>
      <c r="R20" s="18">
        <f>inhospital_tot__2[[#This Row],[nuovi_positivi_alla_data]]*(1 + $T$28)</f>
        <v>7534.8550631695298</v>
      </c>
    </row>
    <row r="21" spans="1:39" x14ac:dyDescent="0.2">
      <c r="A21" s="6">
        <v>43903.708333333336</v>
      </c>
      <c r="B21">
        <v>7426</v>
      </c>
      <c r="C21">
        <v>1328</v>
      </c>
      <c r="D21">
        <v>8754</v>
      </c>
      <c r="E21">
        <v>6201</v>
      </c>
      <c r="F21">
        <v>14955</v>
      </c>
      <c r="G21">
        <v>2547</v>
      </c>
      <c r="H21">
        <v>1439</v>
      </c>
      <c r="I21">
        <v>1266</v>
      </c>
      <c r="J21">
        <v>17660</v>
      </c>
      <c r="K21">
        <v>97488</v>
      </c>
      <c r="L21">
        <f t="shared" si="2"/>
        <v>11477</v>
      </c>
      <c r="M21" s="1">
        <f t="shared" si="0"/>
        <v>17660</v>
      </c>
      <c r="N21" s="1">
        <f t="shared" si="3"/>
        <v>250</v>
      </c>
      <c r="O21" s="1">
        <f t="shared" si="4"/>
        <v>1.4156285390713477</v>
      </c>
      <c r="P21" s="1">
        <f t="shared" si="1"/>
        <v>181</v>
      </c>
      <c r="Q21" s="1">
        <f>inhospital_tot__2[[#This Row],[infected_per_day]]/inhospital_tot__2[[#This Row],[Test per day]]</f>
        <v>1.5387296331794023</v>
      </c>
      <c r="R21" s="18">
        <f>inhospital_tot__2[[#This Row],[nuovi_positivi_alla_data]]*(1 + $T$28)</f>
        <v>7239.2590893597862</v>
      </c>
    </row>
    <row r="22" spans="1:39" x14ac:dyDescent="0.2">
      <c r="A22" s="6">
        <v>43904.708333333336</v>
      </c>
      <c r="B22">
        <v>8372</v>
      </c>
      <c r="C22">
        <v>1518</v>
      </c>
      <c r="D22">
        <v>9890</v>
      </c>
      <c r="E22">
        <v>7860</v>
      </c>
      <c r="F22">
        <v>17750</v>
      </c>
      <c r="G22">
        <v>3497</v>
      </c>
      <c r="H22">
        <v>1966</v>
      </c>
      <c r="I22">
        <v>1441</v>
      </c>
      <c r="J22">
        <v>21157</v>
      </c>
      <c r="K22">
        <v>109170</v>
      </c>
      <c r="L22">
        <f t="shared" si="2"/>
        <v>11682</v>
      </c>
      <c r="M22" s="1">
        <f t="shared" si="0"/>
        <v>21157</v>
      </c>
      <c r="N22" s="1">
        <f t="shared" si="3"/>
        <v>175</v>
      </c>
      <c r="O22" s="1">
        <f t="shared" si="4"/>
        <v>0.82714940681571114</v>
      </c>
      <c r="P22" s="1">
        <f t="shared" si="1"/>
        <v>527</v>
      </c>
      <c r="Q22" s="1">
        <f>inhospital_tot__2[[#This Row],[infected_per_day]]/inhospital_tot__2[[#This Row],[Test per day]]</f>
        <v>1.8110768703989042</v>
      </c>
      <c r="R22" s="18">
        <f>inhospital_tot__2[[#This Row],[nuovi_positivi_alla_data]]*(1 + $T$28)</f>
        <v>9939.4146193526394</v>
      </c>
    </row>
    <row r="23" spans="1:39" x14ac:dyDescent="0.2">
      <c r="A23" s="6">
        <v>43905.708333333336</v>
      </c>
      <c r="B23">
        <v>9663</v>
      </c>
      <c r="C23">
        <v>1672</v>
      </c>
      <c r="D23">
        <v>11335</v>
      </c>
      <c r="E23">
        <v>9268</v>
      </c>
      <c r="F23">
        <v>20603</v>
      </c>
      <c r="G23">
        <v>3590</v>
      </c>
      <c r="H23">
        <v>2335</v>
      </c>
      <c r="I23">
        <v>1809</v>
      </c>
      <c r="J23">
        <v>24747</v>
      </c>
      <c r="K23">
        <v>124899</v>
      </c>
      <c r="L23">
        <f t="shared" si="2"/>
        <v>15729</v>
      </c>
      <c r="M23" s="1">
        <f t="shared" si="0"/>
        <v>24747</v>
      </c>
      <c r="N23" s="1">
        <f t="shared" si="3"/>
        <v>368</v>
      </c>
      <c r="O23" s="1">
        <f t="shared" si="4"/>
        <v>1.4870489352244716</v>
      </c>
      <c r="P23" s="1">
        <f t="shared" si="1"/>
        <v>369</v>
      </c>
      <c r="Q23" s="1">
        <f>inhospital_tot__2[[#This Row],[infected_per_day]]/inhospital_tot__2[[#This Row],[Test per day]]</f>
        <v>1.5733358764066374</v>
      </c>
      <c r="R23" s="18">
        <f>inhospital_tot__2[[#This Row],[nuovi_positivi_alla_data]]*(1 + $T$28)</f>
        <v>10203.745634394045</v>
      </c>
      <c r="S23">
        <f>I238/F238</f>
        <v>0.33944945579245567</v>
      </c>
      <c r="U23" t="s">
        <v>46</v>
      </c>
      <c r="V23" s="4">
        <f>S23*100</f>
        <v>33.944945579245569</v>
      </c>
      <c r="AM23">
        <f>793*10</f>
        <v>7930</v>
      </c>
    </row>
    <row r="24" spans="1:39" x14ac:dyDescent="0.2">
      <c r="A24" s="6">
        <v>43906.708333333336</v>
      </c>
      <c r="B24">
        <v>11025</v>
      </c>
      <c r="C24">
        <v>1851</v>
      </c>
      <c r="D24">
        <v>12876</v>
      </c>
      <c r="E24">
        <v>10197</v>
      </c>
      <c r="F24">
        <v>23073</v>
      </c>
      <c r="G24">
        <v>3233</v>
      </c>
      <c r="H24">
        <v>2749</v>
      </c>
      <c r="I24">
        <v>2158</v>
      </c>
      <c r="J24">
        <v>27980</v>
      </c>
      <c r="K24">
        <v>137962</v>
      </c>
      <c r="L24">
        <f t="shared" si="2"/>
        <v>13063</v>
      </c>
      <c r="M24" s="1">
        <f t="shared" si="0"/>
        <v>27980</v>
      </c>
      <c r="N24" s="1">
        <f t="shared" si="3"/>
        <v>349</v>
      </c>
      <c r="O24" s="1">
        <f t="shared" si="4"/>
        <v>1.2473195139385276</v>
      </c>
      <c r="P24" s="1">
        <f t="shared" si="1"/>
        <v>414</v>
      </c>
      <c r="Q24" s="1">
        <f>inhospital_tot__2[[#This Row],[infected_per_day]]/inhospital_tot__2[[#This Row],[Test per day]]</f>
        <v>2.1419275817193602</v>
      </c>
      <c r="R24" s="18">
        <f>inhospital_tot__2[[#This Row],[nuovi_positivi_alla_data]]*(1 + $T$28)</f>
        <v>9189.0556089125203</v>
      </c>
      <c r="U24" t="s">
        <v>47</v>
      </c>
      <c r="V24" s="4">
        <f>S25*100</f>
        <v>0.8112363552905596</v>
      </c>
    </row>
    <row r="25" spans="1:39" x14ac:dyDescent="0.2">
      <c r="A25" s="6">
        <v>43907.708333333336</v>
      </c>
      <c r="B25">
        <v>12894</v>
      </c>
      <c r="C25">
        <v>2060</v>
      </c>
      <c r="D25">
        <v>14954</v>
      </c>
      <c r="E25">
        <v>11108</v>
      </c>
      <c r="F25">
        <v>26062</v>
      </c>
      <c r="G25">
        <v>3526</v>
      </c>
      <c r="H25">
        <v>2941</v>
      </c>
      <c r="I25">
        <v>2503</v>
      </c>
      <c r="J25">
        <v>31506</v>
      </c>
      <c r="K25">
        <v>148657</v>
      </c>
      <c r="L25">
        <f t="shared" si="2"/>
        <v>10695</v>
      </c>
      <c r="M25" s="1">
        <f t="shared" si="0"/>
        <v>31506</v>
      </c>
      <c r="N25" s="1">
        <f t="shared" si="3"/>
        <v>345</v>
      </c>
      <c r="O25" s="1">
        <f t="shared" si="4"/>
        <v>1.095029518187012</v>
      </c>
      <c r="P25" s="1">
        <f t="shared" si="1"/>
        <v>192</v>
      </c>
      <c r="Q25" s="1">
        <f>inhospital_tot__2[[#This Row],[infected_per_day]]/inhospital_tot__2[[#This Row],[Test per day]]</f>
        <v>2.9458625525946704</v>
      </c>
      <c r="R25" s="18">
        <f>inhospital_tot__2[[#This Row],[nuovi_positivi_alla_data]]*(1 + $T$28)</f>
        <v>10021.840419741895</v>
      </c>
      <c r="S25">
        <f>F238/K238</f>
        <v>8.1123635529055955E-3</v>
      </c>
      <c r="U25" t="s">
        <v>48</v>
      </c>
      <c r="V25" s="4">
        <f>S26*100</f>
        <v>0.27537373932243558</v>
      </c>
    </row>
    <row r="26" spans="1:39" x14ac:dyDescent="0.2">
      <c r="A26" s="6">
        <v>43908.708333333336</v>
      </c>
      <c r="B26">
        <v>14363</v>
      </c>
      <c r="C26">
        <v>2257</v>
      </c>
      <c r="D26">
        <v>16620</v>
      </c>
      <c r="E26">
        <v>12090</v>
      </c>
      <c r="F26">
        <v>28710</v>
      </c>
      <c r="G26">
        <v>4207</v>
      </c>
      <c r="H26">
        <v>4025</v>
      </c>
      <c r="I26">
        <v>2978</v>
      </c>
      <c r="J26">
        <v>35713</v>
      </c>
      <c r="K26">
        <v>165541</v>
      </c>
      <c r="L26">
        <f t="shared" si="2"/>
        <v>16884</v>
      </c>
      <c r="M26" s="1">
        <f t="shared" si="0"/>
        <v>35713</v>
      </c>
      <c r="N26" s="1">
        <f t="shared" si="3"/>
        <v>475</v>
      </c>
      <c r="O26" s="1">
        <f t="shared" si="4"/>
        <v>1.330047881723742</v>
      </c>
      <c r="P26" s="1">
        <f t="shared" si="1"/>
        <v>1084</v>
      </c>
      <c r="Q26" s="1">
        <f>inhospital_tot__2[[#This Row],[infected_per_day]]/inhospital_tot__2[[#This Row],[Test per day]]</f>
        <v>2.115197820421701</v>
      </c>
      <c r="R26" s="18">
        <f>inhospital_tot__2[[#This Row],[nuovi_positivi_alla_data]]*(1 + $T$28)</f>
        <v>11957.425594399931</v>
      </c>
      <c r="S26">
        <f>I238/K238</f>
        <v>2.7537373932243559E-3</v>
      </c>
    </row>
    <row r="27" spans="1:39" x14ac:dyDescent="0.2">
      <c r="A27" s="6">
        <v>43909.708333333336</v>
      </c>
      <c r="B27">
        <v>15757</v>
      </c>
      <c r="C27">
        <v>2498</v>
      </c>
      <c r="D27">
        <v>18255</v>
      </c>
      <c r="E27">
        <v>14935</v>
      </c>
      <c r="F27">
        <v>33190</v>
      </c>
      <c r="G27">
        <v>5322</v>
      </c>
      <c r="H27">
        <v>4440</v>
      </c>
      <c r="I27">
        <v>3405</v>
      </c>
      <c r="J27">
        <v>41035</v>
      </c>
      <c r="K27">
        <v>182777</v>
      </c>
      <c r="L27">
        <f t="shared" si="2"/>
        <v>17236</v>
      </c>
      <c r="M27" s="1">
        <f t="shared" si="0"/>
        <v>41035</v>
      </c>
      <c r="N27" s="1">
        <f t="shared" si="3"/>
        <v>427</v>
      </c>
      <c r="O27" s="1">
        <f t="shared" si="4"/>
        <v>1.0405751188010235</v>
      </c>
      <c r="P27" s="1">
        <f t="shared" si="1"/>
        <v>415</v>
      </c>
      <c r="Q27" s="1">
        <f>inhospital_tot__2[[#This Row],[infected_per_day]]/inhospital_tot__2[[#This Row],[Test per day]]</f>
        <v>2.3807728011139475</v>
      </c>
      <c r="R27" s="18">
        <f>inhospital_tot__2[[#This Row],[nuovi_positivi_alla_data]]*(1 + $T$28)</f>
        <v>15126.555505917857</v>
      </c>
    </row>
    <row r="28" spans="1:39" x14ac:dyDescent="0.2">
      <c r="A28" s="6">
        <v>43910.708333333336</v>
      </c>
      <c r="B28">
        <v>16020</v>
      </c>
      <c r="C28">
        <v>2655</v>
      </c>
      <c r="D28">
        <v>18675</v>
      </c>
      <c r="E28">
        <v>19185</v>
      </c>
      <c r="F28">
        <v>37860</v>
      </c>
      <c r="G28">
        <v>5986</v>
      </c>
      <c r="H28">
        <v>5129</v>
      </c>
      <c r="I28">
        <v>4032</v>
      </c>
      <c r="J28">
        <v>47021</v>
      </c>
      <c r="K28">
        <v>206886</v>
      </c>
      <c r="L28">
        <f t="shared" ref="L28:L91" si="5">K28-K27</f>
        <v>24109</v>
      </c>
      <c r="M28" s="1">
        <f t="shared" si="0"/>
        <v>47021</v>
      </c>
      <c r="N28" s="1">
        <f t="shared" si="3"/>
        <v>627</v>
      </c>
      <c r="O28" s="1">
        <f t="shared" si="4"/>
        <v>1.3334467578316072</v>
      </c>
      <c r="P28" s="1">
        <f t="shared" si="1"/>
        <v>689</v>
      </c>
      <c r="Q28" s="1">
        <f>inhospital_tot__2[[#This Row],[infected_per_day]]/inhospital_tot__2[[#This Row],[Test per day]]</f>
        <v>1.9503504915176906</v>
      </c>
      <c r="R28" s="18">
        <f>inhospital_tot__2[[#This Row],[nuovi_positivi_alla_data]]*(1 + $T$28)</f>
        <v>17013.822107933916</v>
      </c>
      <c r="S28" t="s">
        <v>79</v>
      </c>
      <c r="T28">
        <f>_xlfn.STDEV.P(inhospital_tot__2[Infected index over tested])</f>
        <v>1.8422689789398456</v>
      </c>
    </row>
    <row r="29" spans="1:39" x14ac:dyDescent="0.2">
      <c r="A29" s="6">
        <v>43911.708333333336</v>
      </c>
      <c r="B29">
        <v>17708</v>
      </c>
      <c r="C29">
        <v>2857</v>
      </c>
      <c r="D29">
        <v>20565</v>
      </c>
      <c r="E29">
        <v>22116</v>
      </c>
      <c r="F29">
        <v>42681</v>
      </c>
      <c r="G29">
        <v>6557</v>
      </c>
      <c r="H29">
        <v>6072</v>
      </c>
      <c r="I29">
        <v>4825</v>
      </c>
      <c r="J29">
        <v>53578</v>
      </c>
      <c r="K29">
        <v>233222</v>
      </c>
      <c r="L29">
        <f t="shared" si="5"/>
        <v>26336</v>
      </c>
      <c r="M29" s="1">
        <f t="shared" si="0"/>
        <v>53578</v>
      </c>
      <c r="N29" s="1">
        <f t="shared" ref="N29:N42" si="6">I29-I28</f>
        <v>793</v>
      </c>
      <c r="O29" s="1">
        <f t="shared" ref="O29:O42" si="7">(N29/J29)*100</f>
        <v>1.4800851095598941</v>
      </c>
      <c r="P29" s="1">
        <f t="shared" si="1"/>
        <v>943</v>
      </c>
      <c r="Q29" s="1">
        <f>inhospital_tot__2[[#This Row],[infected_per_day]]/inhospital_tot__2[[#This Row],[Test per day]]</f>
        <v>2.0344015795868771</v>
      </c>
      <c r="R29" s="18">
        <f>inhospital_tot__2[[#This Row],[nuovi_positivi_alla_data]]*(1 + $T$28)</f>
        <v>18636.757694908567</v>
      </c>
    </row>
    <row r="30" spans="1:39" x14ac:dyDescent="0.2">
      <c r="A30" s="6">
        <v>43912.708333333336</v>
      </c>
      <c r="B30">
        <v>19846</v>
      </c>
      <c r="C30">
        <v>3009</v>
      </c>
      <c r="D30">
        <v>22855</v>
      </c>
      <c r="E30">
        <v>23783</v>
      </c>
      <c r="F30">
        <v>46638</v>
      </c>
      <c r="G30">
        <v>5560</v>
      </c>
      <c r="H30">
        <v>7024</v>
      </c>
      <c r="I30">
        <v>5476</v>
      </c>
      <c r="J30">
        <v>59138</v>
      </c>
      <c r="K30">
        <v>258402</v>
      </c>
      <c r="L30">
        <f t="shared" si="5"/>
        <v>25180</v>
      </c>
      <c r="M30" s="1">
        <f t="shared" si="0"/>
        <v>59138</v>
      </c>
      <c r="N30" s="1">
        <f t="shared" si="6"/>
        <v>651</v>
      </c>
      <c r="O30" s="1">
        <f t="shared" si="7"/>
        <v>1.1008150427812911</v>
      </c>
      <c r="P30" s="1">
        <f t="shared" si="1"/>
        <v>952</v>
      </c>
      <c r="Q30" s="1">
        <f>inhospital_tot__2[[#This Row],[infected_per_day]]/inhospital_tot__2[[#This Row],[Test per day]]</f>
        <v>2.3486100079428116</v>
      </c>
      <c r="R30" s="18">
        <f>inhospital_tot__2[[#This Row],[nuovi_positivi_alla_data]]*(1 + $T$28)</f>
        <v>15803.01552290554</v>
      </c>
    </row>
    <row r="31" spans="1:39" x14ac:dyDescent="0.2">
      <c r="A31" s="6">
        <v>43913.708333333336</v>
      </c>
      <c r="B31">
        <v>20692</v>
      </c>
      <c r="C31">
        <v>3204</v>
      </c>
      <c r="D31">
        <v>23896</v>
      </c>
      <c r="E31">
        <v>26522</v>
      </c>
      <c r="F31">
        <v>50418</v>
      </c>
      <c r="G31">
        <v>4789</v>
      </c>
      <c r="H31">
        <v>7432</v>
      </c>
      <c r="I31">
        <v>6077</v>
      </c>
      <c r="J31">
        <v>63927</v>
      </c>
      <c r="K31">
        <v>275468</v>
      </c>
      <c r="L31">
        <f t="shared" si="5"/>
        <v>17066</v>
      </c>
      <c r="M31" s="1">
        <f t="shared" si="0"/>
        <v>63927</v>
      </c>
      <c r="N31" s="1">
        <f t="shared" si="6"/>
        <v>601</v>
      </c>
      <c r="O31" s="1">
        <f t="shared" si="7"/>
        <v>0.94013484130336167</v>
      </c>
      <c r="P31" s="1">
        <f t="shared" si="1"/>
        <v>408</v>
      </c>
      <c r="Q31" s="1">
        <f>inhospital_tot__2[[#This Row],[infected_per_day]]/inhospital_tot__2[[#This Row],[Test per day]]</f>
        <v>3.7458689792570024</v>
      </c>
      <c r="R31" s="18">
        <f>inhospital_tot__2[[#This Row],[nuovi_positivi_alla_data]]*(1 + $T$28)</f>
        <v>13611.62614014292</v>
      </c>
    </row>
    <row r="32" spans="1:39" x14ac:dyDescent="0.2">
      <c r="A32" s="6">
        <v>43914.708333333336</v>
      </c>
      <c r="B32">
        <v>21937</v>
      </c>
      <c r="C32">
        <v>3396</v>
      </c>
      <c r="D32">
        <v>25333</v>
      </c>
      <c r="E32">
        <v>28697</v>
      </c>
      <c r="F32">
        <v>54030</v>
      </c>
      <c r="G32">
        <v>5249</v>
      </c>
      <c r="H32">
        <v>8326</v>
      </c>
      <c r="I32">
        <v>6820</v>
      </c>
      <c r="J32">
        <v>69176</v>
      </c>
      <c r="K32">
        <v>296964</v>
      </c>
      <c r="L32">
        <f t="shared" si="5"/>
        <v>21496</v>
      </c>
      <c r="M32" s="1">
        <f t="shared" si="0"/>
        <v>69176</v>
      </c>
      <c r="N32" s="1">
        <f t="shared" si="6"/>
        <v>743</v>
      </c>
      <c r="O32" s="1">
        <f t="shared" si="7"/>
        <v>1.0740719324621257</v>
      </c>
      <c r="P32" s="1">
        <f t="shared" si="1"/>
        <v>894</v>
      </c>
      <c r="Q32" s="1">
        <f>inhospital_tot__2[[#This Row],[infected_per_day]]/inhospital_tot__2[[#This Row],[Test per day]]</f>
        <v>3.2180870859694828</v>
      </c>
      <c r="R32" s="18">
        <f>inhospital_tot__2[[#This Row],[nuovi_positivi_alla_data]]*(1 + $T$28)</f>
        <v>14919.069870455249</v>
      </c>
    </row>
    <row r="33" spans="1:18" x14ac:dyDescent="0.2">
      <c r="A33" s="6">
        <v>43915.708333333336</v>
      </c>
      <c r="B33">
        <v>23112</v>
      </c>
      <c r="C33">
        <v>3489</v>
      </c>
      <c r="D33">
        <v>26601</v>
      </c>
      <c r="E33">
        <v>30920</v>
      </c>
      <c r="F33">
        <v>57521</v>
      </c>
      <c r="G33">
        <v>5210</v>
      </c>
      <c r="H33">
        <v>9362</v>
      </c>
      <c r="I33">
        <v>7503</v>
      </c>
      <c r="J33">
        <v>74386</v>
      </c>
      <c r="K33">
        <v>324445</v>
      </c>
      <c r="L33">
        <f t="shared" si="5"/>
        <v>27481</v>
      </c>
      <c r="M33" s="1">
        <f t="shared" si="0"/>
        <v>74386</v>
      </c>
      <c r="N33" s="1">
        <f t="shared" si="6"/>
        <v>683</v>
      </c>
      <c r="O33" s="1">
        <f t="shared" si="7"/>
        <v>0.91818352915871271</v>
      </c>
      <c r="P33" s="1">
        <f t="shared" si="1"/>
        <v>1036</v>
      </c>
      <c r="Q33" s="1">
        <f>inhospital_tot__2[[#This Row],[infected_per_day]]/inhospital_tot__2[[#This Row],[Test per day]]</f>
        <v>2.7068156180633891</v>
      </c>
      <c r="R33" s="18">
        <f>inhospital_tot__2[[#This Row],[nuovi_positivi_alla_data]]*(1 + $T$28)</f>
        <v>14808.221380276595</v>
      </c>
    </row>
    <row r="34" spans="1:18" x14ac:dyDescent="0.2">
      <c r="A34" s="6">
        <v>43916.708333333336</v>
      </c>
      <c r="B34">
        <v>24753</v>
      </c>
      <c r="C34">
        <v>3612</v>
      </c>
      <c r="D34">
        <v>28365</v>
      </c>
      <c r="E34">
        <v>33648</v>
      </c>
      <c r="F34">
        <v>62013</v>
      </c>
      <c r="G34">
        <v>6153</v>
      </c>
      <c r="H34">
        <v>10361</v>
      </c>
      <c r="I34">
        <v>8165</v>
      </c>
      <c r="J34">
        <v>80539</v>
      </c>
      <c r="K34">
        <v>361060</v>
      </c>
      <c r="L34">
        <f t="shared" si="5"/>
        <v>36615</v>
      </c>
      <c r="M34" s="1">
        <f t="shared" si="0"/>
        <v>80539</v>
      </c>
      <c r="N34" s="1">
        <f t="shared" si="6"/>
        <v>662</v>
      </c>
      <c r="O34" s="1">
        <f t="shared" si="7"/>
        <v>0.82196203081736796</v>
      </c>
      <c r="P34" s="1">
        <f t="shared" si="1"/>
        <v>999</v>
      </c>
      <c r="Q34" s="1">
        <f>inhospital_tot__2[[#This Row],[infected_per_day]]/inhospital_tot__2[[#This Row],[Test per day]]</f>
        <v>2.199617643042469</v>
      </c>
      <c r="R34" s="18">
        <f>inhospital_tot__2[[#This Row],[nuovi_positivi_alla_data]]*(1 + $T$28)</f>
        <v>17488.48102741687</v>
      </c>
    </row>
    <row r="35" spans="1:18" x14ac:dyDescent="0.2">
      <c r="A35" s="6">
        <v>43917.708333333336</v>
      </c>
      <c r="B35">
        <v>26029</v>
      </c>
      <c r="C35">
        <v>3732</v>
      </c>
      <c r="D35">
        <v>29761</v>
      </c>
      <c r="E35">
        <v>36653</v>
      </c>
      <c r="F35">
        <v>66414</v>
      </c>
      <c r="G35">
        <v>5959</v>
      </c>
      <c r="H35">
        <v>10950</v>
      </c>
      <c r="I35">
        <v>9134</v>
      </c>
      <c r="J35">
        <v>86498</v>
      </c>
      <c r="K35">
        <v>394079</v>
      </c>
      <c r="L35">
        <f t="shared" si="5"/>
        <v>33019</v>
      </c>
      <c r="M35" s="1">
        <f t="shared" si="0"/>
        <v>86498</v>
      </c>
      <c r="N35" s="1">
        <f t="shared" si="6"/>
        <v>969</v>
      </c>
      <c r="O35" s="1">
        <f t="shared" si="7"/>
        <v>1.1202571157714629</v>
      </c>
      <c r="P35" s="1">
        <f t="shared" si="1"/>
        <v>589</v>
      </c>
      <c r="Q35" s="1">
        <f>inhospital_tot__2[[#This Row],[infected_per_day]]/inhospital_tot__2[[#This Row],[Test per day]]</f>
        <v>2.6196432357127715</v>
      </c>
      <c r="R35" s="18">
        <f>inhospital_tot__2[[#This Row],[nuovi_positivi_alla_data]]*(1 + $T$28)</f>
        <v>16937.08084550254</v>
      </c>
    </row>
    <row r="36" spans="1:18" x14ac:dyDescent="0.2">
      <c r="A36" s="6">
        <v>43918.708333333336</v>
      </c>
      <c r="B36">
        <v>26676</v>
      </c>
      <c r="C36">
        <v>3856</v>
      </c>
      <c r="D36">
        <v>30532</v>
      </c>
      <c r="E36">
        <v>39533</v>
      </c>
      <c r="F36">
        <v>70065</v>
      </c>
      <c r="G36">
        <v>5974</v>
      </c>
      <c r="H36">
        <v>12384</v>
      </c>
      <c r="I36">
        <v>10023</v>
      </c>
      <c r="J36">
        <v>92472</v>
      </c>
      <c r="K36">
        <v>429526</v>
      </c>
      <c r="L36">
        <f t="shared" si="5"/>
        <v>35447</v>
      </c>
      <c r="M36" s="1">
        <f t="shared" si="0"/>
        <v>92472</v>
      </c>
      <c r="N36" s="1">
        <f t="shared" si="6"/>
        <v>889</v>
      </c>
      <c r="O36" s="1">
        <f t="shared" si="7"/>
        <v>0.96137209101133314</v>
      </c>
      <c r="P36" s="1">
        <f t="shared" si="1"/>
        <v>1434</v>
      </c>
      <c r="Q36" s="1">
        <f>inhospital_tot__2[[#This Row],[infected_per_day]]/inhospital_tot__2[[#This Row],[Test per day]]</f>
        <v>2.6087398087285241</v>
      </c>
      <c r="R36" s="18">
        <f>inhospital_tot__2[[#This Row],[nuovi_positivi_alla_data]]*(1 + $T$28)</f>
        <v>16979.714880186635</v>
      </c>
    </row>
    <row r="37" spans="1:18" x14ac:dyDescent="0.2">
      <c r="A37" s="6">
        <v>43919.708333333336</v>
      </c>
      <c r="B37">
        <v>27386</v>
      </c>
      <c r="C37">
        <v>3906</v>
      </c>
      <c r="D37">
        <v>31292</v>
      </c>
      <c r="E37">
        <v>42588</v>
      </c>
      <c r="F37">
        <v>73880</v>
      </c>
      <c r="G37">
        <v>5217</v>
      </c>
      <c r="H37">
        <v>13030</v>
      </c>
      <c r="I37">
        <v>10779</v>
      </c>
      <c r="J37">
        <v>97689</v>
      </c>
      <c r="K37">
        <v>454030</v>
      </c>
      <c r="L37">
        <f t="shared" si="5"/>
        <v>24504</v>
      </c>
      <c r="M37" s="1">
        <f t="shared" si="0"/>
        <v>97689</v>
      </c>
      <c r="N37" s="1">
        <f t="shared" si="6"/>
        <v>756</v>
      </c>
      <c r="O37" s="1">
        <f t="shared" si="7"/>
        <v>0.77388447010410588</v>
      </c>
      <c r="P37" s="1">
        <f t="shared" si="1"/>
        <v>646</v>
      </c>
      <c r="Q37" s="1">
        <f>inhospital_tot__2[[#This Row],[infected_per_day]]/inhospital_tot__2[[#This Row],[Test per day]]</f>
        <v>3.9866552399608226</v>
      </c>
      <c r="R37" s="18">
        <f>inhospital_tot__2[[#This Row],[nuovi_positivi_alla_data]]*(1 + $T$28)</f>
        <v>14828.117263129174</v>
      </c>
    </row>
    <row r="38" spans="1:18" x14ac:dyDescent="0.2">
      <c r="A38" s="6">
        <v>43920.708333333336</v>
      </c>
      <c r="B38">
        <v>27795</v>
      </c>
      <c r="C38">
        <v>3981</v>
      </c>
      <c r="D38">
        <v>31776</v>
      </c>
      <c r="E38">
        <v>43752</v>
      </c>
      <c r="F38">
        <v>75528</v>
      </c>
      <c r="G38">
        <v>4050</v>
      </c>
      <c r="H38">
        <v>14620</v>
      </c>
      <c r="I38">
        <v>11591</v>
      </c>
      <c r="J38">
        <v>101739</v>
      </c>
      <c r="K38">
        <v>477359</v>
      </c>
      <c r="L38">
        <f t="shared" si="5"/>
        <v>23329</v>
      </c>
      <c r="M38" s="1">
        <f t="shared" si="0"/>
        <v>101739</v>
      </c>
      <c r="N38" s="1">
        <f t="shared" si="6"/>
        <v>812</v>
      </c>
      <c r="O38" s="1">
        <f t="shared" si="7"/>
        <v>0.79812068135130076</v>
      </c>
      <c r="P38" s="1">
        <f t="shared" si="1"/>
        <v>1590</v>
      </c>
      <c r="Q38" s="1">
        <f>inhospital_tot__2[[#This Row],[infected_per_day]]/inhospital_tot__2[[#This Row],[Test per day]]</f>
        <v>4.3610527669424322</v>
      </c>
      <c r="R38" s="18">
        <f>inhospital_tot__2[[#This Row],[nuovi_positivi_alla_data]]*(1 + $T$28)</f>
        <v>11511.189364706373</v>
      </c>
    </row>
    <row r="39" spans="1:18" x14ac:dyDescent="0.2">
      <c r="A39" s="6">
        <v>43921.708333333336</v>
      </c>
      <c r="B39">
        <v>28192</v>
      </c>
      <c r="C39">
        <v>4023</v>
      </c>
      <c r="D39">
        <v>32215</v>
      </c>
      <c r="E39">
        <v>45420</v>
      </c>
      <c r="F39">
        <v>77635</v>
      </c>
      <c r="G39">
        <v>4053</v>
      </c>
      <c r="H39">
        <v>15729</v>
      </c>
      <c r="I39">
        <v>12428</v>
      </c>
      <c r="J39">
        <v>105792</v>
      </c>
      <c r="K39">
        <v>506968</v>
      </c>
      <c r="L39">
        <f t="shared" si="5"/>
        <v>29609</v>
      </c>
      <c r="M39" s="1">
        <f t="shared" si="0"/>
        <v>105792</v>
      </c>
      <c r="N39" s="1">
        <f t="shared" si="6"/>
        <v>837</v>
      </c>
      <c r="O39" s="1">
        <f t="shared" si="7"/>
        <v>0.79117513611615242</v>
      </c>
      <c r="P39" s="1">
        <f t="shared" si="1"/>
        <v>1109</v>
      </c>
      <c r="Q39" s="1">
        <f>inhospital_tot__2[[#This Row],[infected_per_day]]/inhospital_tot__2[[#This Row],[Test per day]]</f>
        <v>3.5729676787463269</v>
      </c>
      <c r="R39" s="18">
        <f>inhospital_tot__2[[#This Row],[nuovi_positivi_alla_data]]*(1 + $T$28)</f>
        <v>11519.716171643193</v>
      </c>
    </row>
    <row r="40" spans="1:18" x14ac:dyDescent="0.2">
      <c r="A40" s="6">
        <v>43922.708333333336</v>
      </c>
      <c r="B40">
        <v>28403</v>
      </c>
      <c r="C40">
        <v>4035</v>
      </c>
      <c r="D40">
        <v>32438</v>
      </c>
      <c r="E40">
        <v>48134</v>
      </c>
      <c r="F40">
        <v>80572</v>
      </c>
      <c r="G40">
        <v>4782</v>
      </c>
      <c r="H40">
        <v>16847</v>
      </c>
      <c r="I40">
        <v>13155</v>
      </c>
      <c r="J40">
        <v>110574</v>
      </c>
      <c r="K40">
        <v>541423</v>
      </c>
      <c r="L40">
        <f t="shared" si="5"/>
        <v>34455</v>
      </c>
      <c r="M40" s="1">
        <f t="shared" si="0"/>
        <v>110574</v>
      </c>
      <c r="N40" s="1">
        <f t="shared" si="6"/>
        <v>727</v>
      </c>
      <c r="O40" s="1">
        <f t="shared" si="7"/>
        <v>0.65747824985982239</v>
      </c>
      <c r="P40" s="1">
        <f t="shared" si="1"/>
        <v>1118</v>
      </c>
      <c r="Q40" s="1">
        <f>inhospital_tot__2[[#This Row],[infected_per_day]]/inhospital_tot__2[[#This Row],[Test per day]]</f>
        <v>3.2092294296909012</v>
      </c>
      <c r="R40" s="18">
        <f>inhospital_tot__2[[#This Row],[nuovi_positivi_alla_data]]*(1 + $T$28)</f>
        <v>13591.730257290341</v>
      </c>
    </row>
    <row r="41" spans="1:18" x14ac:dyDescent="0.2">
      <c r="A41" s="6">
        <v>43923.708333333336</v>
      </c>
      <c r="B41">
        <v>28540</v>
      </c>
      <c r="C41">
        <v>4053</v>
      </c>
      <c r="D41">
        <v>32593</v>
      </c>
      <c r="E41">
        <v>50456</v>
      </c>
      <c r="F41">
        <v>83049</v>
      </c>
      <c r="G41">
        <v>4668</v>
      </c>
      <c r="H41">
        <v>18278</v>
      </c>
      <c r="I41">
        <v>13915</v>
      </c>
      <c r="J41">
        <v>115242</v>
      </c>
      <c r="K41">
        <v>581232</v>
      </c>
      <c r="L41">
        <f t="shared" si="5"/>
        <v>39809</v>
      </c>
      <c r="M41" s="1">
        <f t="shared" si="0"/>
        <v>115242</v>
      </c>
      <c r="N41" s="1">
        <f t="shared" si="6"/>
        <v>760</v>
      </c>
      <c r="O41" s="1">
        <f t="shared" si="7"/>
        <v>0.65948178615435349</v>
      </c>
      <c r="P41" s="1">
        <f t="shared" si="1"/>
        <v>1431</v>
      </c>
      <c r="Q41" s="1">
        <f>inhospital_tot__2[[#This Row],[infected_per_day]]/inhospital_tot__2[[#This Row],[Test per day]]</f>
        <v>2.8948730186641214</v>
      </c>
      <c r="R41" s="18">
        <f>inhospital_tot__2[[#This Row],[nuovi_positivi_alla_data]]*(1 + $T$28)</f>
        <v>13267.711593691198</v>
      </c>
    </row>
    <row r="42" spans="1:18" x14ac:dyDescent="0.2">
      <c r="A42" s="6">
        <v>43924.708333333336</v>
      </c>
      <c r="B42">
        <v>28741</v>
      </c>
      <c r="C42">
        <v>4068</v>
      </c>
      <c r="D42">
        <v>32809</v>
      </c>
      <c r="E42">
        <v>52579</v>
      </c>
      <c r="F42">
        <v>85388</v>
      </c>
      <c r="G42">
        <v>4585</v>
      </c>
      <c r="H42">
        <v>19758</v>
      </c>
      <c r="I42">
        <v>14681</v>
      </c>
      <c r="J42">
        <v>119827</v>
      </c>
      <c r="K42">
        <v>619849</v>
      </c>
      <c r="L42">
        <f t="shared" si="5"/>
        <v>38617</v>
      </c>
      <c r="M42" s="1">
        <f t="shared" si="0"/>
        <v>119827</v>
      </c>
      <c r="N42" s="1">
        <f t="shared" si="6"/>
        <v>766</v>
      </c>
      <c r="O42" s="1">
        <f t="shared" si="7"/>
        <v>0.63925492585143584</v>
      </c>
      <c r="P42" s="1">
        <f t="shared" si="1"/>
        <v>1480</v>
      </c>
      <c r="Q42" s="1">
        <f>inhospital_tot__2[[#This Row],[infected_per_day]]/inhospital_tot__2[[#This Row],[Test per day]]</f>
        <v>3.1029598363415074</v>
      </c>
      <c r="R42" s="18">
        <f>inhospital_tot__2[[#This Row],[nuovi_positivi_alla_data]]*(1 + $T$28)</f>
        <v>13031.803268439191</v>
      </c>
    </row>
    <row r="43" spans="1:18" x14ac:dyDescent="0.2">
      <c r="A43" s="6">
        <v>43925.708333333336</v>
      </c>
      <c r="B43">
        <v>29010</v>
      </c>
      <c r="C43">
        <v>3994</v>
      </c>
      <c r="D43">
        <v>33004</v>
      </c>
      <c r="E43">
        <v>55270</v>
      </c>
      <c r="F43">
        <v>88274</v>
      </c>
      <c r="G43">
        <v>4805</v>
      </c>
      <c r="H43">
        <v>20996</v>
      </c>
      <c r="I43">
        <v>15362</v>
      </c>
      <c r="J43">
        <v>124632</v>
      </c>
      <c r="K43">
        <v>657224</v>
      </c>
      <c r="L43">
        <f t="shared" si="5"/>
        <v>37375</v>
      </c>
      <c r="M43" s="1">
        <f t="shared" si="0"/>
        <v>124632</v>
      </c>
      <c r="N43" s="1">
        <f t="shared" ref="N43:N106" si="8">I43-I42</f>
        <v>681</v>
      </c>
      <c r="O43" s="1">
        <f t="shared" ref="O43:O106" si="9">(N43/J43)*100</f>
        <v>0.54640862699788184</v>
      </c>
      <c r="P43" s="1">
        <f t="shared" si="1"/>
        <v>1238</v>
      </c>
      <c r="Q43" s="1">
        <f>inhospital_tot__2[[#This Row],[infected_per_day]]/inhospital_tot__2[[#This Row],[Test per day]]</f>
        <v>3.3346354515050165</v>
      </c>
      <c r="R43" s="18">
        <f>inhospital_tot__2[[#This Row],[nuovi_positivi_alla_data]]*(1 + $T$28)</f>
        <v>13657.102443805958</v>
      </c>
    </row>
    <row r="44" spans="1:18" x14ac:dyDescent="0.2">
      <c r="A44" s="6">
        <v>43926.708333333336</v>
      </c>
      <c r="B44">
        <v>28949</v>
      </c>
      <c r="C44">
        <v>3977</v>
      </c>
      <c r="D44">
        <v>32926</v>
      </c>
      <c r="E44">
        <v>58320</v>
      </c>
      <c r="F44">
        <v>91246</v>
      </c>
      <c r="G44">
        <v>4316</v>
      </c>
      <c r="H44">
        <v>21815</v>
      </c>
      <c r="I44">
        <v>15887</v>
      </c>
      <c r="J44">
        <v>128948</v>
      </c>
      <c r="K44">
        <v>691461</v>
      </c>
      <c r="L44">
        <f t="shared" si="5"/>
        <v>34237</v>
      </c>
      <c r="M44" s="1">
        <f t="shared" si="0"/>
        <v>128948</v>
      </c>
      <c r="N44" s="1">
        <f t="shared" si="8"/>
        <v>525</v>
      </c>
      <c r="O44" s="1">
        <f t="shared" si="9"/>
        <v>0.40714086298352825</v>
      </c>
      <c r="P44" s="1">
        <f t="shared" si="1"/>
        <v>819</v>
      </c>
      <c r="Q44" s="1">
        <f>inhospital_tot__2[[#This Row],[infected_per_day]]/inhospital_tot__2[[#This Row],[Test per day]]</f>
        <v>3.7663346671729414</v>
      </c>
      <c r="R44" s="18">
        <f>inhospital_tot__2[[#This Row],[nuovi_positivi_alla_data]]*(1 + $T$28)</f>
        <v>12267.232913104373</v>
      </c>
    </row>
    <row r="45" spans="1:18" x14ac:dyDescent="0.2">
      <c r="A45" s="6">
        <v>43927.708333333336</v>
      </c>
      <c r="B45">
        <v>28976</v>
      </c>
      <c r="C45">
        <v>3898</v>
      </c>
      <c r="D45">
        <v>32874</v>
      </c>
      <c r="E45">
        <v>60313</v>
      </c>
      <c r="F45">
        <v>93187</v>
      </c>
      <c r="G45">
        <v>3599</v>
      </c>
      <c r="H45">
        <v>22837</v>
      </c>
      <c r="I45">
        <v>16523</v>
      </c>
      <c r="J45">
        <v>132547</v>
      </c>
      <c r="K45">
        <v>721732</v>
      </c>
      <c r="L45">
        <f t="shared" si="5"/>
        <v>30271</v>
      </c>
      <c r="M45" s="1">
        <f t="shared" si="0"/>
        <v>132547</v>
      </c>
      <c r="N45" s="1">
        <f t="shared" si="8"/>
        <v>636</v>
      </c>
      <c r="O45" s="1">
        <f t="shared" si="9"/>
        <v>0.47982979622322652</v>
      </c>
      <c r="P45" s="1">
        <f t="shared" si="1"/>
        <v>1022</v>
      </c>
      <c r="Q45" s="1">
        <f>inhospital_tot__2[[#This Row],[infected_per_day]]/inhospital_tot__2[[#This Row],[Test per day]]</f>
        <v>4.3786792639820291</v>
      </c>
      <c r="R45" s="18">
        <f>inhospital_tot__2[[#This Row],[nuovi_positivi_alla_data]]*(1 + $T$28)</f>
        <v>10229.326055204503</v>
      </c>
    </row>
    <row r="46" spans="1:18" x14ac:dyDescent="0.2">
      <c r="A46" s="6">
        <v>43928.708333333336</v>
      </c>
      <c r="B46">
        <v>28718</v>
      </c>
      <c r="C46">
        <v>3792</v>
      </c>
      <c r="D46">
        <v>32510</v>
      </c>
      <c r="E46">
        <v>61557</v>
      </c>
      <c r="F46">
        <v>94067</v>
      </c>
      <c r="G46">
        <v>3039</v>
      </c>
      <c r="H46">
        <v>24392</v>
      </c>
      <c r="I46">
        <v>17127</v>
      </c>
      <c r="J46">
        <v>135586</v>
      </c>
      <c r="K46">
        <v>755445</v>
      </c>
      <c r="L46">
        <f t="shared" si="5"/>
        <v>33713</v>
      </c>
      <c r="M46" s="1">
        <f t="shared" si="0"/>
        <v>135586</v>
      </c>
      <c r="N46" s="1">
        <f t="shared" si="8"/>
        <v>604</v>
      </c>
      <c r="O46" s="1">
        <f t="shared" si="9"/>
        <v>0.4454737214756686</v>
      </c>
      <c r="P46" s="1">
        <f t="shared" si="1"/>
        <v>1555</v>
      </c>
      <c r="Q46" s="1">
        <f>inhospital_tot__2[[#This Row],[infected_per_day]]/inhospital_tot__2[[#This Row],[Test per day]]</f>
        <v>4.0217720167294519</v>
      </c>
      <c r="R46" s="18">
        <f>inhospital_tot__2[[#This Row],[nuovi_positivi_alla_data]]*(1 + $T$28)</f>
        <v>8637.6554269981898</v>
      </c>
    </row>
    <row r="47" spans="1:18" x14ac:dyDescent="0.2">
      <c r="A47" s="6">
        <v>43929.708333333336</v>
      </c>
      <c r="B47">
        <v>28485</v>
      </c>
      <c r="C47">
        <v>3693</v>
      </c>
      <c r="D47">
        <v>32178</v>
      </c>
      <c r="E47">
        <v>63084</v>
      </c>
      <c r="F47">
        <v>95262</v>
      </c>
      <c r="G47">
        <v>3836</v>
      </c>
      <c r="H47">
        <v>26491</v>
      </c>
      <c r="I47">
        <v>17669</v>
      </c>
      <c r="J47">
        <v>139422</v>
      </c>
      <c r="K47">
        <v>807125</v>
      </c>
      <c r="L47">
        <f t="shared" si="5"/>
        <v>51680</v>
      </c>
      <c r="M47" s="1">
        <f t="shared" si="0"/>
        <v>139422</v>
      </c>
      <c r="N47" s="1">
        <f t="shared" si="8"/>
        <v>542</v>
      </c>
      <c r="O47" s="1">
        <f t="shared" si="9"/>
        <v>0.3887478303280687</v>
      </c>
      <c r="P47" s="1">
        <f t="shared" si="1"/>
        <v>2099</v>
      </c>
      <c r="Q47" s="1">
        <f>inhospital_tot__2[[#This Row],[infected_per_day]]/inhospital_tot__2[[#This Row],[Test per day]]</f>
        <v>2.6977941176470588</v>
      </c>
      <c r="R47" s="18">
        <f>inhospital_tot__2[[#This Row],[nuovi_positivi_alla_data]]*(1 + $T$28)</f>
        <v>10902.943803213248</v>
      </c>
    </row>
    <row r="48" spans="1:18" x14ac:dyDescent="0.2">
      <c r="A48" s="6">
        <v>43930.708333333336</v>
      </c>
      <c r="B48">
        <v>28399</v>
      </c>
      <c r="C48">
        <v>3605</v>
      </c>
      <c r="D48">
        <v>32004</v>
      </c>
      <c r="E48">
        <v>64873</v>
      </c>
      <c r="F48">
        <v>96877</v>
      </c>
      <c r="G48">
        <v>4204</v>
      </c>
      <c r="H48">
        <v>28470</v>
      </c>
      <c r="I48">
        <v>18279</v>
      </c>
      <c r="J48">
        <v>143626</v>
      </c>
      <c r="K48">
        <v>853369</v>
      </c>
      <c r="L48">
        <f t="shared" si="5"/>
        <v>46244</v>
      </c>
      <c r="M48" s="1">
        <f t="shared" si="0"/>
        <v>143626</v>
      </c>
      <c r="N48" s="1">
        <f t="shared" si="8"/>
        <v>610</v>
      </c>
      <c r="O48" s="1">
        <f t="shared" si="9"/>
        <v>0.42471418823889823</v>
      </c>
      <c r="P48" s="1">
        <f t="shared" si="1"/>
        <v>1979</v>
      </c>
      <c r="Q48" s="1">
        <f>inhospital_tot__2[[#This Row],[infected_per_day]]/inhospital_tot__2[[#This Row],[Test per day]]</f>
        <v>3.1058299455064442</v>
      </c>
      <c r="R48" s="18">
        <f>inhospital_tot__2[[#This Row],[nuovi_positivi_alla_data]]*(1 + $T$28)</f>
        <v>11948.898787463109</v>
      </c>
    </row>
    <row r="49" spans="1:18" x14ac:dyDescent="0.2">
      <c r="A49" s="6">
        <v>43931.708333333336</v>
      </c>
      <c r="B49">
        <v>28242</v>
      </c>
      <c r="C49">
        <v>3497</v>
      </c>
      <c r="D49">
        <v>31739</v>
      </c>
      <c r="E49">
        <v>66534</v>
      </c>
      <c r="F49">
        <v>98273</v>
      </c>
      <c r="G49">
        <v>3951</v>
      </c>
      <c r="H49">
        <v>30455</v>
      </c>
      <c r="I49">
        <v>18849</v>
      </c>
      <c r="J49">
        <v>147577</v>
      </c>
      <c r="K49">
        <v>906864</v>
      </c>
      <c r="L49">
        <f t="shared" si="5"/>
        <v>53495</v>
      </c>
      <c r="M49" s="1">
        <f t="shared" si="0"/>
        <v>147577</v>
      </c>
      <c r="N49" s="1">
        <f t="shared" si="8"/>
        <v>570</v>
      </c>
      <c r="O49" s="1">
        <f t="shared" si="9"/>
        <v>0.38623904809014953</v>
      </c>
      <c r="P49" s="1">
        <f t="shared" si="1"/>
        <v>1985</v>
      </c>
      <c r="Q49" s="1">
        <f>inhospital_tot__2[[#This Row],[infected_per_day]]/inhospital_tot__2[[#This Row],[Test per day]]</f>
        <v>2.7587064211608561</v>
      </c>
      <c r="R49" s="18">
        <f>inhospital_tot__2[[#This Row],[nuovi_positivi_alla_data]]*(1 + $T$28)</f>
        <v>11229.804735791329</v>
      </c>
    </row>
    <row r="50" spans="1:18" x14ac:dyDescent="0.2">
      <c r="A50" s="6">
        <v>43932.708333333336</v>
      </c>
      <c r="B50">
        <v>28144</v>
      </c>
      <c r="C50">
        <v>3381</v>
      </c>
      <c r="D50">
        <v>31525</v>
      </c>
      <c r="E50">
        <v>68744</v>
      </c>
      <c r="F50">
        <v>100269</v>
      </c>
      <c r="G50">
        <v>4694</v>
      </c>
      <c r="H50">
        <v>32534</v>
      </c>
      <c r="I50">
        <v>19468</v>
      </c>
      <c r="J50">
        <v>152271</v>
      </c>
      <c r="K50">
        <v>963473</v>
      </c>
      <c r="L50">
        <f t="shared" si="5"/>
        <v>56609</v>
      </c>
      <c r="M50" s="1">
        <f t="shared" si="0"/>
        <v>152271</v>
      </c>
      <c r="N50" s="1">
        <f t="shared" si="8"/>
        <v>619</v>
      </c>
      <c r="O50" s="1">
        <f t="shared" si="9"/>
        <v>0.40651207386830057</v>
      </c>
      <c r="P50" s="1">
        <f t="shared" si="1"/>
        <v>2079</v>
      </c>
      <c r="Q50" s="1">
        <f>inhospital_tot__2[[#This Row],[infected_per_day]]/inhospital_tot__2[[#This Row],[Test per day]]</f>
        <v>2.6898726350933595</v>
      </c>
      <c r="R50" s="18">
        <f>inhospital_tot__2[[#This Row],[nuovi_positivi_alla_data]]*(1 + $T$28)</f>
        <v>13341.610587143634</v>
      </c>
    </row>
    <row r="51" spans="1:18" x14ac:dyDescent="0.2">
      <c r="A51" s="6">
        <v>43933.708333333336</v>
      </c>
      <c r="B51">
        <v>27847</v>
      </c>
      <c r="C51">
        <v>3343</v>
      </c>
      <c r="D51">
        <v>31190</v>
      </c>
      <c r="E51">
        <v>71063</v>
      </c>
      <c r="F51">
        <v>102253</v>
      </c>
      <c r="G51">
        <v>4092</v>
      </c>
      <c r="H51">
        <v>34211</v>
      </c>
      <c r="I51">
        <v>19899</v>
      </c>
      <c r="J51">
        <v>156363</v>
      </c>
      <c r="K51">
        <v>1010193</v>
      </c>
      <c r="L51">
        <f t="shared" si="5"/>
        <v>46720</v>
      </c>
      <c r="M51" s="1">
        <f t="shared" si="0"/>
        <v>156363</v>
      </c>
      <c r="N51" s="1">
        <f t="shared" si="8"/>
        <v>431</v>
      </c>
      <c r="O51" s="1">
        <f t="shared" si="9"/>
        <v>0.27564065667709114</v>
      </c>
      <c r="P51" s="1">
        <f t="shared" si="1"/>
        <v>1677</v>
      </c>
      <c r="Q51" s="1">
        <f>inhospital_tot__2[[#This Row],[infected_per_day]]/inhospital_tot__2[[#This Row],[Test per day]]</f>
        <v>3.3468107876712327</v>
      </c>
      <c r="R51" s="18">
        <f>inhospital_tot__2[[#This Row],[nuovi_positivi_alla_data]]*(1 + $T$28)</f>
        <v>11630.564661821847</v>
      </c>
    </row>
    <row r="52" spans="1:18" x14ac:dyDescent="0.2">
      <c r="A52" s="6">
        <v>43934.708333333336</v>
      </c>
      <c r="B52">
        <v>28023</v>
      </c>
      <c r="C52">
        <v>3260</v>
      </c>
      <c r="D52">
        <v>31283</v>
      </c>
      <c r="E52">
        <v>72333</v>
      </c>
      <c r="F52">
        <v>103616</v>
      </c>
      <c r="G52">
        <v>3153</v>
      </c>
      <c r="H52">
        <v>35435</v>
      </c>
      <c r="I52">
        <v>20465</v>
      </c>
      <c r="J52">
        <v>159516</v>
      </c>
      <c r="K52">
        <v>1046910</v>
      </c>
      <c r="L52">
        <f t="shared" si="5"/>
        <v>36717</v>
      </c>
      <c r="M52" s="1">
        <f t="shared" si="0"/>
        <v>159516</v>
      </c>
      <c r="N52" s="1">
        <f t="shared" si="8"/>
        <v>566</v>
      </c>
      <c r="O52" s="1">
        <f t="shared" si="9"/>
        <v>0.35482334060533111</v>
      </c>
      <c r="P52" s="1">
        <f t="shared" si="1"/>
        <v>1224</v>
      </c>
      <c r="Q52" s="1">
        <f>inhospital_tot__2[[#This Row],[infected_per_day]]/inhospital_tot__2[[#This Row],[Test per day]]</f>
        <v>4.3444725876297081</v>
      </c>
      <c r="R52" s="18">
        <f>inhospital_tot__2[[#This Row],[nuovi_positivi_alla_data]]*(1 + $T$28)</f>
        <v>8961.6740905973329</v>
      </c>
    </row>
    <row r="53" spans="1:18" x14ac:dyDescent="0.2">
      <c r="A53" s="6">
        <v>43935.708333333336</v>
      </c>
      <c r="B53">
        <v>28011</v>
      </c>
      <c r="C53">
        <v>3186</v>
      </c>
      <c r="D53">
        <v>31197</v>
      </c>
      <c r="E53">
        <v>73094</v>
      </c>
      <c r="F53">
        <v>104291</v>
      </c>
      <c r="G53">
        <v>2972</v>
      </c>
      <c r="H53">
        <v>37130</v>
      </c>
      <c r="I53">
        <v>21067</v>
      </c>
      <c r="J53">
        <v>162488</v>
      </c>
      <c r="K53">
        <v>1073689</v>
      </c>
      <c r="L53">
        <f t="shared" si="5"/>
        <v>26779</v>
      </c>
      <c r="M53" s="1">
        <f t="shared" si="0"/>
        <v>162488</v>
      </c>
      <c r="N53" s="1">
        <f t="shared" si="8"/>
        <v>602</v>
      </c>
      <c r="O53" s="1">
        <f t="shared" si="9"/>
        <v>0.37048889764167198</v>
      </c>
      <c r="P53" s="1">
        <f t="shared" si="1"/>
        <v>1695</v>
      </c>
      <c r="Q53" s="1">
        <f>inhospital_tot__2[[#This Row],[infected_per_day]]/inhospital_tot__2[[#This Row],[Test per day]]</f>
        <v>6.0677396467381159</v>
      </c>
      <c r="R53" s="18">
        <f>inhospital_tot__2[[#This Row],[nuovi_positivi_alla_data]]*(1 + $T$28)</f>
        <v>8447.2234054092205</v>
      </c>
    </row>
    <row r="54" spans="1:18" x14ac:dyDescent="0.2">
      <c r="A54" s="6">
        <v>43936.708333333336</v>
      </c>
      <c r="B54">
        <v>27643</v>
      </c>
      <c r="C54">
        <v>3079</v>
      </c>
      <c r="D54">
        <v>30722</v>
      </c>
      <c r="E54">
        <v>74696</v>
      </c>
      <c r="F54">
        <v>105418</v>
      </c>
      <c r="G54">
        <v>2667</v>
      </c>
      <c r="H54">
        <v>38092</v>
      </c>
      <c r="I54">
        <v>21645</v>
      </c>
      <c r="J54">
        <v>165155</v>
      </c>
      <c r="K54">
        <v>1117404</v>
      </c>
      <c r="L54">
        <f t="shared" si="5"/>
        <v>43715</v>
      </c>
      <c r="M54" s="1">
        <f t="shared" si="0"/>
        <v>165155</v>
      </c>
      <c r="N54" s="1">
        <f t="shared" si="8"/>
        <v>578</v>
      </c>
      <c r="O54" s="1">
        <f t="shared" si="9"/>
        <v>0.34997426659804426</v>
      </c>
      <c r="P54" s="1">
        <f t="shared" si="1"/>
        <v>962</v>
      </c>
      <c r="Q54" s="1">
        <f>inhospital_tot__2[[#This Row],[infected_per_day]]/inhospital_tot__2[[#This Row],[Test per day]]</f>
        <v>3.7779938236303328</v>
      </c>
      <c r="R54" s="18">
        <f>inhospital_tot__2[[#This Row],[nuovi_positivi_alla_data]]*(1 + $T$28)</f>
        <v>7580.3313668325682</v>
      </c>
    </row>
    <row r="55" spans="1:18" x14ac:dyDescent="0.2">
      <c r="A55" s="6">
        <v>43937.708333333336</v>
      </c>
      <c r="B55">
        <v>26893</v>
      </c>
      <c r="C55">
        <v>2936</v>
      </c>
      <c r="D55">
        <v>29829</v>
      </c>
      <c r="E55">
        <v>76778</v>
      </c>
      <c r="F55">
        <v>106607</v>
      </c>
      <c r="G55">
        <v>3786</v>
      </c>
      <c r="H55">
        <v>40164</v>
      </c>
      <c r="I55">
        <v>22170</v>
      </c>
      <c r="J55">
        <v>168941</v>
      </c>
      <c r="K55">
        <v>1178403</v>
      </c>
      <c r="L55">
        <f t="shared" si="5"/>
        <v>60999</v>
      </c>
      <c r="M55" s="1">
        <f t="shared" si="0"/>
        <v>168941</v>
      </c>
      <c r="N55" s="1">
        <f t="shared" si="8"/>
        <v>525</v>
      </c>
      <c r="O55" s="1">
        <f t="shared" si="9"/>
        <v>0.31075937753416871</v>
      </c>
      <c r="P55" s="1">
        <f t="shared" si="1"/>
        <v>2072</v>
      </c>
      <c r="Q55" s="1">
        <f>inhospital_tot__2[[#This Row],[infected_per_day]]/inhospital_tot__2[[#This Row],[Test per day]]</f>
        <v>2.7695699929507041</v>
      </c>
      <c r="R55" s="18">
        <f>inhospital_tot__2[[#This Row],[nuovi_positivi_alla_data]]*(1 + $T$28)</f>
        <v>10760.830354266254</v>
      </c>
    </row>
    <row r="56" spans="1:18" x14ac:dyDescent="0.2">
      <c r="A56" s="6">
        <v>43938.708333333336</v>
      </c>
      <c r="B56">
        <v>25786</v>
      </c>
      <c r="C56">
        <v>2812</v>
      </c>
      <c r="D56">
        <v>28598</v>
      </c>
      <c r="E56">
        <v>78364</v>
      </c>
      <c r="F56">
        <v>106962</v>
      </c>
      <c r="G56">
        <v>3493</v>
      </c>
      <c r="H56">
        <v>42727</v>
      </c>
      <c r="I56">
        <v>22745</v>
      </c>
      <c r="J56">
        <v>172434</v>
      </c>
      <c r="K56">
        <v>1244108</v>
      </c>
      <c r="L56">
        <f t="shared" si="5"/>
        <v>65705</v>
      </c>
      <c r="M56" s="1">
        <f t="shared" si="0"/>
        <v>172434</v>
      </c>
      <c r="N56" s="1">
        <f t="shared" si="8"/>
        <v>575</v>
      </c>
      <c r="O56" s="1">
        <f t="shared" si="9"/>
        <v>0.33346091838036579</v>
      </c>
      <c r="P56" s="1">
        <f t="shared" si="1"/>
        <v>2563</v>
      </c>
      <c r="Q56" s="1">
        <f>inhospital_tot__2[[#This Row],[infected_per_day]]/inhospital_tot__2[[#This Row],[Test per day]]</f>
        <v>2.6243664865687544</v>
      </c>
      <c r="R56" s="18">
        <f>inhospital_tot__2[[#This Row],[nuovi_positivi_alla_data]]*(1 + $T$28)</f>
        <v>9928.0455434368796</v>
      </c>
    </row>
    <row r="57" spans="1:18" x14ac:dyDescent="0.2">
      <c r="A57" s="6">
        <v>43939.708333333336</v>
      </c>
      <c r="B57">
        <v>25007</v>
      </c>
      <c r="C57">
        <v>2733</v>
      </c>
      <c r="D57">
        <v>27740</v>
      </c>
      <c r="E57">
        <v>80031</v>
      </c>
      <c r="F57">
        <v>107771</v>
      </c>
      <c r="G57">
        <v>3491</v>
      </c>
      <c r="H57">
        <v>44927</v>
      </c>
      <c r="I57">
        <v>23227</v>
      </c>
      <c r="J57">
        <v>175925</v>
      </c>
      <c r="K57">
        <v>1305833</v>
      </c>
      <c r="L57">
        <f t="shared" si="5"/>
        <v>61725</v>
      </c>
      <c r="M57" s="1">
        <f t="shared" si="0"/>
        <v>175925</v>
      </c>
      <c r="N57" s="1">
        <f t="shared" si="8"/>
        <v>482</v>
      </c>
      <c r="O57" s="1">
        <f t="shared" si="9"/>
        <v>0.27398038937047037</v>
      </c>
      <c r="P57" s="1">
        <f t="shared" si="1"/>
        <v>2200</v>
      </c>
      <c r="Q57" s="1">
        <f>inhospital_tot__2[[#This Row],[infected_per_day]]/inhospital_tot__2[[#This Row],[Test per day]]</f>
        <v>2.850141757796679</v>
      </c>
      <c r="R57" s="18">
        <f>inhospital_tot__2[[#This Row],[nuovi_positivi_alla_data]]*(1 + $T$28)</f>
        <v>9922.3610054790006</v>
      </c>
    </row>
    <row r="58" spans="1:18" x14ac:dyDescent="0.2">
      <c r="A58" s="6">
        <v>43940.708333333336</v>
      </c>
      <c r="B58">
        <v>25033</v>
      </c>
      <c r="C58">
        <v>2635</v>
      </c>
      <c r="D58">
        <v>27668</v>
      </c>
      <c r="E58">
        <v>80589</v>
      </c>
      <c r="F58">
        <v>108257</v>
      </c>
      <c r="G58">
        <v>3047</v>
      </c>
      <c r="H58">
        <v>47055</v>
      </c>
      <c r="I58">
        <v>23660</v>
      </c>
      <c r="J58">
        <v>178972</v>
      </c>
      <c r="K58">
        <v>1356541</v>
      </c>
      <c r="L58">
        <f t="shared" si="5"/>
        <v>50708</v>
      </c>
      <c r="M58" s="1">
        <f t="shared" si="0"/>
        <v>178972</v>
      </c>
      <c r="N58" s="1">
        <f t="shared" si="8"/>
        <v>433</v>
      </c>
      <c r="O58" s="1">
        <f t="shared" si="9"/>
        <v>0.24193728627941802</v>
      </c>
      <c r="P58" s="1">
        <f t="shared" si="1"/>
        <v>2128</v>
      </c>
      <c r="Q58" s="1">
        <f>inhospital_tot__2[[#This Row],[infected_per_day]]/inhospital_tot__2[[#This Row],[Test per day]]</f>
        <v>3.5294628066577265</v>
      </c>
      <c r="R58" s="18">
        <f>inhospital_tot__2[[#This Row],[nuovi_positivi_alla_data]]*(1 + $T$28)</f>
        <v>8660.3935788297094</v>
      </c>
    </row>
    <row r="59" spans="1:18" x14ac:dyDescent="0.2">
      <c r="A59" s="6">
        <v>43941.708333333336</v>
      </c>
      <c r="B59">
        <v>24906</v>
      </c>
      <c r="C59">
        <v>2573</v>
      </c>
      <c r="D59">
        <v>27479</v>
      </c>
      <c r="E59">
        <v>80758</v>
      </c>
      <c r="F59">
        <v>108237</v>
      </c>
      <c r="G59">
        <v>2256</v>
      </c>
      <c r="H59">
        <v>48877</v>
      </c>
      <c r="I59">
        <v>24114</v>
      </c>
      <c r="J59">
        <v>181228</v>
      </c>
      <c r="K59">
        <v>1398024</v>
      </c>
      <c r="L59">
        <f t="shared" si="5"/>
        <v>41483</v>
      </c>
      <c r="M59" s="1">
        <f t="shared" si="0"/>
        <v>181228</v>
      </c>
      <c r="N59" s="1">
        <f t="shared" si="8"/>
        <v>454</v>
      </c>
      <c r="O59" s="1">
        <f t="shared" si="9"/>
        <v>0.25051316573597898</v>
      </c>
      <c r="P59" s="1">
        <f t="shared" si="1"/>
        <v>1822</v>
      </c>
      <c r="Q59" s="1">
        <f>inhospital_tot__2[[#This Row],[infected_per_day]]/inhospital_tot__2[[#This Row],[Test per day]]</f>
        <v>4.3687293590145364</v>
      </c>
      <c r="R59" s="18">
        <f>inhospital_tot__2[[#This Row],[nuovi_positivi_alla_data]]*(1 + $T$28)</f>
        <v>6412.1588164882914</v>
      </c>
    </row>
    <row r="60" spans="1:18" x14ac:dyDescent="0.2">
      <c r="A60" s="6">
        <v>43942.708333333336</v>
      </c>
      <c r="B60">
        <v>24134</v>
      </c>
      <c r="C60">
        <v>2471</v>
      </c>
      <c r="D60">
        <v>26605</v>
      </c>
      <c r="E60">
        <v>81104</v>
      </c>
      <c r="F60">
        <v>107709</v>
      </c>
      <c r="G60">
        <v>2729</v>
      </c>
      <c r="H60">
        <v>51600</v>
      </c>
      <c r="I60">
        <v>24648</v>
      </c>
      <c r="J60">
        <v>183957</v>
      </c>
      <c r="K60">
        <v>1450150</v>
      </c>
      <c r="L60">
        <f t="shared" si="5"/>
        <v>52126</v>
      </c>
      <c r="M60" s="1">
        <f t="shared" si="0"/>
        <v>183957</v>
      </c>
      <c r="N60" s="1">
        <f t="shared" si="8"/>
        <v>534</v>
      </c>
      <c r="O60" s="1">
        <f t="shared" si="9"/>
        <v>0.29028522970041915</v>
      </c>
      <c r="P60" s="1">
        <f t="shared" si="1"/>
        <v>2723</v>
      </c>
      <c r="Q60" s="1">
        <f>inhospital_tot__2[[#This Row],[infected_per_day]]/inhospital_tot__2[[#This Row],[Test per day]]</f>
        <v>3.5290833748992827</v>
      </c>
      <c r="R60" s="18">
        <f>inhospital_tot__2[[#This Row],[nuovi_positivi_alla_data]]*(1 + $T$28)</f>
        <v>7756.5520435268381</v>
      </c>
    </row>
    <row r="61" spans="1:18" x14ac:dyDescent="0.2">
      <c r="A61" s="6">
        <v>43943.708333333336</v>
      </c>
      <c r="B61">
        <v>23805</v>
      </c>
      <c r="C61">
        <v>2384</v>
      </c>
      <c r="D61">
        <v>26189</v>
      </c>
      <c r="E61">
        <v>81510</v>
      </c>
      <c r="F61">
        <v>107699</v>
      </c>
      <c r="G61">
        <v>3370</v>
      </c>
      <c r="H61">
        <v>54543</v>
      </c>
      <c r="I61">
        <v>25085</v>
      </c>
      <c r="J61">
        <v>187327</v>
      </c>
      <c r="K61">
        <v>1513251</v>
      </c>
      <c r="L61">
        <f t="shared" si="5"/>
        <v>63101</v>
      </c>
      <c r="M61" s="1">
        <f t="shared" si="0"/>
        <v>187327</v>
      </c>
      <c r="N61" s="1">
        <f t="shared" si="8"/>
        <v>437</v>
      </c>
      <c r="O61" s="1">
        <f t="shared" si="9"/>
        <v>0.23328190810721358</v>
      </c>
      <c r="P61" s="1">
        <f t="shared" si="1"/>
        <v>2943</v>
      </c>
      <c r="Q61" s="1">
        <f>inhospital_tot__2[[#This Row],[infected_per_day]]/inhospital_tot__2[[#This Row],[Test per day]]</f>
        <v>2.9686851238490672</v>
      </c>
      <c r="R61" s="18">
        <f>inhospital_tot__2[[#This Row],[nuovi_positivi_alla_data]]*(1 + $T$28)</f>
        <v>9578.4464590272783</v>
      </c>
    </row>
    <row r="62" spans="1:18" x14ac:dyDescent="0.2">
      <c r="A62" s="6">
        <v>43944.708333333336</v>
      </c>
      <c r="B62">
        <v>22871</v>
      </c>
      <c r="C62">
        <v>2267</v>
      </c>
      <c r="D62">
        <v>25138</v>
      </c>
      <c r="E62">
        <v>81710</v>
      </c>
      <c r="F62">
        <v>106848</v>
      </c>
      <c r="G62">
        <v>2646</v>
      </c>
      <c r="H62">
        <v>57576</v>
      </c>
      <c r="I62">
        <v>25549</v>
      </c>
      <c r="J62">
        <v>189973</v>
      </c>
      <c r="K62">
        <v>1579909</v>
      </c>
      <c r="L62">
        <f t="shared" si="5"/>
        <v>66658</v>
      </c>
      <c r="M62" s="1">
        <f t="shared" si="0"/>
        <v>189973</v>
      </c>
      <c r="N62" s="1">
        <f t="shared" si="8"/>
        <v>464</v>
      </c>
      <c r="O62" s="1">
        <f t="shared" si="9"/>
        <v>0.24424523484916277</v>
      </c>
      <c r="P62" s="1">
        <f t="shared" si="1"/>
        <v>3033</v>
      </c>
      <c r="Q62" s="1">
        <f>inhospital_tot__2[[#This Row],[infected_per_day]]/inhospital_tot__2[[#This Row],[Test per day]]</f>
        <v>2.8499654955144167</v>
      </c>
      <c r="R62" s="18">
        <f>inhospital_tot__2[[#This Row],[nuovi_positivi_alla_data]]*(1 + $T$28)</f>
        <v>7520.6437182748314</v>
      </c>
    </row>
    <row r="63" spans="1:18" x14ac:dyDescent="0.2">
      <c r="A63" s="6">
        <v>43945.708333333336</v>
      </c>
      <c r="B63">
        <v>22068</v>
      </c>
      <c r="C63">
        <v>2173</v>
      </c>
      <c r="D63">
        <v>24241</v>
      </c>
      <c r="E63">
        <v>82286</v>
      </c>
      <c r="F63">
        <v>106527</v>
      </c>
      <c r="G63">
        <v>3021</v>
      </c>
      <c r="H63">
        <v>60498</v>
      </c>
      <c r="I63">
        <v>25969</v>
      </c>
      <c r="J63">
        <v>192994</v>
      </c>
      <c r="K63">
        <v>1642356</v>
      </c>
      <c r="L63">
        <f t="shared" si="5"/>
        <v>62447</v>
      </c>
      <c r="M63" s="1">
        <f t="shared" si="0"/>
        <v>192994</v>
      </c>
      <c r="N63" s="1">
        <f t="shared" si="8"/>
        <v>420</v>
      </c>
      <c r="O63" s="1">
        <f t="shared" si="9"/>
        <v>0.21762334580349646</v>
      </c>
      <c r="P63" s="1">
        <f t="shared" si="1"/>
        <v>2922</v>
      </c>
      <c r="Q63" s="1">
        <f>inhospital_tot__2[[#This Row],[infected_per_day]]/inhospital_tot__2[[#This Row],[Test per day]]</f>
        <v>3.0905247650007208</v>
      </c>
      <c r="R63" s="18">
        <f>inhospital_tot__2[[#This Row],[nuovi_positivi_alla_data]]*(1 + $T$28)</f>
        <v>8586.4945853772733</v>
      </c>
    </row>
    <row r="64" spans="1:18" x14ac:dyDescent="0.2">
      <c r="A64" s="6">
        <v>43946.708333333336</v>
      </c>
      <c r="B64">
        <v>21533</v>
      </c>
      <c r="C64">
        <v>2102</v>
      </c>
      <c r="D64">
        <v>23635</v>
      </c>
      <c r="E64">
        <v>82212</v>
      </c>
      <c r="F64">
        <v>105847</v>
      </c>
      <c r="G64">
        <v>2357</v>
      </c>
      <c r="H64">
        <v>63120</v>
      </c>
      <c r="I64">
        <v>26384</v>
      </c>
      <c r="J64">
        <v>195351</v>
      </c>
      <c r="K64">
        <v>1707743</v>
      </c>
      <c r="L64">
        <f t="shared" si="5"/>
        <v>65387</v>
      </c>
      <c r="M64" s="1">
        <f t="shared" si="0"/>
        <v>195351</v>
      </c>
      <c r="N64" s="1">
        <f t="shared" si="8"/>
        <v>415</v>
      </c>
      <c r="O64" s="1">
        <f t="shared" si="9"/>
        <v>0.21243812419695832</v>
      </c>
      <c r="P64" s="1">
        <f t="shared" si="1"/>
        <v>2622</v>
      </c>
      <c r="Q64" s="1">
        <f>inhospital_tot__2[[#This Row],[infected_per_day]]/inhospital_tot__2[[#This Row],[Test per day]]</f>
        <v>2.9876122164956338</v>
      </c>
      <c r="R64" s="18">
        <f>inhospital_tot__2[[#This Row],[nuovi_positivi_alla_data]]*(1 + $T$28)</f>
        <v>6699.2279833612156</v>
      </c>
    </row>
    <row r="65" spans="1:18" x14ac:dyDescent="0.2">
      <c r="A65" s="6">
        <v>43947.708333333336</v>
      </c>
      <c r="B65">
        <v>21372</v>
      </c>
      <c r="C65">
        <v>2009</v>
      </c>
      <c r="D65">
        <v>23381</v>
      </c>
      <c r="E65">
        <v>82722</v>
      </c>
      <c r="F65">
        <v>106103</v>
      </c>
      <c r="G65">
        <v>2324</v>
      </c>
      <c r="H65">
        <v>64928</v>
      </c>
      <c r="I65">
        <v>26644</v>
      </c>
      <c r="J65">
        <v>197675</v>
      </c>
      <c r="K65">
        <v>1757659</v>
      </c>
      <c r="L65">
        <f t="shared" si="5"/>
        <v>49916</v>
      </c>
      <c r="M65" s="1">
        <f t="shared" si="0"/>
        <v>197675</v>
      </c>
      <c r="N65" s="1">
        <f t="shared" si="8"/>
        <v>260</v>
      </c>
      <c r="O65" s="1">
        <f t="shared" si="9"/>
        <v>0.13152902491463259</v>
      </c>
      <c r="P65" s="1">
        <f t="shared" si="1"/>
        <v>1808</v>
      </c>
      <c r="Q65" s="1">
        <f>inhospital_tot__2[[#This Row],[infected_per_day]]/inhospital_tot__2[[#This Row],[Test per day]]</f>
        <v>3.9601530571359884</v>
      </c>
      <c r="R65" s="18">
        <f>inhospital_tot__2[[#This Row],[nuovi_positivi_alla_data]]*(1 + $T$28)</f>
        <v>6605.4331070562012</v>
      </c>
    </row>
    <row r="66" spans="1:18" x14ac:dyDescent="0.2">
      <c r="A66" s="6">
        <v>43948.708333333336</v>
      </c>
      <c r="B66">
        <v>20353</v>
      </c>
      <c r="C66">
        <v>1956</v>
      </c>
      <c r="D66">
        <v>22309</v>
      </c>
      <c r="E66">
        <v>83504</v>
      </c>
      <c r="F66">
        <v>105813</v>
      </c>
      <c r="G66">
        <v>1739</v>
      </c>
      <c r="H66">
        <v>66624</v>
      </c>
      <c r="I66">
        <v>26977</v>
      </c>
      <c r="J66">
        <v>199414</v>
      </c>
      <c r="K66">
        <v>1789662</v>
      </c>
      <c r="L66">
        <f t="shared" si="5"/>
        <v>32003</v>
      </c>
      <c r="M66" s="1">
        <f t="shared" si="0"/>
        <v>199414</v>
      </c>
      <c r="N66" s="1">
        <f t="shared" si="8"/>
        <v>333</v>
      </c>
      <c r="O66" s="1">
        <f t="shared" si="9"/>
        <v>0.16698927858625773</v>
      </c>
      <c r="P66" s="1">
        <f t="shared" si="1"/>
        <v>1696</v>
      </c>
      <c r="Q66" s="1">
        <f>inhospital_tot__2[[#This Row],[infected_per_day]]/inhospital_tot__2[[#This Row],[Test per day]]</f>
        <v>6.231103334062432</v>
      </c>
      <c r="R66" s="18">
        <f>inhospital_tot__2[[#This Row],[nuovi_positivi_alla_data]]*(1 + $T$28)</f>
        <v>4942.7057543763913</v>
      </c>
    </row>
    <row r="67" spans="1:18" x14ac:dyDescent="0.2">
      <c r="A67" s="6">
        <v>43949.708333333336</v>
      </c>
      <c r="B67">
        <v>19723</v>
      </c>
      <c r="C67">
        <v>1863</v>
      </c>
      <c r="D67">
        <v>21586</v>
      </c>
      <c r="E67">
        <v>83619</v>
      </c>
      <c r="F67">
        <v>105205</v>
      </c>
      <c r="G67">
        <v>2091</v>
      </c>
      <c r="H67">
        <v>68941</v>
      </c>
      <c r="I67">
        <v>27359</v>
      </c>
      <c r="J67">
        <v>201505</v>
      </c>
      <c r="K67">
        <v>1846934</v>
      </c>
      <c r="L67">
        <f t="shared" si="5"/>
        <v>57272</v>
      </c>
      <c r="M67" s="1">
        <f t="shared" ref="M67:M130" si="10">J67</f>
        <v>201505</v>
      </c>
      <c r="N67" s="1">
        <f t="shared" si="8"/>
        <v>382</v>
      </c>
      <c r="O67" s="1">
        <f t="shared" si="9"/>
        <v>0.18957345971563982</v>
      </c>
      <c r="P67" s="1">
        <f t="shared" ref="P67:P130" si="11">H67-H66</f>
        <v>2317</v>
      </c>
      <c r="Q67" s="1">
        <f>inhospital_tot__2[[#This Row],[infected_per_day]]/inhospital_tot__2[[#This Row],[Test per day]]</f>
        <v>3.5183859477580666</v>
      </c>
      <c r="R67" s="18">
        <f>inhospital_tot__2[[#This Row],[nuovi_positivi_alla_data]]*(1 + $T$28)</f>
        <v>5943.1844349632165</v>
      </c>
    </row>
    <row r="68" spans="1:18" x14ac:dyDescent="0.2">
      <c r="A68" s="6">
        <v>43950.708333333336</v>
      </c>
      <c r="B68">
        <v>19210</v>
      </c>
      <c r="C68">
        <v>1795</v>
      </c>
      <c r="D68">
        <v>21005</v>
      </c>
      <c r="E68">
        <v>83652</v>
      </c>
      <c r="F68">
        <v>104657</v>
      </c>
      <c r="G68">
        <v>2086</v>
      </c>
      <c r="H68">
        <v>71252</v>
      </c>
      <c r="I68">
        <v>27682</v>
      </c>
      <c r="J68">
        <v>203591</v>
      </c>
      <c r="K68">
        <v>1910761</v>
      </c>
      <c r="L68">
        <f t="shared" si="5"/>
        <v>63827</v>
      </c>
      <c r="M68" s="1">
        <f t="shared" si="10"/>
        <v>203591</v>
      </c>
      <c r="N68" s="1">
        <f t="shared" si="8"/>
        <v>323</v>
      </c>
      <c r="O68" s="1">
        <f t="shared" si="9"/>
        <v>0.15865141386407061</v>
      </c>
      <c r="P68" s="1">
        <f t="shared" si="11"/>
        <v>2311</v>
      </c>
      <c r="Q68" s="1">
        <f>inhospital_tot__2[[#This Row],[infected_per_day]]/inhospital_tot__2[[#This Row],[Test per day]]</f>
        <v>3.189731618280665</v>
      </c>
      <c r="R68" s="18">
        <f>inhospital_tot__2[[#This Row],[nuovi_positivi_alla_data]]*(1 + $T$28)</f>
        <v>5928.9730900685172</v>
      </c>
    </row>
    <row r="69" spans="1:18" x14ac:dyDescent="0.2">
      <c r="A69" s="6">
        <v>43951.708333333336</v>
      </c>
      <c r="B69">
        <v>18149</v>
      </c>
      <c r="C69">
        <v>1694</v>
      </c>
      <c r="D69">
        <v>19843</v>
      </c>
      <c r="E69">
        <v>81708</v>
      </c>
      <c r="F69">
        <v>101551</v>
      </c>
      <c r="G69">
        <v>1872</v>
      </c>
      <c r="H69">
        <v>75945</v>
      </c>
      <c r="I69">
        <v>27967</v>
      </c>
      <c r="J69">
        <v>205463</v>
      </c>
      <c r="K69">
        <v>1979217</v>
      </c>
      <c r="L69">
        <f t="shared" si="5"/>
        <v>68456</v>
      </c>
      <c r="M69" s="1">
        <f t="shared" si="10"/>
        <v>205463</v>
      </c>
      <c r="N69" s="1">
        <f t="shared" si="8"/>
        <v>285</v>
      </c>
      <c r="O69" s="1">
        <f t="shared" si="9"/>
        <v>0.13871110613589793</v>
      </c>
      <c r="P69" s="1">
        <f t="shared" si="11"/>
        <v>4693</v>
      </c>
      <c r="Q69" s="1">
        <f>inhospital_tot__2[[#This Row],[infected_per_day]]/inhospital_tot__2[[#This Row],[Test per day]]</f>
        <v>3.0013877527170738</v>
      </c>
      <c r="R69" s="18">
        <f>inhospital_tot__2[[#This Row],[nuovi_positivi_alla_data]]*(1 + $T$28)</f>
        <v>5320.7275285753904</v>
      </c>
    </row>
    <row r="70" spans="1:18" x14ac:dyDescent="0.2">
      <c r="A70" s="6">
        <v>43952.708333333336</v>
      </c>
      <c r="B70">
        <v>17569</v>
      </c>
      <c r="C70">
        <v>1578</v>
      </c>
      <c r="D70">
        <v>19147</v>
      </c>
      <c r="E70">
        <v>81796</v>
      </c>
      <c r="F70">
        <v>100943</v>
      </c>
      <c r="G70">
        <v>1965</v>
      </c>
      <c r="H70">
        <v>78249</v>
      </c>
      <c r="I70">
        <v>28236</v>
      </c>
      <c r="J70">
        <v>207428</v>
      </c>
      <c r="K70">
        <v>2053425</v>
      </c>
      <c r="L70">
        <f t="shared" si="5"/>
        <v>74208</v>
      </c>
      <c r="M70" s="1">
        <f t="shared" si="10"/>
        <v>207428</v>
      </c>
      <c r="N70" s="1">
        <f t="shared" si="8"/>
        <v>269</v>
      </c>
      <c r="O70" s="1">
        <f t="shared" si="9"/>
        <v>0.12968355284725303</v>
      </c>
      <c r="P70" s="1">
        <f t="shared" si="11"/>
        <v>2304</v>
      </c>
      <c r="Q70" s="1">
        <f>inhospital_tot__2[[#This Row],[infected_per_day]]/inhospital_tot__2[[#This Row],[Test per day]]</f>
        <v>2.7952242345838725</v>
      </c>
      <c r="R70" s="18">
        <f>inhospital_tot__2[[#This Row],[nuovi_positivi_alla_data]]*(1 + $T$28)</f>
        <v>5585.0585436167967</v>
      </c>
    </row>
    <row r="71" spans="1:18" x14ac:dyDescent="0.2">
      <c r="A71" s="6">
        <v>43953.708333333336</v>
      </c>
      <c r="B71">
        <v>17357</v>
      </c>
      <c r="C71">
        <v>1539</v>
      </c>
      <c r="D71">
        <v>18896</v>
      </c>
      <c r="E71">
        <v>81808</v>
      </c>
      <c r="F71">
        <v>100704</v>
      </c>
      <c r="G71">
        <v>1900</v>
      </c>
      <c r="H71">
        <v>79914</v>
      </c>
      <c r="I71">
        <v>28710</v>
      </c>
      <c r="J71">
        <v>209328</v>
      </c>
      <c r="K71">
        <v>2108837</v>
      </c>
      <c r="L71">
        <f t="shared" si="5"/>
        <v>55412</v>
      </c>
      <c r="M71" s="1">
        <f t="shared" si="10"/>
        <v>209328</v>
      </c>
      <c r="N71" s="1">
        <f t="shared" si="8"/>
        <v>474</v>
      </c>
      <c r="O71" s="1">
        <f t="shared" si="9"/>
        <v>0.22643889016280669</v>
      </c>
      <c r="P71" s="1">
        <f t="shared" si="11"/>
        <v>1665</v>
      </c>
      <c r="Q71" s="1">
        <f>inhospital_tot__2[[#This Row],[infected_per_day]]/inhospital_tot__2[[#This Row],[Test per day]]</f>
        <v>3.77766548762001</v>
      </c>
      <c r="R71" s="18">
        <f>inhospital_tot__2[[#This Row],[nuovi_positivi_alla_data]]*(1 + $T$28)</f>
        <v>5400.3110599857064</v>
      </c>
    </row>
    <row r="72" spans="1:18" x14ac:dyDescent="0.2">
      <c r="A72" s="6">
        <v>43954.708333333336</v>
      </c>
      <c r="B72">
        <v>17242</v>
      </c>
      <c r="C72">
        <v>1501</v>
      </c>
      <c r="D72">
        <v>18743</v>
      </c>
      <c r="E72">
        <v>81436</v>
      </c>
      <c r="F72">
        <v>100179</v>
      </c>
      <c r="G72">
        <v>1389</v>
      </c>
      <c r="H72">
        <v>81654</v>
      </c>
      <c r="I72">
        <v>28884</v>
      </c>
      <c r="J72">
        <v>210717</v>
      </c>
      <c r="K72">
        <v>2153772</v>
      </c>
      <c r="L72">
        <f t="shared" si="5"/>
        <v>44935</v>
      </c>
      <c r="M72" s="1">
        <f t="shared" si="10"/>
        <v>210717</v>
      </c>
      <c r="N72" s="1">
        <f t="shared" si="8"/>
        <v>174</v>
      </c>
      <c r="O72" s="1">
        <f t="shared" si="9"/>
        <v>8.2575207505801621E-2</v>
      </c>
      <c r="P72" s="1">
        <f t="shared" si="11"/>
        <v>1740</v>
      </c>
      <c r="Q72" s="1">
        <f>inhospital_tot__2[[#This Row],[infected_per_day]]/inhospital_tot__2[[#This Row],[Test per day]]</f>
        <v>4.6893735395571383</v>
      </c>
      <c r="R72" s="18">
        <f>inhospital_tot__2[[#This Row],[nuovi_positivi_alla_data]]*(1 + $T$28)</f>
        <v>3947.9116117474455</v>
      </c>
    </row>
    <row r="73" spans="1:18" x14ac:dyDescent="0.2">
      <c r="A73" s="6">
        <v>43955.708333333336</v>
      </c>
      <c r="B73">
        <v>16823</v>
      </c>
      <c r="C73">
        <v>1479</v>
      </c>
      <c r="D73">
        <v>18302</v>
      </c>
      <c r="E73">
        <v>81678</v>
      </c>
      <c r="F73">
        <v>99980</v>
      </c>
      <c r="G73">
        <v>1221</v>
      </c>
      <c r="H73">
        <v>82879</v>
      </c>
      <c r="I73">
        <v>29079</v>
      </c>
      <c r="J73">
        <v>211938</v>
      </c>
      <c r="K73">
        <v>2191403</v>
      </c>
      <c r="L73">
        <f t="shared" si="5"/>
        <v>37631</v>
      </c>
      <c r="M73" s="1">
        <f t="shared" si="10"/>
        <v>211938</v>
      </c>
      <c r="N73" s="1">
        <f t="shared" si="8"/>
        <v>195</v>
      </c>
      <c r="O73" s="1">
        <f t="shared" si="9"/>
        <v>9.200804008719532E-2</v>
      </c>
      <c r="P73" s="1">
        <f t="shared" si="11"/>
        <v>1225</v>
      </c>
      <c r="Q73" s="1">
        <f>inhospital_tot__2[[#This Row],[infected_per_day]]/inhospital_tot__2[[#This Row],[Test per day]]</f>
        <v>5.6320055273577632</v>
      </c>
      <c r="R73" s="18">
        <f>inhospital_tot__2[[#This Row],[nuovi_positivi_alla_data]]*(1 + $T$28)</f>
        <v>3470.4104232855511</v>
      </c>
    </row>
    <row r="74" spans="1:18" x14ac:dyDescent="0.2">
      <c r="A74" s="6">
        <v>43956.708333333336</v>
      </c>
      <c r="B74">
        <v>16270</v>
      </c>
      <c r="C74">
        <v>1427</v>
      </c>
      <c r="D74">
        <v>17697</v>
      </c>
      <c r="E74">
        <v>80770</v>
      </c>
      <c r="F74">
        <v>98467</v>
      </c>
      <c r="G74">
        <v>1075</v>
      </c>
      <c r="H74">
        <v>85231</v>
      </c>
      <c r="I74">
        <v>29315</v>
      </c>
      <c r="J74">
        <v>213013</v>
      </c>
      <c r="K74">
        <v>2246666</v>
      </c>
      <c r="L74">
        <f t="shared" si="5"/>
        <v>55263</v>
      </c>
      <c r="M74" s="1">
        <f t="shared" si="10"/>
        <v>213013</v>
      </c>
      <c r="N74" s="1">
        <f t="shared" si="8"/>
        <v>236</v>
      </c>
      <c r="O74" s="1">
        <f t="shared" si="9"/>
        <v>0.11079136015172783</v>
      </c>
      <c r="P74" s="1">
        <f t="shared" si="11"/>
        <v>2352</v>
      </c>
      <c r="Q74" s="1">
        <f>inhospital_tot__2[[#This Row],[infected_per_day]]/inhospital_tot__2[[#This Row],[Test per day]]</f>
        <v>3.8545319653294245</v>
      </c>
      <c r="R74" s="18">
        <f>inhospital_tot__2[[#This Row],[nuovi_positivi_alla_data]]*(1 + $T$28)</f>
        <v>3055.439152360334</v>
      </c>
    </row>
    <row r="75" spans="1:18" x14ac:dyDescent="0.2">
      <c r="A75" s="6">
        <v>43957.708333333336</v>
      </c>
      <c r="B75">
        <v>15769</v>
      </c>
      <c r="C75">
        <v>1333</v>
      </c>
      <c r="D75">
        <v>17102</v>
      </c>
      <c r="E75">
        <v>74426</v>
      </c>
      <c r="F75">
        <v>91528</v>
      </c>
      <c r="G75">
        <v>1444</v>
      </c>
      <c r="H75">
        <v>93245</v>
      </c>
      <c r="I75">
        <v>29684</v>
      </c>
      <c r="J75">
        <v>214457</v>
      </c>
      <c r="K75">
        <v>2310929</v>
      </c>
      <c r="L75">
        <f t="shared" si="5"/>
        <v>64263</v>
      </c>
      <c r="M75" s="1">
        <f t="shared" si="10"/>
        <v>214457</v>
      </c>
      <c r="N75" s="1">
        <f t="shared" si="8"/>
        <v>369</v>
      </c>
      <c r="O75" s="1">
        <f t="shared" si="9"/>
        <v>0.17206246473652062</v>
      </c>
      <c r="P75" s="1">
        <f t="shared" si="11"/>
        <v>8014</v>
      </c>
      <c r="Q75" s="1">
        <f>inhospital_tot__2[[#This Row],[infected_per_day]]/inhospital_tot__2[[#This Row],[Test per day]]</f>
        <v>3.3371769136205902</v>
      </c>
      <c r="R75" s="18">
        <f>inhospital_tot__2[[#This Row],[nuovi_positivi_alla_data]]*(1 + $T$28)</f>
        <v>4104.2364055891367</v>
      </c>
    </row>
    <row r="76" spans="1:18" x14ac:dyDescent="0.2">
      <c r="A76" s="6">
        <v>43958.708333333336</v>
      </c>
      <c r="B76">
        <v>15174</v>
      </c>
      <c r="C76">
        <v>1311</v>
      </c>
      <c r="D76">
        <v>16485</v>
      </c>
      <c r="E76">
        <v>73139</v>
      </c>
      <c r="F76">
        <v>89624</v>
      </c>
      <c r="G76">
        <v>1401</v>
      </c>
      <c r="H76">
        <v>96276</v>
      </c>
      <c r="I76">
        <v>29958</v>
      </c>
      <c r="J76">
        <v>215858</v>
      </c>
      <c r="K76">
        <v>2381288</v>
      </c>
      <c r="L76">
        <f t="shared" si="5"/>
        <v>70359</v>
      </c>
      <c r="M76" s="1">
        <f t="shared" si="10"/>
        <v>215858</v>
      </c>
      <c r="N76" s="1">
        <f t="shared" si="8"/>
        <v>274</v>
      </c>
      <c r="O76" s="1">
        <f t="shared" si="9"/>
        <v>0.1269353000583717</v>
      </c>
      <c r="P76" s="1">
        <f t="shared" si="11"/>
        <v>3031</v>
      </c>
      <c r="Q76" s="1">
        <f>inhospital_tot__2[[#This Row],[infected_per_day]]/inhospital_tot__2[[#This Row],[Test per day]]</f>
        <v>3.0679515058485767</v>
      </c>
      <c r="R76" s="18">
        <f>inhospital_tot__2[[#This Row],[nuovi_positivi_alla_data]]*(1 + $T$28)</f>
        <v>3982.0188394947236</v>
      </c>
    </row>
    <row r="77" spans="1:18" x14ac:dyDescent="0.2">
      <c r="A77" s="6">
        <v>43959.708333333336</v>
      </c>
      <c r="B77">
        <v>14636</v>
      </c>
      <c r="C77">
        <v>1168</v>
      </c>
      <c r="D77">
        <v>15804</v>
      </c>
      <c r="E77">
        <v>72157</v>
      </c>
      <c r="F77">
        <v>87961</v>
      </c>
      <c r="G77">
        <v>1327</v>
      </c>
      <c r="H77">
        <v>99023</v>
      </c>
      <c r="I77">
        <v>30201</v>
      </c>
      <c r="J77">
        <v>217185</v>
      </c>
      <c r="K77">
        <v>2445063</v>
      </c>
      <c r="L77">
        <f t="shared" si="5"/>
        <v>63775</v>
      </c>
      <c r="M77" s="1">
        <f t="shared" si="10"/>
        <v>217185</v>
      </c>
      <c r="N77" s="1">
        <f t="shared" si="8"/>
        <v>243</v>
      </c>
      <c r="O77" s="1">
        <f t="shared" si="9"/>
        <v>0.11188617998480557</v>
      </c>
      <c r="P77" s="1">
        <f t="shared" si="11"/>
        <v>2747</v>
      </c>
      <c r="Q77" s="1">
        <f>inhospital_tot__2[[#This Row],[infected_per_day]]/inhospital_tot__2[[#This Row],[Test per day]]</f>
        <v>3.4054880439043513</v>
      </c>
      <c r="R77" s="18">
        <f>inhospital_tot__2[[#This Row],[nuovi_positivi_alla_data]]*(1 + $T$28)</f>
        <v>3771.6909350531751</v>
      </c>
    </row>
    <row r="78" spans="1:18" x14ac:dyDescent="0.2">
      <c r="A78" s="6">
        <v>43960.708333333336</v>
      </c>
      <c r="B78">
        <v>13834</v>
      </c>
      <c r="C78">
        <v>1034</v>
      </c>
      <c r="D78">
        <v>14868</v>
      </c>
      <c r="E78">
        <v>69974</v>
      </c>
      <c r="F78">
        <v>84842</v>
      </c>
      <c r="G78">
        <v>1083</v>
      </c>
      <c r="H78">
        <v>103031</v>
      </c>
      <c r="I78">
        <v>30395</v>
      </c>
      <c r="J78">
        <v>218268</v>
      </c>
      <c r="K78">
        <v>2514234</v>
      </c>
      <c r="L78">
        <f t="shared" si="5"/>
        <v>69171</v>
      </c>
      <c r="M78" s="1">
        <f t="shared" si="10"/>
        <v>218268</v>
      </c>
      <c r="N78" s="1">
        <f t="shared" si="8"/>
        <v>194</v>
      </c>
      <c r="O78" s="1">
        <f t="shared" si="9"/>
        <v>8.8881558451078493E-2</v>
      </c>
      <c r="P78" s="1">
        <f t="shared" si="11"/>
        <v>4008</v>
      </c>
      <c r="Q78" s="1">
        <f>inhospital_tot__2[[#This Row],[infected_per_day]]/inhospital_tot__2[[#This Row],[Test per day]]</f>
        <v>3.1554842347226439</v>
      </c>
      <c r="R78" s="18">
        <f>inhospital_tot__2[[#This Row],[nuovi_positivi_alla_data]]*(1 + $T$28)</f>
        <v>3078.1773041918527</v>
      </c>
    </row>
    <row r="79" spans="1:18" x14ac:dyDescent="0.2">
      <c r="A79" s="6">
        <v>43961.708333333336</v>
      </c>
      <c r="B79">
        <v>13618</v>
      </c>
      <c r="C79">
        <v>1027</v>
      </c>
      <c r="D79">
        <v>14645</v>
      </c>
      <c r="E79">
        <v>68679</v>
      </c>
      <c r="F79">
        <v>83324</v>
      </c>
      <c r="G79">
        <v>802</v>
      </c>
      <c r="H79">
        <v>105186</v>
      </c>
      <c r="I79">
        <v>30560</v>
      </c>
      <c r="J79">
        <v>219070</v>
      </c>
      <c r="K79">
        <v>2565912</v>
      </c>
      <c r="L79">
        <f t="shared" si="5"/>
        <v>51678</v>
      </c>
      <c r="M79" s="1">
        <f t="shared" si="10"/>
        <v>219070</v>
      </c>
      <c r="N79" s="1">
        <f t="shared" si="8"/>
        <v>165</v>
      </c>
      <c r="O79" s="1">
        <f t="shared" si="9"/>
        <v>7.5318391381750116E-2</v>
      </c>
      <c r="P79" s="1">
        <f t="shared" si="11"/>
        <v>2155</v>
      </c>
      <c r="Q79" s="1">
        <f>inhospital_tot__2[[#This Row],[infected_per_day]]/inhospital_tot__2[[#This Row],[Test per day]]</f>
        <v>4.2391346414334921</v>
      </c>
      <c r="R79" s="18">
        <f>inhospital_tot__2[[#This Row],[nuovi_positivi_alla_data]]*(1 + $T$28)</f>
        <v>2279.4997211097561</v>
      </c>
    </row>
    <row r="80" spans="1:18" x14ac:dyDescent="0.2">
      <c r="A80" s="6">
        <v>43962.708333333336</v>
      </c>
      <c r="B80">
        <v>13539</v>
      </c>
      <c r="C80">
        <v>999</v>
      </c>
      <c r="D80">
        <v>14538</v>
      </c>
      <c r="E80">
        <v>67950</v>
      </c>
      <c r="F80">
        <v>82488</v>
      </c>
      <c r="G80">
        <v>744</v>
      </c>
      <c r="H80">
        <v>106587</v>
      </c>
      <c r="I80">
        <v>30739</v>
      </c>
      <c r="J80">
        <v>219814</v>
      </c>
      <c r="K80">
        <v>2606652</v>
      </c>
      <c r="L80">
        <f t="shared" si="5"/>
        <v>40740</v>
      </c>
      <c r="M80" s="1">
        <f t="shared" si="10"/>
        <v>219814</v>
      </c>
      <c r="N80" s="1">
        <f t="shared" si="8"/>
        <v>179</v>
      </c>
      <c r="O80" s="1">
        <f t="shared" si="9"/>
        <v>8.1432483827235752E-2</v>
      </c>
      <c r="P80" s="1">
        <f t="shared" si="11"/>
        <v>1401</v>
      </c>
      <c r="Q80" s="1">
        <f>inhospital_tot__2[[#This Row],[infected_per_day]]/inhospital_tot__2[[#This Row],[Test per day]]</f>
        <v>5.3955326460481103</v>
      </c>
      <c r="R80" s="18">
        <f>inhospital_tot__2[[#This Row],[nuovi_positivi_alla_data]]*(1 + $T$28)</f>
        <v>2114.6481203312451</v>
      </c>
    </row>
    <row r="81" spans="1:18" x14ac:dyDescent="0.2">
      <c r="A81" s="6">
        <v>43963.708333333336</v>
      </c>
      <c r="B81">
        <v>12865</v>
      </c>
      <c r="C81">
        <v>952</v>
      </c>
      <c r="D81">
        <v>13817</v>
      </c>
      <c r="E81">
        <v>67449</v>
      </c>
      <c r="F81">
        <v>81266</v>
      </c>
      <c r="G81">
        <v>1402</v>
      </c>
      <c r="H81">
        <v>109039</v>
      </c>
      <c r="I81">
        <v>30911</v>
      </c>
      <c r="J81">
        <v>221216</v>
      </c>
      <c r="K81">
        <v>2673655</v>
      </c>
      <c r="L81">
        <f t="shared" si="5"/>
        <v>67003</v>
      </c>
      <c r="M81" s="1">
        <f t="shared" si="10"/>
        <v>221216</v>
      </c>
      <c r="N81" s="1">
        <f t="shared" si="8"/>
        <v>172</v>
      </c>
      <c r="O81" s="1">
        <f t="shared" si="9"/>
        <v>7.7752061333719077E-2</v>
      </c>
      <c r="P81" s="1">
        <f t="shared" si="11"/>
        <v>2452</v>
      </c>
      <c r="Q81" s="1">
        <f>inhospital_tot__2[[#This Row],[infected_per_day]]/inhospital_tot__2[[#This Row],[Test per day]]</f>
        <v>3.3015835111860663</v>
      </c>
      <c r="R81" s="18">
        <f>inhospital_tot__2[[#This Row],[nuovi_positivi_alla_data]]*(1 + $T$28)</f>
        <v>3984.8611084736631</v>
      </c>
    </row>
    <row r="82" spans="1:18" x14ac:dyDescent="0.2">
      <c r="A82" s="6">
        <v>43964.708333333336</v>
      </c>
      <c r="B82">
        <v>12172</v>
      </c>
      <c r="C82">
        <v>893</v>
      </c>
      <c r="D82">
        <v>13065</v>
      </c>
      <c r="E82">
        <v>65392</v>
      </c>
      <c r="F82">
        <v>78457</v>
      </c>
      <c r="G82">
        <v>888</v>
      </c>
      <c r="H82">
        <v>112541</v>
      </c>
      <c r="I82">
        <v>31106</v>
      </c>
      <c r="J82">
        <v>222104</v>
      </c>
      <c r="K82">
        <v>2735628</v>
      </c>
      <c r="L82">
        <f t="shared" si="5"/>
        <v>61973</v>
      </c>
      <c r="M82" s="1">
        <f t="shared" si="10"/>
        <v>222104</v>
      </c>
      <c r="N82" s="1">
        <f t="shared" si="8"/>
        <v>195</v>
      </c>
      <c r="O82" s="1">
        <f t="shared" si="9"/>
        <v>8.7796707848575448E-2</v>
      </c>
      <c r="P82" s="1">
        <f t="shared" si="11"/>
        <v>3502</v>
      </c>
      <c r="Q82" s="1">
        <f>inhospital_tot__2[[#This Row],[infected_per_day]]/inhospital_tot__2[[#This Row],[Test per day]]</f>
        <v>3.5838833040194924</v>
      </c>
      <c r="R82" s="18">
        <f>inhospital_tot__2[[#This Row],[nuovi_positivi_alla_data]]*(1 + $T$28)</f>
        <v>2523.9348532985828</v>
      </c>
    </row>
    <row r="83" spans="1:18" x14ac:dyDescent="0.2">
      <c r="A83" s="6">
        <v>43965.708333333336</v>
      </c>
      <c r="B83">
        <v>11453</v>
      </c>
      <c r="C83">
        <v>855</v>
      </c>
      <c r="D83">
        <v>12308</v>
      </c>
      <c r="E83">
        <v>64132</v>
      </c>
      <c r="F83">
        <v>76440</v>
      </c>
      <c r="G83">
        <v>992</v>
      </c>
      <c r="H83">
        <v>115288</v>
      </c>
      <c r="I83">
        <v>31368</v>
      </c>
      <c r="J83">
        <v>223096</v>
      </c>
      <c r="K83">
        <v>2807504</v>
      </c>
      <c r="L83">
        <f t="shared" si="5"/>
        <v>71876</v>
      </c>
      <c r="M83" s="1">
        <f t="shared" si="10"/>
        <v>223096</v>
      </c>
      <c r="N83" s="1">
        <f t="shared" si="8"/>
        <v>262</v>
      </c>
      <c r="O83" s="1">
        <f t="shared" si="9"/>
        <v>0.11743823286836159</v>
      </c>
      <c r="P83" s="1">
        <f t="shared" si="11"/>
        <v>2747</v>
      </c>
      <c r="Q83" s="1">
        <f>inhospital_tot__2[[#This Row],[infected_per_day]]/inhospital_tot__2[[#This Row],[Test per day]]</f>
        <v>3.1039011631142523</v>
      </c>
      <c r="R83" s="18">
        <f>inhospital_tot__2[[#This Row],[nuovi_positivi_alla_data]]*(1 + $T$28)</f>
        <v>2819.5308271083268</v>
      </c>
    </row>
    <row r="84" spans="1:18" x14ac:dyDescent="0.2">
      <c r="A84" s="6">
        <v>43966.708333333336</v>
      </c>
      <c r="B84">
        <v>10792</v>
      </c>
      <c r="C84">
        <v>808</v>
      </c>
      <c r="D84">
        <v>11600</v>
      </c>
      <c r="E84">
        <v>60470</v>
      </c>
      <c r="F84">
        <v>72070</v>
      </c>
      <c r="G84">
        <v>789</v>
      </c>
      <c r="H84">
        <v>120205</v>
      </c>
      <c r="I84">
        <v>31610</v>
      </c>
      <c r="J84">
        <v>223885</v>
      </c>
      <c r="K84">
        <v>2875680</v>
      </c>
      <c r="L84">
        <f t="shared" si="5"/>
        <v>68176</v>
      </c>
      <c r="M84" s="1">
        <f t="shared" si="10"/>
        <v>223885</v>
      </c>
      <c r="N84" s="1">
        <f t="shared" si="8"/>
        <v>242</v>
      </c>
      <c r="O84" s="1">
        <f t="shared" si="9"/>
        <v>0.10809120753958507</v>
      </c>
      <c r="P84" s="1">
        <f t="shared" si="11"/>
        <v>4917</v>
      </c>
      <c r="Q84" s="1">
        <f>inhospital_tot__2[[#This Row],[infected_per_day]]/inhospital_tot__2[[#This Row],[Test per day]]</f>
        <v>3.283926895095048</v>
      </c>
      <c r="R84" s="18">
        <f>inhospital_tot__2[[#This Row],[nuovi_positivi_alla_data]]*(1 + $T$28)</f>
        <v>2242.5502243835381</v>
      </c>
    </row>
    <row r="85" spans="1:18" x14ac:dyDescent="0.2">
      <c r="A85" s="6">
        <v>43967.708333333336</v>
      </c>
      <c r="B85">
        <v>10400</v>
      </c>
      <c r="C85">
        <v>775</v>
      </c>
      <c r="D85">
        <v>11175</v>
      </c>
      <c r="E85">
        <v>59012</v>
      </c>
      <c r="F85">
        <v>70187</v>
      </c>
      <c r="G85">
        <v>875</v>
      </c>
      <c r="H85">
        <v>122810</v>
      </c>
      <c r="I85">
        <v>31763</v>
      </c>
      <c r="J85">
        <v>224760</v>
      </c>
      <c r="K85">
        <v>2944859</v>
      </c>
      <c r="L85">
        <f t="shared" si="5"/>
        <v>69179</v>
      </c>
      <c r="M85" s="1">
        <f t="shared" si="10"/>
        <v>224760</v>
      </c>
      <c r="N85" s="1">
        <f t="shared" si="8"/>
        <v>153</v>
      </c>
      <c r="O85" s="1">
        <f t="shared" si="9"/>
        <v>6.8072610784837159E-2</v>
      </c>
      <c r="P85" s="1">
        <f t="shared" si="11"/>
        <v>2605</v>
      </c>
      <c r="Q85" s="1">
        <f>inhospital_tot__2[[#This Row],[infected_per_day]]/inhospital_tot__2[[#This Row],[Test per day]]</f>
        <v>3.2489628355425779</v>
      </c>
      <c r="R85" s="18">
        <f>inhospital_tot__2[[#This Row],[nuovi_positivi_alla_data]]*(1 + $T$28)</f>
        <v>2486.9853565723647</v>
      </c>
    </row>
    <row r="86" spans="1:18" x14ac:dyDescent="0.2">
      <c r="A86" s="6">
        <v>43968.708333333336</v>
      </c>
      <c r="B86">
        <v>10311</v>
      </c>
      <c r="C86">
        <v>762</v>
      </c>
      <c r="D86">
        <v>11073</v>
      </c>
      <c r="E86">
        <v>57278</v>
      </c>
      <c r="F86">
        <v>68351</v>
      </c>
      <c r="G86">
        <v>675</v>
      </c>
      <c r="H86">
        <v>125176</v>
      </c>
      <c r="I86">
        <v>31908</v>
      </c>
      <c r="J86">
        <v>225435</v>
      </c>
      <c r="K86">
        <v>3004960</v>
      </c>
      <c r="L86">
        <f t="shared" si="5"/>
        <v>60101</v>
      </c>
      <c r="M86" s="1">
        <f t="shared" si="10"/>
        <v>225435</v>
      </c>
      <c r="N86" s="1">
        <f t="shared" si="8"/>
        <v>145</v>
      </c>
      <c r="O86" s="1">
        <f t="shared" si="9"/>
        <v>6.4320092266063389E-2</v>
      </c>
      <c r="P86" s="1">
        <f t="shared" si="11"/>
        <v>2366</v>
      </c>
      <c r="Q86" s="1">
        <f>inhospital_tot__2[[#This Row],[infected_per_day]]/inhospital_tot__2[[#This Row],[Test per day]]</f>
        <v>3.7509359245270462</v>
      </c>
      <c r="R86" s="18">
        <f>inhospital_tot__2[[#This Row],[nuovi_positivi_alla_data]]*(1 + $T$28)</f>
        <v>1918.5315607843957</v>
      </c>
    </row>
    <row r="87" spans="1:18" x14ac:dyDescent="0.2">
      <c r="A87" s="6">
        <v>43969.708333333336</v>
      </c>
      <c r="B87">
        <v>10207</v>
      </c>
      <c r="C87">
        <v>749</v>
      </c>
      <c r="D87">
        <v>10956</v>
      </c>
      <c r="E87">
        <v>55597</v>
      </c>
      <c r="F87">
        <v>66553</v>
      </c>
      <c r="G87">
        <v>451</v>
      </c>
      <c r="H87">
        <v>127326</v>
      </c>
      <c r="I87">
        <v>32007</v>
      </c>
      <c r="J87">
        <v>225886</v>
      </c>
      <c r="K87">
        <v>3041366</v>
      </c>
      <c r="L87">
        <f t="shared" si="5"/>
        <v>36406</v>
      </c>
      <c r="M87" s="1">
        <f t="shared" si="10"/>
        <v>225886</v>
      </c>
      <c r="N87" s="1">
        <f t="shared" si="8"/>
        <v>99</v>
      </c>
      <c r="O87" s="1">
        <f t="shared" si="9"/>
        <v>4.3827417369823714E-2</v>
      </c>
      <c r="P87" s="1">
        <f t="shared" si="11"/>
        <v>2150</v>
      </c>
      <c r="Q87" s="1">
        <f>inhospital_tot__2[[#This Row],[infected_per_day]]/inhospital_tot__2[[#This Row],[Test per day]]</f>
        <v>6.2046365983629075</v>
      </c>
      <c r="R87" s="18">
        <f>inhospital_tot__2[[#This Row],[nuovi_positivi_alla_data]]*(1 + $T$28)</f>
        <v>1281.8633095018704</v>
      </c>
    </row>
    <row r="88" spans="1:18" x14ac:dyDescent="0.2">
      <c r="A88" s="6">
        <v>43970.708333333336</v>
      </c>
      <c r="B88">
        <v>9991</v>
      </c>
      <c r="C88">
        <v>716</v>
      </c>
      <c r="D88">
        <v>10707</v>
      </c>
      <c r="E88">
        <v>54422</v>
      </c>
      <c r="F88">
        <v>65129</v>
      </c>
      <c r="G88">
        <v>813</v>
      </c>
      <c r="H88">
        <v>129401</v>
      </c>
      <c r="I88">
        <v>32169</v>
      </c>
      <c r="J88">
        <v>226699</v>
      </c>
      <c r="K88">
        <v>3104524</v>
      </c>
      <c r="L88">
        <f t="shared" si="5"/>
        <v>63158</v>
      </c>
      <c r="M88" s="1">
        <f t="shared" si="10"/>
        <v>226699</v>
      </c>
      <c r="N88" s="1">
        <f t="shared" si="8"/>
        <v>162</v>
      </c>
      <c r="O88" s="1">
        <f t="shared" si="9"/>
        <v>7.1460394620179182E-2</v>
      </c>
      <c r="P88" s="1">
        <f t="shared" si="11"/>
        <v>2075</v>
      </c>
      <c r="Q88" s="1">
        <f>inhospital_tot__2[[#This Row],[infected_per_day]]/inhospital_tot__2[[#This Row],[Test per day]]</f>
        <v>3.5893948510085818</v>
      </c>
      <c r="R88" s="18">
        <f>inhospital_tot__2[[#This Row],[nuovi_positivi_alla_data]]*(1 + $T$28)</f>
        <v>2310.7646798780943</v>
      </c>
    </row>
    <row r="89" spans="1:18" x14ac:dyDescent="0.2">
      <c r="A89" s="6">
        <v>43971.708333333336</v>
      </c>
      <c r="B89">
        <v>9624</v>
      </c>
      <c r="C89">
        <v>676</v>
      </c>
      <c r="D89">
        <v>10300</v>
      </c>
      <c r="E89">
        <v>52452</v>
      </c>
      <c r="F89">
        <v>62752</v>
      </c>
      <c r="G89">
        <v>665</v>
      </c>
      <c r="H89">
        <v>132282</v>
      </c>
      <c r="I89">
        <v>32330</v>
      </c>
      <c r="J89">
        <v>227364</v>
      </c>
      <c r="K89">
        <v>3171719</v>
      </c>
      <c r="L89">
        <f t="shared" si="5"/>
        <v>67195</v>
      </c>
      <c r="M89" s="1">
        <f t="shared" si="10"/>
        <v>227364</v>
      </c>
      <c r="N89" s="1">
        <f t="shared" si="8"/>
        <v>161</v>
      </c>
      <c r="O89" s="1">
        <f t="shared" si="9"/>
        <v>7.0811562076670012E-2</v>
      </c>
      <c r="P89" s="1">
        <f t="shared" si="11"/>
        <v>2881</v>
      </c>
      <c r="Q89" s="1">
        <f>inhospital_tot__2[[#This Row],[infected_per_day]]/inhospital_tot__2[[#This Row],[Test per day]]</f>
        <v>3.3836446164149119</v>
      </c>
      <c r="R89" s="18">
        <f>inhospital_tot__2[[#This Row],[nuovi_positivi_alla_data]]*(1 + $T$28)</f>
        <v>1890.1088709949972</v>
      </c>
    </row>
    <row r="90" spans="1:18" x14ac:dyDescent="0.2">
      <c r="A90" s="6">
        <v>43972.708333333336</v>
      </c>
      <c r="B90">
        <v>9269</v>
      </c>
      <c r="C90">
        <v>640</v>
      </c>
      <c r="D90">
        <v>9909</v>
      </c>
      <c r="E90">
        <v>51051</v>
      </c>
      <c r="F90">
        <v>60960</v>
      </c>
      <c r="G90">
        <v>642</v>
      </c>
      <c r="H90">
        <v>134560</v>
      </c>
      <c r="I90">
        <v>32486</v>
      </c>
      <c r="J90">
        <v>228006</v>
      </c>
      <c r="K90">
        <v>3243398</v>
      </c>
      <c r="L90">
        <f t="shared" si="5"/>
        <v>71679</v>
      </c>
      <c r="M90" s="1">
        <f t="shared" si="10"/>
        <v>228006</v>
      </c>
      <c r="N90" s="1">
        <f t="shared" si="8"/>
        <v>156</v>
      </c>
      <c r="O90" s="1">
        <f t="shared" si="9"/>
        <v>6.8419252124944083E-2</v>
      </c>
      <c r="P90" s="1">
        <f t="shared" si="11"/>
        <v>2278</v>
      </c>
      <c r="Q90" s="1">
        <f>inhospital_tot__2[[#This Row],[infected_per_day]]/inhospital_tot__2[[#This Row],[Test per day]]</f>
        <v>3.1809316536223999</v>
      </c>
      <c r="R90" s="18">
        <f>inhospital_tot__2[[#This Row],[nuovi_positivi_alla_data]]*(1 + $T$28)</f>
        <v>1824.7366844793808</v>
      </c>
    </row>
    <row r="91" spans="1:18" x14ac:dyDescent="0.2">
      <c r="A91" s="6">
        <v>43973.708333333336</v>
      </c>
      <c r="B91">
        <v>8957</v>
      </c>
      <c r="C91">
        <v>595</v>
      </c>
      <c r="D91">
        <v>9552</v>
      </c>
      <c r="E91">
        <v>49770</v>
      </c>
      <c r="F91">
        <v>59322</v>
      </c>
      <c r="G91">
        <v>652</v>
      </c>
      <c r="H91">
        <v>136720</v>
      </c>
      <c r="I91">
        <v>32616</v>
      </c>
      <c r="J91">
        <v>228658</v>
      </c>
      <c r="K91">
        <v>3318778</v>
      </c>
      <c r="L91">
        <f t="shared" si="5"/>
        <v>75380</v>
      </c>
      <c r="M91" s="1">
        <f t="shared" si="10"/>
        <v>228658</v>
      </c>
      <c r="N91" s="1">
        <f t="shared" si="8"/>
        <v>130</v>
      </c>
      <c r="O91" s="1">
        <f t="shared" si="9"/>
        <v>5.6853466749468638E-2</v>
      </c>
      <c r="P91" s="1">
        <f t="shared" si="11"/>
        <v>2160</v>
      </c>
      <c r="Q91" s="1">
        <f>inhospital_tot__2[[#This Row],[infected_per_day]]/inhospital_tot__2[[#This Row],[Test per day]]</f>
        <v>3.0334040859644467</v>
      </c>
      <c r="R91" s="18">
        <f>inhospital_tot__2[[#This Row],[nuovi_positivi_alla_data]]*(1 + $T$28)</f>
        <v>1853.1593742687792</v>
      </c>
    </row>
    <row r="92" spans="1:18" x14ac:dyDescent="0.2">
      <c r="A92" s="6">
        <v>43974.708333333336</v>
      </c>
      <c r="B92">
        <v>8695</v>
      </c>
      <c r="C92">
        <v>572</v>
      </c>
      <c r="D92">
        <v>9267</v>
      </c>
      <c r="E92">
        <v>48485</v>
      </c>
      <c r="F92">
        <v>57752</v>
      </c>
      <c r="G92">
        <v>669</v>
      </c>
      <c r="H92">
        <v>138840</v>
      </c>
      <c r="I92">
        <v>32735</v>
      </c>
      <c r="J92">
        <v>229327</v>
      </c>
      <c r="K92">
        <v>3391188</v>
      </c>
      <c r="L92">
        <f t="shared" ref="L92:L155" si="12">K92-K91</f>
        <v>72410</v>
      </c>
      <c r="M92" s="1">
        <f t="shared" si="10"/>
        <v>229327</v>
      </c>
      <c r="N92" s="1">
        <f t="shared" si="8"/>
        <v>119</v>
      </c>
      <c r="O92" s="1">
        <f t="shared" si="9"/>
        <v>5.1890967919172186E-2</v>
      </c>
      <c r="P92" s="1">
        <f t="shared" si="11"/>
        <v>2120</v>
      </c>
      <c r="Q92" s="1">
        <f>inhospital_tot__2[[#This Row],[infected_per_day]]/inhospital_tot__2[[#This Row],[Test per day]]</f>
        <v>3.1670625604198315</v>
      </c>
      <c r="R92" s="18">
        <f>inhospital_tot__2[[#This Row],[nuovi_positivi_alla_data]]*(1 + $T$28)</f>
        <v>1901.4779469107566</v>
      </c>
    </row>
    <row r="93" spans="1:18" x14ac:dyDescent="0.2">
      <c r="A93" s="6">
        <v>43975.708333333336</v>
      </c>
      <c r="B93">
        <v>8613</v>
      </c>
      <c r="C93">
        <v>553</v>
      </c>
      <c r="D93">
        <v>9166</v>
      </c>
      <c r="E93">
        <v>47428</v>
      </c>
      <c r="F93">
        <v>56594</v>
      </c>
      <c r="G93">
        <v>531</v>
      </c>
      <c r="H93">
        <v>140479</v>
      </c>
      <c r="I93">
        <v>32785</v>
      </c>
      <c r="J93">
        <v>229858</v>
      </c>
      <c r="K93">
        <v>3447012</v>
      </c>
      <c r="L93">
        <f t="shared" si="12"/>
        <v>55824</v>
      </c>
      <c r="M93" s="1">
        <f t="shared" si="10"/>
        <v>229858</v>
      </c>
      <c r="N93" s="1">
        <f t="shared" si="8"/>
        <v>50</v>
      </c>
      <c r="O93" s="1">
        <f t="shared" si="9"/>
        <v>2.1752560276344528E-2</v>
      </c>
      <c r="P93" s="1">
        <f t="shared" si="11"/>
        <v>1639</v>
      </c>
      <c r="Q93" s="1">
        <f>inhospital_tot__2[[#This Row],[infected_per_day]]/inhospital_tot__2[[#This Row],[Test per day]]</f>
        <v>4.1175480080252225</v>
      </c>
      <c r="R93" s="18">
        <f>inhospital_tot__2[[#This Row],[nuovi_positivi_alla_data]]*(1 + $T$28)</f>
        <v>1509.244827817058</v>
      </c>
    </row>
    <row r="94" spans="1:18" x14ac:dyDescent="0.2">
      <c r="A94" s="6">
        <v>43976.708333333336</v>
      </c>
      <c r="B94">
        <v>8185</v>
      </c>
      <c r="C94">
        <v>541</v>
      </c>
      <c r="D94">
        <v>8726</v>
      </c>
      <c r="E94">
        <v>46574</v>
      </c>
      <c r="F94">
        <v>55300</v>
      </c>
      <c r="G94">
        <v>300</v>
      </c>
      <c r="H94">
        <v>141981</v>
      </c>
      <c r="I94">
        <v>32877</v>
      </c>
      <c r="J94">
        <v>230158</v>
      </c>
      <c r="K94">
        <v>3482253</v>
      </c>
      <c r="L94">
        <f t="shared" si="12"/>
        <v>35241</v>
      </c>
      <c r="M94" s="1">
        <f t="shared" si="10"/>
        <v>230158</v>
      </c>
      <c r="N94" s="1">
        <f t="shared" si="8"/>
        <v>92</v>
      </c>
      <c r="O94" s="1">
        <f t="shared" si="9"/>
        <v>3.99725406025426E-2</v>
      </c>
      <c r="P94" s="1">
        <f t="shared" si="11"/>
        <v>1502</v>
      </c>
      <c r="Q94" s="1">
        <f>inhospital_tot__2[[#This Row],[infected_per_day]]/inhospital_tot__2[[#This Row],[Test per day]]</f>
        <v>6.5309724468658663</v>
      </c>
      <c r="R94" s="18">
        <f>inhospital_tot__2[[#This Row],[nuovi_positivi_alla_data]]*(1 + $T$28)</f>
        <v>852.68069368195358</v>
      </c>
    </row>
    <row r="95" spans="1:18" x14ac:dyDescent="0.2">
      <c r="A95" s="6">
        <v>43977.708333333336</v>
      </c>
      <c r="B95">
        <v>7917</v>
      </c>
      <c r="C95">
        <v>521</v>
      </c>
      <c r="D95">
        <v>8438</v>
      </c>
      <c r="E95">
        <v>44504</v>
      </c>
      <c r="F95">
        <v>52942</v>
      </c>
      <c r="G95">
        <v>397</v>
      </c>
      <c r="H95">
        <v>144658</v>
      </c>
      <c r="I95">
        <v>32955</v>
      </c>
      <c r="J95">
        <v>230555</v>
      </c>
      <c r="K95">
        <v>3539927</v>
      </c>
      <c r="L95">
        <f t="shared" si="12"/>
        <v>57674</v>
      </c>
      <c r="M95" s="1">
        <f t="shared" si="10"/>
        <v>230555</v>
      </c>
      <c r="N95" s="1">
        <f t="shared" si="8"/>
        <v>78</v>
      </c>
      <c r="O95" s="1">
        <f t="shared" si="9"/>
        <v>3.3831406822667047E-2</v>
      </c>
      <c r="P95" s="1">
        <f t="shared" si="11"/>
        <v>2677</v>
      </c>
      <c r="Q95" s="1">
        <f>inhospital_tot__2[[#This Row],[infected_per_day]]/inhospital_tot__2[[#This Row],[Test per day]]</f>
        <v>3.9975552241911432</v>
      </c>
      <c r="R95" s="18">
        <f>inhospital_tot__2[[#This Row],[nuovi_positivi_alla_data]]*(1 + $T$28)</f>
        <v>1128.3807846391187</v>
      </c>
    </row>
    <row r="96" spans="1:18" x14ac:dyDescent="0.2">
      <c r="A96" s="6">
        <v>43978.708333333336</v>
      </c>
      <c r="B96">
        <v>7729</v>
      </c>
      <c r="C96">
        <v>505</v>
      </c>
      <c r="D96">
        <v>8234</v>
      </c>
      <c r="E96">
        <v>42732</v>
      </c>
      <c r="F96">
        <v>50966</v>
      </c>
      <c r="G96">
        <v>584</v>
      </c>
      <c r="H96">
        <v>147101</v>
      </c>
      <c r="I96">
        <v>33072</v>
      </c>
      <c r="J96">
        <v>231139</v>
      </c>
      <c r="K96">
        <v>3607251</v>
      </c>
      <c r="L96">
        <f t="shared" si="12"/>
        <v>67324</v>
      </c>
      <c r="M96" s="1">
        <f t="shared" si="10"/>
        <v>231139</v>
      </c>
      <c r="N96" s="1">
        <f t="shared" si="8"/>
        <v>117</v>
      </c>
      <c r="O96" s="1">
        <f t="shared" si="9"/>
        <v>5.061889166259264E-2</v>
      </c>
      <c r="P96" s="1">
        <f t="shared" si="11"/>
        <v>2443</v>
      </c>
      <c r="Q96" s="1">
        <f>inhospital_tot__2[[#This Row],[infected_per_day]]/inhospital_tot__2[[#This Row],[Test per day]]</f>
        <v>3.4332333194700255</v>
      </c>
      <c r="R96" s="18">
        <f>inhospital_tot__2[[#This Row],[nuovi_positivi_alla_data]]*(1 + $T$28)</f>
        <v>1659.8850837008697</v>
      </c>
    </row>
    <row r="97" spans="1:41" x14ac:dyDescent="0.2">
      <c r="A97" s="6">
        <v>43979.708333333336</v>
      </c>
      <c r="B97">
        <v>7379</v>
      </c>
      <c r="C97">
        <v>489</v>
      </c>
      <c r="D97">
        <v>7868</v>
      </c>
      <c r="E97">
        <v>40118</v>
      </c>
      <c r="F97">
        <v>47986</v>
      </c>
      <c r="G97">
        <v>593</v>
      </c>
      <c r="H97">
        <v>150604</v>
      </c>
      <c r="I97">
        <v>33142</v>
      </c>
      <c r="J97">
        <v>231732</v>
      </c>
      <c r="K97">
        <v>3683144</v>
      </c>
      <c r="L97">
        <f t="shared" si="12"/>
        <v>75893</v>
      </c>
      <c r="M97" s="1">
        <f t="shared" si="10"/>
        <v>231732</v>
      </c>
      <c r="N97" s="1">
        <f t="shared" si="8"/>
        <v>70</v>
      </c>
      <c r="O97" s="1">
        <f t="shared" si="9"/>
        <v>3.0207308442511179E-2</v>
      </c>
      <c r="P97" s="1">
        <f t="shared" si="11"/>
        <v>3503</v>
      </c>
      <c r="Q97" s="1">
        <f>inhospital_tot__2[[#This Row],[infected_per_day]]/inhospital_tot__2[[#This Row],[Test per day]]</f>
        <v>3.0534041347686873</v>
      </c>
      <c r="R97" s="18">
        <f>inhospital_tot__2[[#This Row],[nuovi_positivi_alla_data]]*(1 + $T$28)</f>
        <v>1685.4655045113284</v>
      </c>
    </row>
    <row r="98" spans="1:41" x14ac:dyDescent="0.2">
      <c r="A98" s="6">
        <v>43980.708333333336</v>
      </c>
      <c r="B98">
        <v>7094</v>
      </c>
      <c r="C98">
        <v>475</v>
      </c>
      <c r="D98">
        <v>7569</v>
      </c>
      <c r="E98">
        <v>38606</v>
      </c>
      <c r="F98">
        <v>46175</v>
      </c>
      <c r="G98">
        <v>516</v>
      </c>
      <c r="H98">
        <v>152844</v>
      </c>
      <c r="I98">
        <v>33229</v>
      </c>
      <c r="J98">
        <v>232248</v>
      </c>
      <c r="K98">
        <v>3755279</v>
      </c>
      <c r="L98">
        <f t="shared" si="12"/>
        <v>72135</v>
      </c>
      <c r="M98" s="1">
        <f t="shared" si="10"/>
        <v>232248</v>
      </c>
      <c r="N98" s="1">
        <f t="shared" si="8"/>
        <v>87</v>
      </c>
      <c r="O98" s="1">
        <f t="shared" si="9"/>
        <v>3.7459956598119251E-2</v>
      </c>
      <c r="P98" s="1">
        <f t="shared" si="11"/>
        <v>2240</v>
      </c>
      <c r="Q98" s="1">
        <f>inhospital_tot__2[[#This Row],[infected_per_day]]/inhospital_tot__2[[#This Row],[Test per day]]</f>
        <v>3.2196298606778955</v>
      </c>
      <c r="R98" s="18">
        <f>inhospital_tot__2[[#This Row],[nuovi_positivi_alla_data]]*(1 + $T$28)</f>
        <v>1466.6107931329602</v>
      </c>
    </row>
    <row r="99" spans="1:41" x14ac:dyDescent="0.2">
      <c r="A99" s="6">
        <v>43981.708333333336</v>
      </c>
      <c r="B99">
        <v>6680</v>
      </c>
      <c r="C99">
        <v>450</v>
      </c>
      <c r="D99">
        <v>7130</v>
      </c>
      <c r="E99">
        <v>36561</v>
      </c>
      <c r="F99">
        <v>43691</v>
      </c>
      <c r="G99">
        <v>416</v>
      </c>
      <c r="H99">
        <v>155633</v>
      </c>
      <c r="I99">
        <v>33340</v>
      </c>
      <c r="J99">
        <v>232664</v>
      </c>
      <c r="K99">
        <v>3824621</v>
      </c>
      <c r="L99">
        <f t="shared" si="12"/>
        <v>69342</v>
      </c>
      <c r="M99" s="1">
        <f t="shared" si="10"/>
        <v>232664</v>
      </c>
      <c r="N99" s="1">
        <f t="shared" si="8"/>
        <v>111</v>
      </c>
      <c r="O99" s="1">
        <f t="shared" si="9"/>
        <v>4.7708283189492141E-2</v>
      </c>
      <c r="P99" s="1">
        <f t="shared" si="11"/>
        <v>2789</v>
      </c>
      <c r="Q99" s="1">
        <f>inhospital_tot__2[[#This Row],[infected_per_day]]/inhospital_tot__2[[#This Row],[Test per day]]</f>
        <v>3.3553113553113554</v>
      </c>
      <c r="R99" s="18">
        <f>inhospital_tot__2[[#This Row],[nuovi_positivi_alla_data]]*(1 + $T$28)</f>
        <v>1182.3838952389756</v>
      </c>
    </row>
    <row r="100" spans="1:41" x14ac:dyDescent="0.2">
      <c r="A100" s="6">
        <v>43982.708333333336</v>
      </c>
      <c r="B100">
        <v>6387</v>
      </c>
      <c r="C100">
        <v>435</v>
      </c>
      <c r="D100">
        <v>6822</v>
      </c>
      <c r="E100">
        <v>35275</v>
      </c>
      <c r="F100">
        <v>42097</v>
      </c>
      <c r="G100">
        <v>355</v>
      </c>
      <c r="H100">
        <v>157507</v>
      </c>
      <c r="I100">
        <v>33415</v>
      </c>
      <c r="J100">
        <v>233019</v>
      </c>
      <c r="K100">
        <v>3878739</v>
      </c>
      <c r="L100">
        <f t="shared" si="12"/>
        <v>54118</v>
      </c>
      <c r="M100" s="1">
        <f t="shared" si="10"/>
        <v>233019</v>
      </c>
      <c r="N100" s="1">
        <f t="shared" si="8"/>
        <v>75</v>
      </c>
      <c r="O100" s="1">
        <f t="shared" si="9"/>
        <v>3.2186216574614089E-2</v>
      </c>
      <c r="P100" s="1">
        <f t="shared" si="11"/>
        <v>1874</v>
      </c>
      <c r="Q100" s="1">
        <f>inhospital_tot__2[[#This Row],[infected_per_day]]/inhospital_tot__2[[#This Row],[Test per day]]</f>
        <v>4.3057577885361615</v>
      </c>
      <c r="R100" s="18">
        <f>inhospital_tot__2[[#This Row],[nuovi_positivi_alla_data]]*(1 + $T$28)</f>
        <v>1009.0054875236451</v>
      </c>
    </row>
    <row r="101" spans="1:41" x14ac:dyDescent="0.2">
      <c r="A101" s="6">
        <v>43983.708333333336</v>
      </c>
      <c r="B101">
        <v>6099</v>
      </c>
      <c r="C101">
        <v>424</v>
      </c>
      <c r="D101">
        <v>6523</v>
      </c>
      <c r="E101">
        <v>34844</v>
      </c>
      <c r="F101">
        <v>41367</v>
      </c>
      <c r="G101">
        <v>178</v>
      </c>
      <c r="H101">
        <v>158355</v>
      </c>
      <c r="I101">
        <v>33475</v>
      </c>
      <c r="J101">
        <v>233197</v>
      </c>
      <c r="K101">
        <v>3910133</v>
      </c>
      <c r="L101">
        <f t="shared" si="12"/>
        <v>31394</v>
      </c>
      <c r="M101" s="1">
        <f t="shared" si="10"/>
        <v>233197</v>
      </c>
      <c r="N101" s="1">
        <f t="shared" si="8"/>
        <v>60</v>
      </c>
      <c r="O101" s="1">
        <f t="shared" si="9"/>
        <v>2.5729318987808593E-2</v>
      </c>
      <c r="P101" s="1">
        <f t="shared" si="11"/>
        <v>848</v>
      </c>
      <c r="Q101" s="1">
        <f>inhospital_tot__2[[#This Row],[infected_per_day]]/inhospital_tot__2[[#This Row],[Test per day]]</f>
        <v>7.4280754284258137</v>
      </c>
      <c r="R101" s="18">
        <f>inhospital_tot__2[[#This Row],[nuovi_positivi_alla_data]]*(1 + $T$28)</f>
        <v>505.92387825129248</v>
      </c>
    </row>
    <row r="102" spans="1:41" x14ac:dyDescent="0.2">
      <c r="A102" s="6">
        <v>43984.708333333336</v>
      </c>
      <c r="B102">
        <v>5916</v>
      </c>
      <c r="C102">
        <v>408</v>
      </c>
      <c r="D102">
        <v>6324</v>
      </c>
      <c r="E102">
        <v>33569</v>
      </c>
      <c r="F102">
        <v>39893</v>
      </c>
      <c r="G102">
        <v>318</v>
      </c>
      <c r="H102">
        <v>160092</v>
      </c>
      <c r="I102">
        <v>33530</v>
      </c>
      <c r="J102">
        <v>233515</v>
      </c>
      <c r="K102">
        <v>3962292</v>
      </c>
      <c r="L102">
        <f t="shared" si="12"/>
        <v>52159</v>
      </c>
      <c r="M102" s="1">
        <f t="shared" si="10"/>
        <v>233515</v>
      </c>
      <c r="N102" s="1">
        <f t="shared" si="8"/>
        <v>55</v>
      </c>
      <c r="O102" s="1">
        <f t="shared" si="9"/>
        <v>2.3553090807871015E-2</v>
      </c>
      <c r="P102" s="1">
        <f t="shared" si="11"/>
        <v>1737</v>
      </c>
      <c r="Q102" s="1">
        <f>inhospital_tot__2[[#This Row],[infected_per_day]]/inhospital_tot__2[[#This Row],[Test per day]]</f>
        <v>4.4769838378803275</v>
      </c>
      <c r="R102" s="18">
        <f>inhospital_tot__2[[#This Row],[nuovi_positivi_alla_data]]*(1 + $T$28)</f>
        <v>903.84153530287085</v>
      </c>
      <c r="AM102">
        <f>4825-SUM(I3:I8)+AM23</f>
        <v>12659</v>
      </c>
      <c r="AN102" s="12">
        <f>AM102/AM103</f>
        <v>0.21870356933070731</v>
      </c>
      <c r="AO102" s="13">
        <f>AM102/AM106</f>
        <v>2.097265608989173E-4</v>
      </c>
    </row>
    <row r="103" spans="1:41" x14ac:dyDescent="0.2">
      <c r="A103" s="6">
        <v>43985.708333333336</v>
      </c>
      <c r="B103">
        <v>5742</v>
      </c>
      <c r="C103">
        <v>353</v>
      </c>
      <c r="D103">
        <v>6095</v>
      </c>
      <c r="E103">
        <v>33202</v>
      </c>
      <c r="F103">
        <v>39297</v>
      </c>
      <c r="G103">
        <v>321</v>
      </c>
      <c r="H103">
        <v>160938</v>
      </c>
      <c r="I103">
        <v>33601</v>
      </c>
      <c r="J103">
        <v>233836</v>
      </c>
      <c r="K103">
        <v>3999591</v>
      </c>
      <c r="L103">
        <f t="shared" si="12"/>
        <v>37299</v>
      </c>
      <c r="M103" s="1">
        <f t="shared" si="10"/>
        <v>233836</v>
      </c>
      <c r="N103" s="1">
        <f t="shared" si="8"/>
        <v>71</v>
      </c>
      <c r="O103" s="1">
        <f t="shared" si="9"/>
        <v>3.0363160505653537E-2</v>
      </c>
      <c r="P103" s="1">
        <f t="shared" si="11"/>
        <v>846</v>
      </c>
      <c r="Q103" s="1">
        <f>inhospital_tot__2[[#This Row],[infected_per_day]]/inhospital_tot__2[[#This Row],[Test per day]]</f>
        <v>6.2692297380626822</v>
      </c>
      <c r="R103" s="18">
        <f>inhospital_tot__2[[#This Row],[nuovi_positivi_alla_data]]*(1 + $T$28)</f>
        <v>912.36834223969038</v>
      </c>
      <c r="AM103">
        <v>57882</v>
      </c>
    </row>
    <row r="104" spans="1:41" x14ac:dyDescent="0.2">
      <c r="A104" s="6">
        <v>43986.708333333336</v>
      </c>
      <c r="B104">
        <v>5503</v>
      </c>
      <c r="C104">
        <v>338</v>
      </c>
      <c r="D104">
        <v>5841</v>
      </c>
      <c r="E104">
        <v>32588</v>
      </c>
      <c r="F104">
        <v>38429</v>
      </c>
      <c r="G104">
        <v>177</v>
      </c>
      <c r="H104">
        <v>161895</v>
      </c>
      <c r="I104">
        <v>33689</v>
      </c>
      <c r="J104">
        <v>234013</v>
      </c>
      <c r="K104">
        <v>4049544</v>
      </c>
      <c r="L104">
        <f t="shared" si="12"/>
        <v>49953</v>
      </c>
      <c r="M104" s="1">
        <f t="shared" si="10"/>
        <v>234013</v>
      </c>
      <c r="N104" s="1">
        <f t="shared" si="8"/>
        <v>88</v>
      </c>
      <c r="O104" s="1">
        <f t="shared" si="9"/>
        <v>3.7604748454145707E-2</v>
      </c>
      <c r="P104" s="1">
        <f t="shared" si="11"/>
        <v>957</v>
      </c>
      <c r="Q104" s="1">
        <f>inhospital_tot__2[[#This Row],[infected_per_day]]/inhospital_tot__2[[#This Row],[Test per day]]</f>
        <v>4.6846635837687423</v>
      </c>
      <c r="R104" s="18">
        <f>inhospital_tot__2[[#This Row],[nuovi_positivi_alla_data]]*(1 + $T$28)</f>
        <v>503.08160927235264</v>
      </c>
    </row>
    <row r="105" spans="1:41" x14ac:dyDescent="0.2">
      <c r="A105" s="6">
        <v>43987.708333333336</v>
      </c>
      <c r="B105">
        <v>5301</v>
      </c>
      <c r="C105">
        <v>316</v>
      </c>
      <c r="D105">
        <v>5617</v>
      </c>
      <c r="E105">
        <v>31359</v>
      </c>
      <c r="F105">
        <v>36976</v>
      </c>
      <c r="G105">
        <v>518</v>
      </c>
      <c r="H105">
        <v>163781</v>
      </c>
      <c r="I105">
        <v>33774</v>
      </c>
      <c r="J105">
        <v>234531</v>
      </c>
      <c r="K105">
        <v>4114572</v>
      </c>
      <c r="L105">
        <f t="shared" si="12"/>
        <v>65028</v>
      </c>
      <c r="M105" s="1">
        <f t="shared" si="10"/>
        <v>234531</v>
      </c>
      <c r="N105" s="1">
        <f t="shared" si="8"/>
        <v>85</v>
      </c>
      <c r="O105" s="1">
        <f t="shared" si="9"/>
        <v>3.624254362962679E-2</v>
      </c>
      <c r="P105" s="1">
        <f t="shared" si="11"/>
        <v>1886</v>
      </c>
      <c r="Q105" s="1">
        <f>inhospital_tot__2[[#This Row],[infected_per_day]]/inhospital_tot__2[[#This Row],[Test per day]]</f>
        <v>3.6066156117364829</v>
      </c>
      <c r="R105" s="18">
        <f>inhospital_tot__2[[#This Row],[nuovi_positivi_alla_data]]*(1 + $T$28)</f>
        <v>1472.2953310908399</v>
      </c>
      <c r="AM105">
        <v>53578</v>
      </c>
      <c r="AN105" s="12">
        <f>AM105/AM106</f>
        <v>8.8764749821014228E-4</v>
      </c>
    </row>
    <row r="106" spans="1:41" x14ac:dyDescent="0.2">
      <c r="A106" s="6">
        <v>43988.708333333336</v>
      </c>
      <c r="B106">
        <v>5002</v>
      </c>
      <c r="C106">
        <v>293</v>
      </c>
      <c r="D106">
        <v>5295</v>
      </c>
      <c r="E106">
        <v>30582</v>
      </c>
      <c r="F106">
        <v>35877</v>
      </c>
      <c r="G106">
        <v>270</v>
      </c>
      <c r="H106">
        <v>165078</v>
      </c>
      <c r="I106">
        <v>33846</v>
      </c>
      <c r="J106">
        <v>234801</v>
      </c>
      <c r="K106">
        <v>4187057</v>
      </c>
      <c r="L106">
        <f t="shared" si="12"/>
        <v>72485</v>
      </c>
      <c r="M106" s="1">
        <f t="shared" si="10"/>
        <v>234801</v>
      </c>
      <c r="N106" s="1">
        <f t="shared" si="8"/>
        <v>72</v>
      </c>
      <c r="O106" s="1">
        <f t="shared" si="9"/>
        <v>3.0664264632603782E-2</v>
      </c>
      <c r="P106" s="1">
        <f t="shared" si="11"/>
        <v>1297</v>
      </c>
      <c r="Q106" s="1">
        <f>inhospital_tot__2[[#This Row],[infected_per_day]]/inhospital_tot__2[[#This Row],[Test per day]]</f>
        <v>3.239304683727668</v>
      </c>
      <c r="R106" s="18">
        <f>inhospital_tot__2[[#This Row],[nuovi_positivi_alla_data]]*(1 + $T$28)</f>
        <v>767.41262431375822</v>
      </c>
      <c r="AM106">
        <v>60359546</v>
      </c>
    </row>
    <row r="107" spans="1:41" x14ac:dyDescent="0.2">
      <c r="A107" s="6">
        <v>43989.708333333336</v>
      </c>
      <c r="B107">
        <v>4864</v>
      </c>
      <c r="C107">
        <v>287</v>
      </c>
      <c r="D107">
        <v>5151</v>
      </c>
      <c r="E107">
        <v>30111</v>
      </c>
      <c r="F107">
        <v>35262</v>
      </c>
      <c r="G107">
        <v>197</v>
      </c>
      <c r="H107">
        <v>165837</v>
      </c>
      <c r="I107">
        <v>33899</v>
      </c>
      <c r="J107">
        <v>234998</v>
      </c>
      <c r="K107">
        <v>4236535</v>
      </c>
      <c r="L107">
        <f t="shared" si="12"/>
        <v>49478</v>
      </c>
      <c r="M107" s="1">
        <f t="shared" si="10"/>
        <v>234998</v>
      </c>
      <c r="N107" s="1">
        <f t="shared" ref="N107:N113" si="13">I107-I106</f>
        <v>53</v>
      </c>
      <c r="O107" s="1">
        <f t="shared" ref="O107:O113" si="14">(N107/J107)*100</f>
        <v>2.2553383433050495E-2</v>
      </c>
      <c r="P107" s="1">
        <f t="shared" si="11"/>
        <v>759</v>
      </c>
      <c r="Q107" s="1">
        <f>inhospital_tot__2[[#This Row],[infected_per_day]]/inhospital_tot__2[[#This Row],[Test per day]]</f>
        <v>4.7495452524354258</v>
      </c>
      <c r="R107" s="18">
        <f>inhospital_tot__2[[#This Row],[nuovi_positivi_alla_data]]*(1 + $T$28)</f>
        <v>559.92698885114953</v>
      </c>
      <c r="AM107" s="11">
        <v>68209</v>
      </c>
    </row>
    <row r="108" spans="1:41" x14ac:dyDescent="0.2">
      <c r="A108" s="6">
        <v>43990.708333333336</v>
      </c>
      <c r="B108">
        <v>4729</v>
      </c>
      <c r="C108">
        <v>283</v>
      </c>
      <c r="D108">
        <v>5012</v>
      </c>
      <c r="E108">
        <v>29718</v>
      </c>
      <c r="F108">
        <v>34730</v>
      </c>
      <c r="G108">
        <v>280</v>
      </c>
      <c r="H108">
        <v>166584</v>
      </c>
      <c r="I108">
        <v>33964</v>
      </c>
      <c r="J108">
        <v>235278</v>
      </c>
      <c r="K108">
        <v>4263647</v>
      </c>
      <c r="L108">
        <f t="shared" si="12"/>
        <v>27112</v>
      </c>
      <c r="M108" s="1">
        <f t="shared" si="10"/>
        <v>235278</v>
      </c>
      <c r="N108" s="1">
        <f t="shared" si="13"/>
        <v>65</v>
      </c>
      <c r="O108" s="1">
        <f t="shared" si="14"/>
        <v>2.7626892442132282E-2</v>
      </c>
      <c r="P108" s="1">
        <f t="shared" si="11"/>
        <v>747</v>
      </c>
      <c r="Q108" s="1">
        <f>inhospital_tot__2[[#This Row],[infected_per_day]]/inhospital_tot__2[[#This Row],[Test per day]]</f>
        <v>8.6780023605783416</v>
      </c>
      <c r="R108" s="18">
        <f>inhospital_tot__2[[#This Row],[nuovi_positivi_alla_data]]*(1 + $T$28)</f>
        <v>795.83531410315675</v>
      </c>
      <c r="AM108" s="13">
        <f>AM107/AM106</f>
        <v>1.1300449476541788E-3</v>
      </c>
    </row>
    <row r="109" spans="1:41" x14ac:dyDescent="0.2">
      <c r="A109" s="6">
        <v>43991.708333333336</v>
      </c>
      <c r="B109">
        <v>4581</v>
      </c>
      <c r="C109">
        <v>263</v>
      </c>
      <c r="D109">
        <v>4844</v>
      </c>
      <c r="E109">
        <v>28028</v>
      </c>
      <c r="F109">
        <v>32872</v>
      </c>
      <c r="G109">
        <v>283</v>
      </c>
      <c r="H109">
        <v>168646</v>
      </c>
      <c r="I109">
        <v>34043</v>
      </c>
      <c r="J109">
        <v>235561</v>
      </c>
      <c r="K109">
        <v>4318650</v>
      </c>
      <c r="L109">
        <f t="shared" si="12"/>
        <v>55003</v>
      </c>
      <c r="M109" s="1">
        <f t="shared" si="10"/>
        <v>235561</v>
      </c>
      <c r="N109" s="1">
        <f t="shared" si="13"/>
        <v>79</v>
      </c>
      <c r="O109" s="1">
        <f t="shared" si="14"/>
        <v>3.3536960702323391E-2</v>
      </c>
      <c r="P109" s="1">
        <f t="shared" si="11"/>
        <v>2062</v>
      </c>
      <c r="Q109" s="1">
        <f>inhospital_tot__2[[#This Row],[infected_per_day]]/inhospital_tot__2[[#This Row],[Test per day]]</f>
        <v>4.2826936712542949</v>
      </c>
      <c r="R109" s="18">
        <f>inhospital_tot__2[[#This Row],[nuovi_positivi_alla_data]]*(1 + $T$28)</f>
        <v>804.36212103997627</v>
      </c>
    </row>
    <row r="110" spans="1:41" x14ac:dyDescent="0.2">
      <c r="A110" s="6">
        <v>43992.708333333336</v>
      </c>
      <c r="B110">
        <v>4320</v>
      </c>
      <c r="C110">
        <v>249</v>
      </c>
      <c r="D110">
        <v>4569</v>
      </c>
      <c r="E110">
        <v>27141</v>
      </c>
      <c r="F110">
        <v>31710</v>
      </c>
      <c r="G110">
        <v>202</v>
      </c>
      <c r="H110">
        <v>169939</v>
      </c>
      <c r="I110">
        <v>34114</v>
      </c>
      <c r="J110">
        <v>235763</v>
      </c>
      <c r="K110">
        <v>4381349</v>
      </c>
      <c r="L110">
        <f t="shared" si="12"/>
        <v>62699</v>
      </c>
      <c r="M110" s="1">
        <f t="shared" si="10"/>
        <v>235763</v>
      </c>
      <c r="N110" s="1">
        <f t="shared" si="13"/>
        <v>71</v>
      </c>
      <c r="O110" s="1">
        <f t="shared" si="14"/>
        <v>3.0114988356951682E-2</v>
      </c>
      <c r="P110" s="1">
        <f t="shared" si="11"/>
        <v>1293</v>
      </c>
      <c r="Q110" s="1">
        <f>inhospital_tot__2[[#This Row],[infected_per_day]]/inhospital_tot__2[[#This Row],[Test per day]]</f>
        <v>3.7602354104531175</v>
      </c>
      <c r="R110" s="18">
        <f>inhospital_tot__2[[#This Row],[nuovi_positivi_alla_data]]*(1 + $T$28)</f>
        <v>574.13833374584874</v>
      </c>
    </row>
    <row r="111" spans="1:41" x14ac:dyDescent="0.2">
      <c r="A111" s="6">
        <v>43993.708333333336</v>
      </c>
      <c r="B111">
        <v>4131</v>
      </c>
      <c r="C111">
        <v>236</v>
      </c>
      <c r="D111">
        <v>4367</v>
      </c>
      <c r="E111">
        <v>26270</v>
      </c>
      <c r="F111">
        <v>30637</v>
      </c>
      <c r="G111">
        <v>379</v>
      </c>
      <c r="H111">
        <v>171338</v>
      </c>
      <c r="I111">
        <v>34167</v>
      </c>
      <c r="J111">
        <v>236142</v>
      </c>
      <c r="K111">
        <v>4443821</v>
      </c>
      <c r="L111">
        <f t="shared" si="12"/>
        <v>62472</v>
      </c>
      <c r="M111" s="1">
        <f t="shared" si="10"/>
        <v>236142</v>
      </c>
      <c r="N111" s="1">
        <f t="shared" si="13"/>
        <v>53</v>
      </c>
      <c r="O111" s="1">
        <f t="shared" si="14"/>
        <v>2.2444122604195781E-2</v>
      </c>
      <c r="P111" s="1">
        <f t="shared" si="11"/>
        <v>1399</v>
      </c>
      <c r="Q111" s="1">
        <f>inhospital_tot__2[[#This Row],[infected_per_day]]/inhospital_tot__2[[#This Row],[Test per day]]</f>
        <v>3.7799654245101806</v>
      </c>
      <c r="R111" s="18">
        <f>inhospital_tot__2[[#This Row],[nuovi_positivi_alla_data]]*(1 + $T$28)</f>
        <v>1077.2199430182013</v>
      </c>
    </row>
    <row r="112" spans="1:41" x14ac:dyDescent="0.2">
      <c r="A112" s="6">
        <v>43994.708333333336</v>
      </c>
      <c r="B112">
        <v>3893</v>
      </c>
      <c r="C112">
        <v>227</v>
      </c>
      <c r="D112">
        <v>4120</v>
      </c>
      <c r="E112">
        <v>24877</v>
      </c>
      <c r="F112">
        <v>28997</v>
      </c>
      <c r="G112">
        <v>163</v>
      </c>
      <c r="H112">
        <v>173085</v>
      </c>
      <c r="I112">
        <v>34223</v>
      </c>
      <c r="J112">
        <v>236305</v>
      </c>
      <c r="K112">
        <v>4514441</v>
      </c>
      <c r="L112">
        <f t="shared" si="12"/>
        <v>70620</v>
      </c>
      <c r="M112" s="1">
        <f t="shared" si="10"/>
        <v>236305</v>
      </c>
      <c r="N112" s="1">
        <f t="shared" si="13"/>
        <v>56</v>
      </c>
      <c r="O112" s="1">
        <f t="shared" si="14"/>
        <v>2.369818666553818E-2</v>
      </c>
      <c r="P112" s="1">
        <f t="shared" si="11"/>
        <v>1747</v>
      </c>
      <c r="Q112" s="1">
        <f>inhospital_tot__2[[#This Row],[infected_per_day]]/inhospital_tot__2[[#This Row],[Test per day]]</f>
        <v>3.3461483998867179</v>
      </c>
      <c r="R112" s="18">
        <f>inhospital_tot__2[[#This Row],[nuovi_positivi_alla_data]]*(1 + $T$28)</f>
        <v>463.28984356719479</v>
      </c>
    </row>
    <row r="113" spans="1:18" x14ac:dyDescent="0.2">
      <c r="A113" s="6">
        <v>43995.708333333336</v>
      </c>
      <c r="B113">
        <v>3747</v>
      </c>
      <c r="C113">
        <v>220</v>
      </c>
      <c r="D113">
        <v>3967</v>
      </c>
      <c r="E113">
        <v>23518</v>
      </c>
      <c r="F113">
        <v>27485</v>
      </c>
      <c r="G113">
        <v>346</v>
      </c>
      <c r="H113">
        <v>174865</v>
      </c>
      <c r="I113">
        <v>34301</v>
      </c>
      <c r="J113">
        <v>236651</v>
      </c>
      <c r="K113">
        <v>4564191</v>
      </c>
      <c r="L113">
        <f t="shared" si="12"/>
        <v>49750</v>
      </c>
      <c r="M113" s="1">
        <f t="shared" si="10"/>
        <v>236651</v>
      </c>
      <c r="N113" s="1">
        <f t="shared" si="13"/>
        <v>78</v>
      </c>
      <c r="O113" s="1">
        <f t="shared" si="14"/>
        <v>3.2959928333284032E-2</v>
      </c>
      <c r="P113" s="1">
        <f t="shared" si="11"/>
        <v>1780</v>
      </c>
      <c r="Q113" s="1">
        <f>inhospital_tot__2[[#This Row],[infected_per_day]]/inhospital_tot__2[[#This Row],[Test per day]]</f>
        <v>4.7568040201005024</v>
      </c>
      <c r="R113" s="18">
        <f>inhospital_tot__2[[#This Row],[nuovi_positivi_alla_data]]*(1 + $T$28)</f>
        <v>983.42506671318654</v>
      </c>
    </row>
    <row r="114" spans="1:18" x14ac:dyDescent="0.2">
      <c r="A114" s="6">
        <v>43996.708333333336</v>
      </c>
      <c r="B114">
        <v>3594</v>
      </c>
      <c r="C114">
        <v>209</v>
      </c>
      <c r="D114">
        <v>3803</v>
      </c>
      <c r="E114">
        <v>22471</v>
      </c>
      <c r="F114">
        <v>26274</v>
      </c>
      <c r="G114">
        <v>338</v>
      </c>
      <c r="H114">
        <v>176370</v>
      </c>
      <c r="I114">
        <v>34345</v>
      </c>
      <c r="J114">
        <v>236989</v>
      </c>
      <c r="K114">
        <v>4620718</v>
      </c>
      <c r="L114">
        <f t="shared" si="12"/>
        <v>56527</v>
      </c>
      <c r="M114" s="1">
        <f t="shared" si="10"/>
        <v>236989</v>
      </c>
      <c r="N114" s="1">
        <f t="shared" ref="N114:N124" si="15">I114-I113</f>
        <v>44</v>
      </c>
      <c r="O114" s="1">
        <f t="shared" ref="O114:O124" si="16">(N114/J114)*100</f>
        <v>1.8566262569148777E-2</v>
      </c>
      <c r="P114" s="1">
        <f t="shared" si="11"/>
        <v>1505</v>
      </c>
      <c r="Q114" s="1">
        <f>inhospital_tot__2[[#This Row],[infected_per_day]]/inhospital_tot__2[[#This Row],[Test per day]]</f>
        <v>4.1924920834291575</v>
      </c>
      <c r="R114" s="18">
        <f>inhospital_tot__2[[#This Row],[nuovi_positivi_alla_data]]*(1 + $T$28)</f>
        <v>960.6869148816678</v>
      </c>
    </row>
    <row r="115" spans="1:18" x14ac:dyDescent="0.2">
      <c r="A115" s="6">
        <v>43997.708333333336</v>
      </c>
      <c r="B115">
        <v>3489</v>
      </c>
      <c r="C115">
        <v>207</v>
      </c>
      <c r="D115">
        <v>3696</v>
      </c>
      <c r="E115">
        <v>22213</v>
      </c>
      <c r="F115">
        <v>25909</v>
      </c>
      <c r="G115">
        <v>303</v>
      </c>
      <c r="H115">
        <v>177010</v>
      </c>
      <c r="I115">
        <v>34371</v>
      </c>
      <c r="J115">
        <v>237290</v>
      </c>
      <c r="K115">
        <v>4648825</v>
      </c>
      <c r="L115">
        <f t="shared" si="12"/>
        <v>28107</v>
      </c>
      <c r="M115" s="1">
        <f t="shared" si="10"/>
        <v>237290</v>
      </c>
      <c r="N115" s="1">
        <f t="shared" si="15"/>
        <v>26</v>
      </c>
      <c r="O115" s="1">
        <f t="shared" si="16"/>
        <v>1.0957056765982553E-2</v>
      </c>
      <c r="P115" s="1">
        <f t="shared" si="11"/>
        <v>640</v>
      </c>
      <c r="Q115" s="1">
        <f>inhospital_tot__2[[#This Row],[infected_per_day]]/inhospital_tot__2[[#This Row],[Test per day]]</f>
        <v>8.4423809015547722</v>
      </c>
      <c r="R115" s="18">
        <f>inhospital_tot__2[[#This Row],[nuovi_positivi_alla_data]]*(1 + $T$28)</f>
        <v>861.20750061877311</v>
      </c>
    </row>
    <row r="116" spans="1:18" x14ac:dyDescent="0.2">
      <c r="A116" s="6">
        <v>43998.708333333336</v>
      </c>
      <c r="B116">
        <v>3301</v>
      </c>
      <c r="C116">
        <v>177</v>
      </c>
      <c r="D116">
        <v>3478</v>
      </c>
      <c r="E116">
        <v>21091</v>
      </c>
      <c r="F116">
        <v>24569</v>
      </c>
      <c r="G116">
        <v>210</v>
      </c>
      <c r="H116">
        <v>178526</v>
      </c>
      <c r="I116">
        <v>34405</v>
      </c>
      <c r="J116">
        <v>237500</v>
      </c>
      <c r="K116">
        <v>4695707</v>
      </c>
      <c r="L116">
        <f t="shared" si="12"/>
        <v>46882</v>
      </c>
      <c r="M116" s="1">
        <f t="shared" si="10"/>
        <v>237500</v>
      </c>
      <c r="N116" s="1">
        <f t="shared" si="15"/>
        <v>34</v>
      </c>
      <c r="O116" s="1">
        <f t="shared" si="16"/>
        <v>1.4315789473684211E-2</v>
      </c>
      <c r="P116" s="1">
        <f t="shared" si="11"/>
        <v>1516</v>
      </c>
      <c r="Q116" s="1">
        <f>inhospital_tot__2[[#This Row],[infected_per_day]]/inhospital_tot__2[[#This Row],[Test per day]]</f>
        <v>5.0659101574164929</v>
      </c>
      <c r="R116" s="18">
        <f>inhospital_tot__2[[#This Row],[nuovi_positivi_alla_data]]*(1 + $T$28)</f>
        <v>596.87648557736759</v>
      </c>
    </row>
    <row r="117" spans="1:18" x14ac:dyDescent="0.2">
      <c r="A117" s="6">
        <v>43999.708333333336</v>
      </c>
      <c r="B117">
        <v>3113</v>
      </c>
      <c r="C117">
        <v>163</v>
      </c>
      <c r="D117">
        <v>3276</v>
      </c>
      <c r="E117">
        <v>20649</v>
      </c>
      <c r="F117">
        <v>23925</v>
      </c>
      <c r="G117">
        <v>329</v>
      </c>
      <c r="H117">
        <v>179455</v>
      </c>
      <c r="I117">
        <v>34448</v>
      </c>
      <c r="J117">
        <v>237828</v>
      </c>
      <c r="K117">
        <v>4773408</v>
      </c>
      <c r="L117">
        <f t="shared" si="12"/>
        <v>77701</v>
      </c>
      <c r="M117" s="1">
        <f t="shared" si="10"/>
        <v>237828</v>
      </c>
      <c r="N117" s="1">
        <f t="shared" si="15"/>
        <v>43</v>
      </c>
      <c r="O117" s="1">
        <f t="shared" si="16"/>
        <v>1.8080293321223743E-2</v>
      </c>
      <c r="P117" s="1">
        <f t="shared" si="11"/>
        <v>929</v>
      </c>
      <c r="Q117" s="1">
        <f>inhospital_tot__2[[#This Row],[infected_per_day]]/inhospital_tot__2[[#This Row],[Test per day]]</f>
        <v>3.0608100281849655</v>
      </c>
      <c r="R117" s="18">
        <f>inhospital_tot__2[[#This Row],[nuovi_positivi_alla_data]]*(1 + $T$28)</f>
        <v>935.10649407120911</v>
      </c>
    </row>
    <row r="118" spans="1:18" x14ac:dyDescent="0.2">
      <c r="A118" s="6">
        <v>44000.708333333336</v>
      </c>
      <c r="B118">
        <v>2867</v>
      </c>
      <c r="C118">
        <v>168</v>
      </c>
      <c r="D118">
        <v>3035</v>
      </c>
      <c r="E118">
        <v>20066</v>
      </c>
      <c r="F118">
        <v>23101</v>
      </c>
      <c r="G118">
        <v>333</v>
      </c>
      <c r="H118">
        <v>180544</v>
      </c>
      <c r="I118">
        <v>34514</v>
      </c>
      <c r="J118">
        <v>238159</v>
      </c>
      <c r="K118">
        <v>4831562</v>
      </c>
      <c r="L118">
        <f t="shared" si="12"/>
        <v>58154</v>
      </c>
      <c r="M118" s="1">
        <f t="shared" si="10"/>
        <v>238159</v>
      </c>
      <c r="N118" s="1">
        <f t="shared" si="15"/>
        <v>66</v>
      </c>
      <c r="O118" s="1">
        <f t="shared" si="16"/>
        <v>2.7712578571458566E-2</v>
      </c>
      <c r="P118" s="1">
        <f t="shared" si="11"/>
        <v>1089</v>
      </c>
      <c r="Q118" s="1">
        <f>inhospital_tot__2[[#This Row],[infected_per_day]]/inhospital_tot__2[[#This Row],[Test per day]]</f>
        <v>4.095315885407711</v>
      </c>
      <c r="R118" s="18">
        <f>inhospital_tot__2[[#This Row],[nuovi_positivi_alla_data]]*(1 + $T$28)</f>
        <v>946.47556998696848</v>
      </c>
    </row>
    <row r="119" spans="1:18" x14ac:dyDescent="0.2">
      <c r="A119" s="6">
        <v>44001.708333333336</v>
      </c>
      <c r="B119">
        <v>2632</v>
      </c>
      <c r="C119">
        <v>161</v>
      </c>
      <c r="D119">
        <v>2793</v>
      </c>
      <c r="E119">
        <v>18750</v>
      </c>
      <c r="F119">
        <v>21543</v>
      </c>
      <c r="G119">
        <v>251</v>
      </c>
      <c r="H119">
        <v>181907</v>
      </c>
      <c r="I119">
        <v>34561</v>
      </c>
      <c r="J119">
        <v>238011</v>
      </c>
      <c r="K119">
        <v>4889103</v>
      </c>
      <c r="L119">
        <f t="shared" si="12"/>
        <v>57541</v>
      </c>
      <c r="M119" s="1">
        <f t="shared" si="10"/>
        <v>238011</v>
      </c>
      <c r="N119" s="1">
        <f t="shared" si="15"/>
        <v>47</v>
      </c>
      <c r="O119" s="1">
        <f t="shared" si="16"/>
        <v>1.9746986483817976E-2</v>
      </c>
      <c r="P119" s="1">
        <f t="shared" si="11"/>
        <v>1363</v>
      </c>
      <c r="Q119" s="1">
        <f>inhospital_tot__2[[#This Row],[infected_per_day]]/inhospital_tot__2[[#This Row],[Test per day]]</f>
        <v>4.1363723258198499</v>
      </c>
      <c r="R119" s="18">
        <f>inhospital_tot__2[[#This Row],[nuovi_positivi_alla_data]]*(1 + $T$28)</f>
        <v>713.40951371390122</v>
      </c>
    </row>
    <row r="120" spans="1:18" x14ac:dyDescent="0.2">
      <c r="A120" s="6">
        <v>44002.708333333336</v>
      </c>
      <c r="B120">
        <v>2474</v>
      </c>
      <c r="C120">
        <v>152</v>
      </c>
      <c r="D120">
        <v>2626</v>
      </c>
      <c r="E120">
        <v>18586</v>
      </c>
      <c r="F120">
        <v>21212</v>
      </c>
      <c r="G120">
        <v>262</v>
      </c>
      <c r="H120">
        <v>182453</v>
      </c>
      <c r="I120">
        <v>34610</v>
      </c>
      <c r="J120">
        <v>238275</v>
      </c>
      <c r="K120">
        <v>4943825</v>
      </c>
      <c r="L120">
        <f t="shared" si="12"/>
        <v>54722</v>
      </c>
      <c r="M120" s="1">
        <f t="shared" si="10"/>
        <v>238275</v>
      </c>
      <c r="N120" s="1">
        <f t="shared" si="15"/>
        <v>49</v>
      </c>
      <c r="O120" s="1">
        <f t="shared" si="16"/>
        <v>2.0564473822264191E-2</v>
      </c>
      <c r="P120" s="1">
        <f t="shared" si="11"/>
        <v>546</v>
      </c>
      <c r="Q120" s="1">
        <f>inhospital_tot__2[[#This Row],[infected_per_day]]/inhospital_tot__2[[#This Row],[Test per day]]</f>
        <v>4.35428164175286</v>
      </c>
      <c r="R120" s="18">
        <f>inhospital_tot__2[[#This Row],[nuovi_positivi_alla_data]]*(1 + $T$28)</f>
        <v>744.67447248223948</v>
      </c>
    </row>
    <row r="121" spans="1:18" x14ac:dyDescent="0.2">
      <c r="A121" s="6">
        <v>44003.708333333336</v>
      </c>
      <c r="B121">
        <v>2314</v>
      </c>
      <c r="C121">
        <v>148</v>
      </c>
      <c r="D121">
        <v>2462</v>
      </c>
      <c r="E121">
        <v>18510</v>
      </c>
      <c r="F121">
        <v>20972</v>
      </c>
      <c r="G121">
        <v>224</v>
      </c>
      <c r="H121">
        <v>182893</v>
      </c>
      <c r="I121">
        <v>34634</v>
      </c>
      <c r="J121">
        <v>238499</v>
      </c>
      <c r="K121">
        <v>4984370</v>
      </c>
      <c r="L121">
        <f t="shared" si="12"/>
        <v>40545</v>
      </c>
      <c r="M121" s="1">
        <f t="shared" si="10"/>
        <v>238499</v>
      </c>
      <c r="N121" s="1">
        <f t="shared" si="15"/>
        <v>24</v>
      </c>
      <c r="O121" s="1">
        <f t="shared" si="16"/>
        <v>1.0062935274361737E-2</v>
      </c>
      <c r="P121" s="1">
        <f t="shared" si="11"/>
        <v>440</v>
      </c>
      <c r="Q121" s="1">
        <f>inhospital_tot__2[[#This Row],[infected_per_day]]/inhospital_tot__2[[#This Row],[Test per day]]</f>
        <v>5.8823282772228387</v>
      </c>
      <c r="R121" s="18">
        <f>inhospital_tot__2[[#This Row],[nuovi_positivi_alla_data]]*(1 + $T$28)</f>
        <v>636.66825128252538</v>
      </c>
    </row>
    <row r="122" spans="1:18" x14ac:dyDescent="0.2">
      <c r="A122" s="6">
        <v>44004.708333333336</v>
      </c>
      <c r="B122">
        <v>2038</v>
      </c>
      <c r="C122">
        <v>127</v>
      </c>
      <c r="D122">
        <v>2165</v>
      </c>
      <c r="E122">
        <v>18472</v>
      </c>
      <c r="F122">
        <v>20637</v>
      </c>
      <c r="G122">
        <v>218</v>
      </c>
      <c r="H122">
        <v>183426</v>
      </c>
      <c r="I122">
        <v>34657</v>
      </c>
      <c r="J122">
        <v>238720</v>
      </c>
      <c r="K122">
        <v>5013342</v>
      </c>
      <c r="L122">
        <f t="shared" si="12"/>
        <v>28972</v>
      </c>
      <c r="M122" s="1">
        <f t="shared" si="10"/>
        <v>238720</v>
      </c>
      <c r="N122" s="1">
        <f t="shared" si="15"/>
        <v>23</v>
      </c>
      <c r="O122" s="1">
        <f t="shared" si="16"/>
        <v>9.6347184986595186E-3</v>
      </c>
      <c r="P122" s="1">
        <f t="shared" si="11"/>
        <v>533</v>
      </c>
      <c r="Q122" s="1">
        <f>inhospital_tot__2[[#This Row],[infected_per_day]]/inhospital_tot__2[[#This Row],[Test per day]]</f>
        <v>8.2396796907358834</v>
      </c>
      <c r="R122" s="18">
        <f>inhospital_tot__2[[#This Row],[nuovi_positivi_alla_data]]*(1 + $T$28)</f>
        <v>619.61463740888632</v>
      </c>
    </row>
    <row r="123" spans="1:18" x14ac:dyDescent="0.2">
      <c r="A123" s="6">
        <v>44005.708333333336</v>
      </c>
      <c r="B123">
        <v>1853</v>
      </c>
      <c r="C123">
        <v>115</v>
      </c>
      <c r="D123">
        <v>1968</v>
      </c>
      <c r="E123">
        <v>17605</v>
      </c>
      <c r="F123">
        <v>19573</v>
      </c>
      <c r="G123">
        <v>122</v>
      </c>
      <c r="H123">
        <v>184585</v>
      </c>
      <c r="I123">
        <v>34675</v>
      </c>
      <c r="J123">
        <v>238833</v>
      </c>
      <c r="K123">
        <v>5053827</v>
      </c>
      <c r="L123">
        <f t="shared" si="12"/>
        <v>40485</v>
      </c>
      <c r="M123" s="1">
        <f t="shared" si="10"/>
        <v>238833</v>
      </c>
      <c r="N123" s="1">
        <f t="shared" si="15"/>
        <v>18</v>
      </c>
      <c r="O123" s="1">
        <f t="shared" si="16"/>
        <v>7.5366469457738249E-3</v>
      </c>
      <c r="P123" s="1">
        <f t="shared" si="11"/>
        <v>1159</v>
      </c>
      <c r="Q123" s="1">
        <f>inhospital_tot__2[[#This Row],[infected_per_day]]/inhospital_tot__2[[#This Row],[Test per day]]</f>
        <v>5.8992960355687289</v>
      </c>
      <c r="R123" s="18">
        <f>inhospital_tot__2[[#This Row],[nuovi_positivi_alla_data]]*(1 + $T$28)</f>
        <v>346.75681543066116</v>
      </c>
    </row>
    <row r="124" spans="1:18" x14ac:dyDescent="0.2">
      <c r="A124" s="6">
        <v>44006.708333333336</v>
      </c>
      <c r="B124">
        <v>1610</v>
      </c>
      <c r="C124">
        <v>107</v>
      </c>
      <c r="D124">
        <v>1717</v>
      </c>
      <c r="E124">
        <v>16938</v>
      </c>
      <c r="F124">
        <v>18655</v>
      </c>
      <c r="G124">
        <v>190</v>
      </c>
      <c r="H124">
        <v>186111</v>
      </c>
      <c r="I124">
        <v>34644</v>
      </c>
      <c r="J124">
        <v>239410</v>
      </c>
      <c r="K124">
        <v>5107093</v>
      </c>
      <c r="L124">
        <f t="shared" si="12"/>
        <v>53266</v>
      </c>
      <c r="M124" s="1">
        <f t="shared" si="10"/>
        <v>239410</v>
      </c>
      <c r="N124" s="1">
        <f t="shared" si="15"/>
        <v>-31</v>
      </c>
      <c r="O124" s="1">
        <f t="shared" si="16"/>
        <v>-1.2948498391880038E-2</v>
      </c>
      <c r="P124" s="1">
        <f t="shared" si="11"/>
        <v>1526</v>
      </c>
      <c r="Q124" s="1">
        <f>inhospital_tot__2[[#This Row],[infected_per_day]]/inhospital_tot__2[[#This Row],[Test per day]]</f>
        <v>4.4946119475838247</v>
      </c>
      <c r="R124" s="18">
        <f>inhospital_tot__2[[#This Row],[nuovi_positivi_alla_data]]*(1 + $T$28)</f>
        <v>540.03110599857064</v>
      </c>
    </row>
    <row r="125" spans="1:18" x14ac:dyDescent="0.2">
      <c r="A125" s="6">
        <v>44007.708333333336</v>
      </c>
      <c r="B125">
        <v>1515</v>
      </c>
      <c r="C125">
        <v>103</v>
      </c>
      <c r="D125">
        <v>1618</v>
      </c>
      <c r="E125">
        <v>16685</v>
      </c>
      <c r="F125">
        <v>18303</v>
      </c>
      <c r="G125">
        <v>296</v>
      </c>
      <c r="H125">
        <v>186725</v>
      </c>
      <c r="I125">
        <v>34678</v>
      </c>
      <c r="J125">
        <v>239706</v>
      </c>
      <c r="K125">
        <v>5163154</v>
      </c>
      <c r="L125">
        <f t="shared" si="12"/>
        <v>56061</v>
      </c>
      <c r="M125" s="1">
        <f t="shared" si="10"/>
        <v>239706</v>
      </c>
      <c r="N125" s="1">
        <f t="shared" ref="N125:N188" si="17">I125-I124</f>
        <v>34</v>
      </c>
      <c r="O125" s="1">
        <f t="shared" ref="O125:O188" si="18">(N125/J125)*100</f>
        <v>1.4184042118261539E-2</v>
      </c>
      <c r="P125" s="1">
        <f t="shared" si="11"/>
        <v>614</v>
      </c>
      <c r="Q125" s="1">
        <f>inhospital_tot__2[[#This Row],[infected_per_day]]/inhospital_tot__2[[#This Row],[Test per day]]</f>
        <v>4.2758067105474398</v>
      </c>
      <c r="R125" s="18">
        <f>inhospital_tot__2[[#This Row],[nuovi_positivi_alla_data]]*(1 + $T$28)</f>
        <v>841.31161776619422</v>
      </c>
    </row>
    <row r="126" spans="1:18" x14ac:dyDescent="0.2">
      <c r="A126" s="6">
        <v>44008.708333333336</v>
      </c>
      <c r="B126">
        <v>1356</v>
      </c>
      <c r="C126">
        <v>105</v>
      </c>
      <c r="D126">
        <v>1461</v>
      </c>
      <c r="E126">
        <v>16177</v>
      </c>
      <c r="F126">
        <v>17638</v>
      </c>
      <c r="G126">
        <v>259</v>
      </c>
      <c r="H126">
        <v>187615</v>
      </c>
      <c r="I126">
        <v>34708</v>
      </c>
      <c r="J126">
        <v>239961</v>
      </c>
      <c r="K126">
        <v>5215922</v>
      </c>
      <c r="L126">
        <f t="shared" si="12"/>
        <v>52768</v>
      </c>
      <c r="M126" s="1">
        <f t="shared" si="10"/>
        <v>239961</v>
      </c>
      <c r="N126" s="1">
        <f t="shared" si="17"/>
        <v>30</v>
      </c>
      <c r="O126" s="1">
        <f t="shared" si="18"/>
        <v>1.2502031580131771E-2</v>
      </c>
      <c r="P126" s="1">
        <f t="shared" si="11"/>
        <v>890</v>
      </c>
      <c r="Q126" s="1">
        <f>inhospital_tot__2[[#This Row],[infected_per_day]]/inhospital_tot__2[[#This Row],[Test per day]]</f>
        <v>4.5474719526986052</v>
      </c>
      <c r="R126" s="18">
        <f>inhospital_tot__2[[#This Row],[nuovi_positivi_alla_data]]*(1 + $T$28)</f>
        <v>736.14766554541995</v>
      </c>
    </row>
    <row r="127" spans="1:18" x14ac:dyDescent="0.2">
      <c r="A127" s="6">
        <v>44009.708333333336</v>
      </c>
      <c r="B127">
        <v>1260</v>
      </c>
      <c r="C127">
        <v>97</v>
      </c>
      <c r="D127">
        <v>1357</v>
      </c>
      <c r="E127">
        <v>15479</v>
      </c>
      <c r="F127">
        <v>16836</v>
      </c>
      <c r="G127">
        <v>175</v>
      </c>
      <c r="H127">
        <v>188584</v>
      </c>
      <c r="I127">
        <v>34716</v>
      </c>
      <c r="J127">
        <v>240136</v>
      </c>
      <c r="K127">
        <v>5277273</v>
      </c>
      <c r="L127">
        <f t="shared" si="12"/>
        <v>61351</v>
      </c>
      <c r="M127" s="1">
        <f t="shared" si="10"/>
        <v>240136</v>
      </c>
      <c r="N127" s="1">
        <f t="shared" si="17"/>
        <v>8</v>
      </c>
      <c r="O127" s="1">
        <f t="shared" si="18"/>
        <v>3.3314455142086151E-3</v>
      </c>
      <c r="P127" s="1">
        <f t="shared" si="11"/>
        <v>969</v>
      </c>
      <c r="Q127" s="1">
        <f>inhospital_tot__2[[#This Row],[infected_per_day]]/inhospital_tot__2[[#This Row],[Test per day]]</f>
        <v>3.914133428957963</v>
      </c>
      <c r="R127" s="18">
        <f>inhospital_tot__2[[#This Row],[nuovi_positivi_alla_data]]*(1 + $T$28)</f>
        <v>497.39707131447295</v>
      </c>
    </row>
    <row r="128" spans="1:18" x14ac:dyDescent="0.2">
      <c r="A128" s="6">
        <v>44010.708333333336</v>
      </c>
      <c r="B128">
        <v>1160</v>
      </c>
      <c r="C128">
        <v>98</v>
      </c>
      <c r="D128">
        <v>1258</v>
      </c>
      <c r="E128">
        <v>15423</v>
      </c>
      <c r="F128">
        <v>16681</v>
      </c>
      <c r="G128">
        <v>174</v>
      </c>
      <c r="H128">
        <v>188891</v>
      </c>
      <c r="I128">
        <v>34738</v>
      </c>
      <c r="J128">
        <v>240310</v>
      </c>
      <c r="K128">
        <v>5314619</v>
      </c>
      <c r="L128">
        <f t="shared" si="12"/>
        <v>37346</v>
      </c>
      <c r="M128" s="1">
        <f t="shared" si="10"/>
        <v>240310</v>
      </c>
      <c r="N128" s="1">
        <f t="shared" si="17"/>
        <v>22</v>
      </c>
      <c r="O128" s="1">
        <f t="shared" si="18"/>
        <v>9.1548416628521485E-3</v>
      </c>
      <c r="P128" s="1">
        <f t="shared" si="11"/>
        <v>307</v>
      </c>
      <c r="Q128" s="1">
        <f>inhospital_tot__2[[#This Row],[infected_per_day]]/inhospital_tot__2[[#This Row],[Test per day]]</f>
        <v>6.4346918009960907</v>
      </c>
      <c r="R128" s="18">
        <f>inhospital_tot__2[[#This Row],[nuovi_positivi_alla_data]]*(1 + $T$28)</f>
        <v>494.55480233553311</v>
      </c>
    </row>
    <row r="129" spans="1:18" x14ac:dyDescent="0.2">
      <c r="A129" s="6">
        <v>44011.708333333336</v>
      </c>
      <c r="B129">
        <v>1120</v>
      </c>
      <c r="C129">
        <v>96</v>
      </c>
      <c r="D129">
        <v>1216</v>
      </c>
      <c r="E129">
        <v>15280</v>
      </c>
      <c r="F129">
        <v>16496</v>
      </c>
      <c r="G129">
        <v>126</v>
      </c>
      <c r="H129">
        <v>189196</v>
      </c>
      <c r="I129">
        <v>34744</v>
      </c>
      <c r="J129">
        <v>240436</v>
      </c>
      <c r="K129">
        <v>5341837</v>
      </c>
      <c r="L129">
        <f t="shared" si="12"/>
        <v>27218</v>
      </c>
      <c r="M129" s="1">
        <f t="shared" si="10"/>
        <v>240436</v>
      </c>
      <c r="N129" s="1">
        <f t="shared" si="17"/>
        <v>6</v>
      </c>
      <c r="O129" s="1">
        <f t="shared" si="18"/>
        <v>2.4954665690661965E-3</v>
      </c>
      <c r="P129" s="1">
        <f t="shared" si="11"/>
        <v>305</v>
      </c>
      <c r="Q129" s="1">
        <f>inhospital_tot__2[[#This Row],[infected_per_day]]/inhospital_tot__2[[#This Row],[Test per day]]</f>
        <v>8.8337129840546691</v>
      </c>
      <c r="R129" s="18">
        <f>inhospital_tot__2[[#This Row],[nuovi_positivi_alla_data]]*(1 + $T$28)</f>
        <v>358.12589134642053</v>
      </c>
    </row>
    <row r="130" spans="1:18" x14ac:dyDescent="0.2">
      <c r="A130" s="6">
        <v>44012.708333333336</v>
      </c>
      <c r="B130">
        <v>1090</v>
      </c>
      <c r="C130">
        <v>93</v>
      </c>
      <c r="D130">
        <v>1183</v>
      </c>
      <c r="E130">
        <v>14380</v>
      </c>
      <c r="F130">
        <v>15563</v>
      </c>
      <c r="G130">
        <v>142</v>
      </c>
      <c r="H130">
        <v>190248</v>
      </c>
      <c r="I130">
        <v>34767</v>
      </c>
      <c r="J130">
        <v>240578</v>
      </c>
      <c r="K130">
        <v>5390110</v>
      </c>
      <c r="L130">
        <f t="shared" si="12"/>
        <v>48273</v>
      </c>
      <c r="M130" s="1">
        <f t="shared" si="10"/>
        <v>240578</v>
      </c>
      <c r="N130" s="1">
        <f t="shared" si="17"/>
        <v>23</v>
      </c>
      <c r="O130" s="1">
        <f t="shared" si="18"/>
        <v>9.5603089226778838E-3</v>
      </c>
      <c r="P130" s="1">
        <f t="shared" si="11"/>
        <v>1052</v>
      </c>
      <c r="Q130" s="1">
        <f>inhospital_tot__2[[#This Row],[infected_per_day]]/inhospital_tot__2[[#This Row],[Test per day]]</f>
        <v>4.9836968906013714</v>
      </c>
      <c r="R130" s="18">
        <f>inhospital_tot__2[[#This Row],[nuovi_positivi_alla_data]]*(1 + $T$28)</f>
        <v>403.60219500945806</v>
      </c>
    </row>
    <row r="131" spans="1:18" x14ac:dyDescent="0.2">
      <c r="A131" s="6">
        <v>44013.708333333336</v>
      </c>
      <c r="B131">
        <v>1025</v>
      </c>
      <c r="C131">
        <v>87</v>
      </c>
      <c r="D131">
        <v>1112</v>
      </c>
      <c r="E131">
        <v>14143</v>
      </c>
      <c r="F131">
        <v>15255</v>
      </c>
      <c r="G131">
        <v>187</v>
      </c>
      <c r="H131">
        <v>190717</v>
      </c>
      <c r="I131">
        <v>34788</v>
      </c>
      <c r="J131">
        <v>240760</v>
      </c>
      <c r="K131">
        <v>5445476</v>
      </c>
      <c r="L131">
        <f t="shared" si="12"/>
        <v>55366</v>
      </c>
      <c r="M131" s="1">
        <f t="shared" ref="M131:M194" si="19">J131</f>
        <v>240760</v>
      </c>
      <c r="N131" s="1">
        <f t="shared" si="17"/>
        <v>21</v>
      </c>
      <c r="O131" s="1">
        <f t="shared" si="18"/>
        <v>8.7223791327463024E-3</v>
      </c>
      <c r="P131" s="1">
        <f t="shared" ref="P131:P194" si="20">H131-H130</f>
        <v>469</v>
      </c>
      <c r="Q131" s="1">
        <f>inhospital_tot__2[[#This Row],[infected_per_day]]/inhospital_tot__2[[#This Row],[Test per day]]</f>
        <v>4.3485171404833292</v>
      </c>
      <c r="R131" s="18">
        <f>inhospital_tot__2[[#This Row],[nuovi_positivi_alla_data]]*(1 + $T$28)</f>
        <v>531.50429906175111</v>
      </c>
    </row>
    <row r="132" spans="1:18" x14ac:dyDescent="0.2">
      <c r="A132" s="6">
        <v>44014.708333333336</v>
      </c>
      <c r="B132">
        <v>963</v>
      </c>
      <c r="C132">
        <v>82</v>
      </c>
      <c r="D132">
        <v>1045</v>
      </c>
      <c r="E132">
        <v>14015</v>
      </c>
      <c r="F132">
        <v>15060</v>
      </c>
      <c r="G132">
        <v>201</v>
      </c>
      <c r="H132">
        <v>191083</v>
      </c>
      <c r="I132">
        <v>34818</v>
      </c>
      <c r="J132">
        <v>240961</v>
      </c>
      <c r="K132">
        <v>5498719</v>
      </c>
      <c r="L132">
        <f t="shared" si="12"/>
        <v>53243</v>
      </c>
      <c r="M132" s="1">
        <f t="shared" si="19"/>
        <v>240961</v>
      </c>
      <c r="N132" s="1">
        <f t="shared" si="17"/>
        <v>30</v>
      </c>
      <c r="O132" s="1">
        <f t="shared" si="18"/>
        <v>1.2450147534248281E-2</v>
      </c>
      <c r="P132" s="1">
        <f t="shared" si="20"/>
        <v>366</v>
      </c>
      <c r="Q132" s="1">
        <f>inhospital_tot__2[[#This Row],[infected_per_day]]/inhospital_tot__2[[#This Row],[Test per day]]</f>
        <v>4.5256841274909378</v>
      </c>
      <c r="R132" s="18">
        <f>inhospital_tot__2[[#This Row],[nuovi_positivi_alla_data]]*(1 + $T$28)</f>
        <v>571.2960647669089</v>
      </c>
    </row>
    <row r="133" spans="1:18" x14ac:dyDescent="0.2">
      <c r="A133" s="6">
        <v>44015.708333333336</v>
      </c>
      <c r="B133">
        <v>956</v>
      </c>
      <c r="C133">
        <v>79</v>
      </c>
      <c r="D133">
        <v>1035</v>
      </c>
      <c r="E133">
        <v>13849</v>
      </c>
      <c r="F133">
        <v>14884</v>
      </c>
      <c r="G133">
        <v>223</v>
      </c>
      <c r="H133">
        <v>191467</v>
      </c>
      <c r="I133">
        <v>34833</v>
      </c>
      <c r="J133">
        <v>241184</v>
      </c>
      <c r="K133">
        <v>5548815</v>
      </c>
      <c r="L133">
        <f t="shared" si="12"/>
        <v>50096</v>
      </c>
      <c r="M133" s="1">
        <f t="shared" si="19"/>
        <v>241184</v>
      </c>
      <c r="N133" s="1">
        <f t="shared" si="17"/>
        <v>15</v>
      </c>
      <c r="O133" s="1">
        <f t="shared" si="18"/>
        <v>6.2193180310468358E-3</v>
      </c>
      <c r="P133" s="1">
        <f t="shared" si="20"/>
        <v>384</v>
      </c>
      <c r="Q133" s="1">
        <f>inhospital_tot__2[[#This Row],[infected_per_day]]/inhospital_tot__2[[#This Row],[Test per day]]</f>
        <v>4.814436282337911</v>
      </c>
      <c r="R133" s="18">
        <f>inhospital_tot__2[[#This Row],[nuovi_positivi_alla_data]]*(1 + $T$28)</f>
        <v>633.82598230358553</v>
      </c>
    </row>
    <row r="134" spans="1:18" x14ac:dyDescent="0.2">
      <c r="A134" s="6">
        <v>44016.708333333336</v>
      </c>
      <c r="B134">
        <v>940</v>
      </c>
      <c r="C134">
        <v>71</v>
      </c>
      <c r="D134">
        <v>1011</v>
      </c>
      <c r="E134">
        <v>13610</v>
      </c>
      <c r="F134">
        <v>14621</v>
      </c>
      <c r="G134">
        <v>235</v>
      </c>
      <c r="H134">
        <v>191944</v>
      </c>
      <c r="I134">
        <v>34854</v>
      </c>
      <c r="J134">
        <v>241419</v>
      </c>
      <c r="K134">
        <v>5600826</v>
      </c>
      <c r="L134">
        <f t="shared" si="12"/>
        <v>52011</v>
      </c>
      <c r="M134" s="1">
        <f t="shared" si="19"/>
        <v>241419</v>
      </c>
      <c r="N134" s="1">
        <f t="shared" si="17"/>
        <v>21</v>
      </c>
      <c r="O134" s="1">
        <f t="shared" si="18"/>
        <v>8.6985697066096698E-3</v>
      </c>
      <c r="P134" s="1">
        <f t="shared" si="20"/>
        <v>477</v>
      </c>
      <c r="Q134" s="1">
        <f>inhospital_tot__2[[#This Row],[infected_per_day]]/inhospital_tot__2[[#This Row],[Test per day]]</f>
        <v>4.6416911807117724</v>
      </c>
      <c r="R134" s="18">
        <f>inhospital_tot__2[[#This Row],[nuovi_positivi_alla_data]]*(1 + $T$28)</f>
        <v>667.93321005086364</v>
      </c>
    </row>
    <row r="135" spans="1:18" x14ac:dyDescent="0.2">
      <c r="A135" s="6">
        <v>44017.708333333336</v>
      </c>
      <c r="B135">
        <v>945</v>
      </c>
      <c r="C135">
        <v>74</v>
      </c>
      <c r="D135">
        <v>1019</v>
      </c>
      <c r="E135">
        <v>13623</v>
      </c>
      <c r="F135">
        <v>14642</v>
      </c>
      <c r="G135">
        <v>192</v>
      </c>
      <c r="H135">
        <v>192108</v>
      </c>
      <c r="I135">
        <v>34861</v>
      </c>
      <c r="J135">
        <v>241611</v>
      </c>
      <c r="K135">
        <v>5638288</v>
      </c>
      <c r="L135">
        <f t="shared" si="12"/>
        <v>37462</v>
      </c>
      <c r="M135" s="1">
        <f t="shared" si="19"/>
        <v>241611</v>
      </c>
      <c r="N135" s="1">
        <f t="shared" si="17"/>
        <v>7</v>
      </c>
      <c r="O135" s="1">
        <f t="shared" si="18"/>
        <v>2.8972190835682148E-3</v>
      </c>
      <c r="P135" s="1">
        <f t="shared" si="20"/>
        <v>164</v>
      </c>
      <c r="Q135" s="1">
        <f>inhospital_tot__2[[#This Row],[infected_per_day]]/inhospital_tot__2[[#This Row],[Test per day]]</f>
        <v>6.4494954887619453</v>
      </c>
      <c r="R135" s="18">
        <f>inhospital_tot__2[[#This Row],[nuovi_positivi_alla_data]]*(1 + $T$28)</f>
        <v>545.71564395645032</v>
      </c>
    </row>
    <row r="136" spans="1:18" x14ac:dyDescent="0.2">
      <c r="A136" s="6">
        <v>44018.708333333336</v>
      </c>
      <c r="B136">
        <v>946</v>
      </c>
      <c r="C136">
        <v>72</v>
      </c>
      <c r="D136">
        <v>1018</v>
      </c>
      <c r="E136">
        <v>13691</v>
      </c>
      <c r="F136">
        <v>14709</v>
      </c>
      <c r="G136">
        <v>208</v>
      </c>
      <c r="H136">
        <v>192241</v>
      </c>
      <c r="I136">
        <v>34869</v>
      </c>
      <c r="J136">
        <v>241819</v>
      </c>
      <c r="K136">
        <v>5660454</v>
      </c>
      <c r="L136">
        <f t="shared" si="12"/>
        <v>22166</v>
      </c>
      <c r="M136" s="1">
        <f t="shared" si="19"/>
        <v>241819</v>
      </c>
      <c r="N136" s="1">
        <f t="shared" si="17"/>
        <v>8</v>
      </c>
      <c r="O136" s="1">
        <f t="shared" si="18"/>
        <v>3.3082594833325749E-3</v>
      </c>
      <c r="P136" s="1">
        <f t="shared" si="20"/>
        <v>133</v>
      </c>
      <c r="Q136" s="1">
        <f>inhospital_tot__2[[#This Row],[infected_per_day]]/inhospital_tot__2[[#This Row],[Test per day]]</f>
        <v>10.909455923486421</v>
      </c>
      <c r="R136" s="18">
        <f>inhospital_tot__2[[#This Row],[nuovi_positivi_alla_data]]*(1 + $T$28)</f>
        <v>591.19194761948779</v>
      </c>
    </row>
    <row r="137" spans="1:18" x14ac:dyDescent="0.2">
      <c r="A137" s="6">
        <v>44019.708333333336</v>
      </c>
      <c r="B137">
        <v>940</v>
      </c>
      <c r="C137">
        <v>70</v>
      </c>
      <c r="D137">
        <v>1010</v>
      </c>
      <c r="E137">
        <v>13232</v>
      </c>
      <c r="F137">
        <v>14242</v>
      </c>
      <c r="G137">
        <v>138</v>
      </c>
      <c r="H137">
        <v>192815</v>
      </c>
      <c r="I137">
        <v>34899</v>
      </c>
      <c r="J137">
        <v>241956</v>
      </c>
      <c r="K137">
        <v>5703673</v>
      </c>
      <c r="L137">
        <f t="shared" si="12"/>
        <v>43219</v>
      </c>
      <c r="M137" s="1">
        <f t="shared" si="19"/>
        <v>241956</v>
      </c>
      <c r="N137" s="1">
        <f t="shared" si="17"/>
        <v>30</v>
      </c>
      <c r="O137" s="1">
        <f t="shared" si="18"/>
        <v>1.2398948569161336E-2</v>
      </c>
      <c r="P137" s="1">
        <f t="shared" si="20"/>
        <v>574</v>
      </c>
      <c r="Q137" s="1">
        <f>inhospital_tot__2[[#This Row],[infected_per_day]]/inhospital_tot__2[[#This Row],[Test per day]]</f>
        <v>5.5983710867905323</v>
      </c>
      <c r="R137" s="18">
        <f>inhospital_tot__2[[#This Row],[nuovi_positivi_alla_data]]*(1 + $T$28)</f>
        <v>392.23311909369869</v>
      </c>
    </row>
    <row r="138" spans="1:18" x14ac:dyDescent="0.2">
      <c r="A138" s="6">
        <v>44020.708333333336</v>
      </c>
      <c r="B138">
        <v>899</v>
      </c>
      <c r="C138">
        <v>71</v>
      </c>
      <c r="D138">
        <v>970</v>
      </c>
      <c r="E138">
        <v>12625</v>
      </c>
      <c r="F138">
        <v>13595</v>
      </c>
      <c r="G138">
        <v>193</v>
      </c>
      <c r="H138">
        <v>193640</v>
      </c>
      <c r="I138">
        <v>34914</v>
      </c>
      <c r="J138">
        <v>242149</v>
      </c>
      <c r="K138">
        <v>5754116</v>
      </c>
      <c r="L138">
        <f t="shared" si="12"/>
        <v>50443</v>
      </c>
      <c r="M138" s="1">
        <f t="shared" si="19"/>
        <v>242149</v>
      </c>
      <c r="N138" s="1">
        <f t="shared" si="17"/>
        <v>15</v>
      </c>
      <c r="O138" s="1">
        <f t="shared" si="18"/>
        <v>6.1945331180388932E-3</v>
      </c>
      <c r="P138" s="1">
        <f t="shared" si="20"/>
        <v>825</v>
      </c>
      <c r="Q138" s="1">
        <f>inhospital_tot__2[[#This Row],[infected_per_day]]/inhospital_tot__2[[#This Row],[Test per day]]</f>
        <v>4.8004480304502115</v>
      </c>
      <c r="R138" s="18">
        <f>inhospital_tot__2[[#This Row],[nuovi_positivi_alla_data]]*(1 + $T$28)</f>
        <v>548.55791293539016</v>
      </c>
    </row>
    <row r="139" spans="1:18" x14ac:dyDescent="0.2">
      <c r="A139" s="6">
        <v>44021.708333333336</v>
      </c>
      <c r="B139">
        <v>871</v>
      </c>
      <c r="C139">
        <v>69</v>
      </c>
      <c r="D139">
        <v>940</v>
      </c>
      <c r="E139">
        <v>12519</v>
      </c>
      <c r="F139">
        <v>13459</v>
      </c>
      <c r="G139">
        <v>229</v>
      </c>
      <c r="H139">
        <v>193978</v>
      </c>
      <c r="I139">
        <v>34926</v>
      </c>
      <c r="J139">
        <v>242363</v>
      </c>
      <c r="K139">
        <v>5806668</v>
      </c>
      <c r="L139">
        <f t="shared" si="12"/>
        <v>52552</v>
      </c>
      <c r="M139" s="1">
        <f t="shared" si="19"/>
        <v>242363</v>
      </c>
      <c r="N139" s="1">
        <f t="shared" si="17"/>
        <v>12</v>
      </c>
      <c r="O139" s="1">
        <f t="shared" si="18"/>
        <v>4.9512508097358096E-3</v>
      </c>
      <c r="P139" s="1">
        <f t="shared" si="20"/>
        <v>338</v>
      </c>
      <c r="Q139" s="1">
        <f>inhospital_tot__2[[#This Row],[infected_per_day]]/inhospital_tot__2[[#This Row],[Test per day]]</f>
        <v>4.6118701476632671</v>
      </c>
      <c r="R139" s="18">
        <f>inhospital_tot__2[[#This Row],[nuovi_positivi_alla_data]]*(1 + $T$28)</f>
        <v>650.87959617722458</v>
      </c>
    </row>
    <row r="140" spans="1:18" x14ac:dyDescent="0.2">
      <c r="A140" s="6">
        <v>44022.708333333336</v>
      </c>
      <c r="B140">
        <v>844</v>
      </c>
      <c r="C140">
        <v>65</v>
      </c>
      <c r="D140">
        <v>909</v>
      </c>
      <c r="E140">
        <v>12519</v>
      </c>
      <c r="F140">
        <v>13428</v>
      </c>
      <c r="G140">
        <v>276</v>
      </c>
      <c r="H140">
        <v>194273</v>
      </c>
      <c r="I140">
        <v>34938</v>
      </c>
      <c r="J140">
        <v>242639</v>
      </c>
      <c r="K140">
        <v>5854621</v>
      </c>
      <c r="L140">
        <f t="shared" si="12"/>
        <v>47953</v>
      </c>
      <c r="M140" s="1">
        <f t="shared" si="19"/>
        <v>242639</v>
      </c>
      <c r="N140" s="1">
        <f t="shared" si="17"/>
        <v>12</v>
      </c>
      <c r="O140" s="1">
        <f t="shared" si="18"/>
        <v>4.9456187999455982E-3</v>
      </c>
      <c r="P140" s="1">
        <f t="shared" si="20"/>
        <v>295</v>
      </c>
      <c r="Q140" s="1">
        <f>inhospital_tot__2[[#This Row],[infected_per_day]]/inhospital_tot__2[[#This Row],[Test per day]]</f>
        <v>5.0599336850666274</v>
      </c>
      <c r="R140" s="18">
        <f>inhospital_tot__2[[#This Row],[nuovi_positivi_alla_data]]*(1 + $T$28)</f>
        <v>784.46623818739738</v>
      </c>
    </row>
    <row r="141" spans="1:18" x14ac:dyDescent="0.2">
      <c r="A141" s="6">
        <v>44023.708333333336</v>
      </c>
      <c r="B141">
        <v>826</v>
      </c>
      <c r="C141">
        <v>67</v>
      </c>
      <c r="D141">
        <v>893</v>
      </c>
      <c r="E141">
        <v>12410</v>
      </c>
      <c r="F141">
        <v>13303</v>
      </c>
      <c r="G141">
        <v>188</v>
      </c>
      <c r="H141">
        <v>194579</v>
      </c>
      <c r="I141">
        <v>34945</v>
      </c>
      <c r="J141">
        <v>242827</v>
      </c>
      <c r="K141">
        <v>5900552</v>
      </c>
      <c r="L141">
        <f t="shared" si="12"/>
        <v>45931</v>
      </c>
      <c r="M141" s="1">
        <f t="shared" si="19"/>
        <v>242827</v>
      </c>
      <c r="N141" s="1">
        <f t="shared" si="17"/>
        <v>7</v>
      </c>
      <c r="O141" s="1">
        <f t="shared" si="18"/>
        <v>2.8827107364502299E-3</v>
      </c>
      <c r="P141" s="1">
        <f t="shared" si="20"/>
        <v>306</v>
      </c>
      <c r="Q141" s="1">
        <f>inhospital_tot__2[[#This Row],[infected_per_day]]/inhospital_tot__2[[#This Row],[Test per day]]</f>
        <v>5.286777993076571</v>
      </c>
      <c r="R141" s="18">
        <f>inhospital_tot__2[[#This Row],[nuovi_positivi_alla_data]]*(1 + $T$28)</f>
        <v>534.34656804069095</v>
      </c>
    </row>
    <row r="142" spans="1:18" x14ac:dyDescent="0.2">
      <c r="A142" s="6">
        <v>44024.708333333336</v>
      </c>
      <c r="B142">
        <v>776</v>
      </c>
      <c r="C142">
        <v>68</v>
      </c>
      <c r="D142">
        <v>844</v>
      </c>
      <c r="E142">
        <v>12335</v>
      </c>
      <c r="F142">
        <v>13179</v>
      </c>
      <c r="G142">
        <v>234</v>
      </c>
      <c r="H142">
        <v>194928</v>
      </c>
      <c r="I142">
        <v>34954</v>
      </c>
      <c r="J142">
        <v>243061</v>
      </c>
      <c r="K142">
        <v>5938811</v>
      </c>
      <c r="L142">
        <f t="shared" si="12"/>
        <v>38259</v>
      </c>
      <c r="M142" s="1">
        <f t="shared" si="19"/>
        <v>243061</v>
      </c>
      <c r="N142" s="1">
        <f t="shared" si="17"/>
        <v>9</v>
      </c>
      <c r="O142" s="1">
        <f t="shared" si="18"/>
        <v>3.7027742007150468E-3</v>
      </c>
      <c r="P142" s="1">
        <f t="shared" si="20"/>
        <v>349</v>
      </c>
      <c r="Q142" s="1">
        <f>inhospital_tot__2[[#This Row],[infected_per_day]]/inhospital_tot__2[[#This Row],[Test per day]]</f>
        <v>6.3530411145090042</v>
      </c>
      <c r="R142" s="18">
        <f>inhospital_tot__2[[#This Row],[nuovi_positivi_alla_data]]*(1 + $T$28)</f>
        <v>665.09094107192379</v>
      </c>
    </row>
    <row r="143" spans="1:18" x14ac:dyDescent="0.2">
      <c r="A143" s="6">
        <v>44025.708333333336</v>
      </c>
      <c r="B143">
        <v>768</v>
      </c>
      <c r="C143">
        <v>65</v>
      </c>
      <c r="D143">
        <v>833</v>
      </c>
      <c r="E143">
        <v>12324</v>
      </c>
      <c r="F143">
        <v>13157</v>
      </c>
      <c r="G143">
        <v>169</v>
      </c>
      <c r="H143">
        <v>195106</v>
      </c>
      <c r="I143">
        <v>34967</v>
      </c>
      <c r="J143">
        <v>243230</v>
      </c>
      <c r="K143">
        <v>5962744</v>
      </c>
      <c r="L143">
        <f t="shared" si="12"/>
        <v>23933</v>
      </c>
      <c r="M143" s="1">
        <f t="shared" si="19"/>
        <v>243230</v>
      </c>
      <c r="N143" s="1">
        <f t="shared" si="17"/>
        <v>13</v>
      </c>
      <c r="O143" s="1">
        <f t="shared" si="18"/>
        <v>5.3447354355959384E-3</v>
      </c>
      <c r="P143" s="1">
        <f t="shared" si="20"/>
        <v>178</v>
      </c>
      <c r="Q143" s="1">
        <f>inhospital_tot__2[[#This Row],[infected_per_day]]/inhospital_tot__2[[#This Row],[Test per day]]</f>
        <v>10.162954915806626</v>
      </c>
      <c r="R143" s="18">
        <f>inhospital_tot__2[[#This Row],[nuovi_positivi_alla_data]]*(1 + $T$28)</f>
        <v>480.3434574408339</v>
      </c>
    </row>
    <row r="144" spans="1:18" x14ac:dyDescent="0.2">
      <c r="A144" s="6">
        <v>44026.708333333336</v>
      </c>
      <c r="B144">
        <v>777</v>
      </c>
      <c r="C144">
        <v>60</v>
      </c>
      <c r="D144">
        <v>837</v>
      </c>
      <c r="E144">
        <v>12082</v>
      </c>
      <c r="F144">
        <v>12919</v>
      </c>
      <c r="G144">
        <v>114</v>
      </c>
      <c r="H144">
        <v>195441</v>
      </c>
      <c r="I144">
        <v>34984</v>
      </c>
      <c r="J144">
        <v>243344</v>
      </c>
      <c r="K144">
        <v>6004611</v>
      </c>
      <c r="L144">
        <f t="shared" si="12"/>
        <v>41867</v>
      </c>
      <c r="M144" s="1">
        <f t="shared" si="19"/>
        <v>243344</v>
      </c>
      <c r="N144" s="1">
        <f t="shared" si="17"/>
        <v>17</v>
      </c>
      <c r="O144" s="1">
        <f t="shared" si="18"/>
        <v>6.9859951344598591E-3</v>
      </c>
      <c r="P144" s="1">
        <f t="shared" si="20"/>
        <v>335</v>
      </c>
      <c r="Q144" s="1">
        <f>inhospital_tot__2[[#This Row],[infected_per_day]]/inhospital_tot__2[[#This Row],[Test per day]]</f>
        <v>5.8123104115413096</v>
      </c>
      <c r="R144" s="18">
        <f>inhospital_tot__2[[#This Row],[nuovi_positivi_alla_data]]*(1 + $T$28)</f>
        <v>324.01866359914237</v>
      </c>
    </row>
    <row r="145" spans="1:18" x14ac:dyDescent="0.2">
      <c r="A145" s="6">
        <v>44027.708333333336</v>
      </c>
      <c r="B145">
        <v>797</v>
      </c>
      <c r="C145">
        <v>57</v>
      </c>
      <c r="D145">
        <v>854</v>
      </c>
      <c r="E145">
        <v>11639</v>
      </c>
      <c r="F145">
        <v>12493</v>
      </c>
      <c r="G145">
        <v>163</v>
      </c>
      <c r="H145">
        <v>196016</v>
      </c>
      <c r="I145">
        <v>34997</v>
      </c>
      <c r="J145">
        <v>243506</v>
      </c>
      <c r="K145">
        <v>6053060</v>
      </c>
      <c r="L145">
        <f t="shared" si="12"/>
        <v>48449</v>
      </c>
      <c r="M145" s="1">
        <f t="shared" si="19"/>
        <v>243506</v>
      </c>
      <c r="N145" s="1">
        <f t="shared" si="17"/>
        <v>13</v>
      </c>
      <c r="O145" s="1">
        <f t="shared" si="18"/>
        <v>5.338677486386373E-3</v>
      </c>
      <c r="P145" s="1">
        <f t="shared" si="20"/>
        <v>575</v>
      </c>
      <c r="Q145" s="1">
        <f>inhospital_tot__2[[#This Row],[infected_per_day]]/inhospital_tot__2[[#This Row],[Test per day]]</f>
        <v>5.026027368985944</v>
      </c>
      <c r="R145" s="18">
        <f>inhospital_tot__2[[#This Row],[nuovi_positivi_alla_data]]*(1 + $T$28)</f>
        <v>463.28984356719479</v>
      </c>
    </row>
    <row r="146" spans="1:18" x14ac:dyDescent="0.2">
      <c r="A146" s="6">
        <v>44028.708333333336</v>
      </c>
      <c r="B146">
        <v>750</v>
      </c>
      <c r="C146">
        <v>53</v>
      </c>
      <c r="D146">
        <v>803</v>
      </c>
      <c r="E146">
        <v>11670</v>
      </c>
      <c r="F146">
        <v>12473</v>
      </c>
      <c r="G146">
        <v>230</v>
      </c>
      <c r="H146">
        <v>196246</v>
      </c>
      <c r="I146">
        <v>35017</v>
      </c>
      <c r="J146">
        <v>243736</v>
      </c>
      <c r="K146">
        <v>6103492</v>
      </c>
      <c r="L146">
        <f t="shared" si="12"/>
        <v>50432</v>
      </c>
      <c r="M146" s="1">
        <f t="shared" si="19"/>
        <v>243736</v>
      </c>
      <c r="N146" s="1">
        <f t="shared" si="17"/>
        <v>20</v>
      </c>
      <c r="O146" s="1">
        <f t="shared" si="18"/>
        <v>8.2055995010995499E-3</v>
      </c>
      <c r="P146" s="1">
        <f t="shared" si="20"/>
        <v>230</v>
      </c>
      <c r="Q146" s="1">
        <f>inhospital_tot__2[[#This Row],[infected_per_day]]/inhospital_tot__2[[#This Row],[Test per day]]</f>
        <v>4.8329631979695433</v>
      </c>
      <c r="R146" s="18">
        <f>inhospital_tot__2[[#This Row],[nuovi_positivi_alla_data]]*(1 + $T$28)</f>
        <v>653.72186515616443</v>
      </c>
    </row>
    <row r="147" spans="1:18" x14ac:dyDescent="0.2">
      <c r="A147" s="6">
        <v>44029.708333333336</v>
      </c>
      <c r="B147">
        <v>771</v>
      </c>
      <c r="C147">
        <v>50</v>
      </c>
      <c r="D147">
        <v>821</v>
      </c>
      <c r="E147">
        <v>11635</v>
      </c>
      <c r="F147">
        <v>12456</v>
      </c>
      <c r="G147">
        <v>233</v>
      </c>
      <c r="H147">
        <v>196483</v>
      </c>
      <c r="I147">
        <v>35028</v>
      </c>
      <c r="J147">
        <v>243967</v>
      </c>
      <c r="K147">
        <v>6154259</v>
      </c>
      <c r="L147">
        <f t="shared" si="12"/>
        <v>50767</v>
      </c>
      <c r="M147" s="1">
        <f t="shared" si="19"/>
        <v>243967</v>
      </c>
      <c r="N147" s="1">
        <f t="shared" si="17"/>
        <v>11</v>
      </c>
      <c r="O147" s="1">
        <f t="shared" si="18"/>
        <v>4.5088065189144433E-3</v>
      </c>
      <c r="P147" s="1">
        <f t="shared" si="20"/>
        <v>237</v>
      </c>
      <c r="Q147" s="1">
        <f>inhospital_tot__2[[#This Row],[infected_per_day]]/inhospital_tot__2[[#This Row],[Test per day]]</f>
        <v>4.8056217621683377</v>
      </c>
      <c r="R147" s="18">
        <f>inhospital_tot__2[[#This Row],[nuovi_positivi_alla_data]]*(1 + $T$28)</f>
        <v>662.24867209298395</v>
      </c>
    </row>
    <row r="148" spans="1:18" x14ac:dyDescent="0.2">
      <c r="A148" s="6">
        <v>44030.708333333336</v>
      </c>
      <c r="B148">
        <v>757</v>
      </c>
      <c r="C148">
        <v>50</v>
      </c>
      <c r="D148">
        <v>807</v>
      </c>
      <c r="E148">
        <v>11561</v>
      </c>
      <c r="F148">
        <v>12368</v>
      </c>
      <c r="G148">
        <v>249</v>
      </c>
      <c r="H148">
        <v>196806</v>
      </c>
      <c r="I148">
        <v>35042</v>
      </c>
      <c r="J148">
        <v>244216</v>
      </c>
      <c r="K148">
        <v>6202524</v>
      </c>
      <c r="L148">
        <f t="shared" si="12"/>
        <v>48265</v>
      </c>
      <c r="M148" s="1">
        <f t="shared" si="19"/>
        <v>244216</v>
      </c>
      <c r="N148" s="1">
        <f t="shared" si="17"/>
        <v>14</v>
      </c>
      <c r="O148" s="1">
        <f t="shared" si="18"/>
        <v>5.7326301307039666E-3</v>
      </c>
      <c r="P148" s="1">
        <f t="shared" si="20"/>
        <v>323</v>
      </c>
      <c r="Q148" s="1">
        <f>inhospital_tot__2[[#This Row],[infected_per_day]]/inhospital_tot__2[[#This Row],[Test per day]]</f>
        <v>5.0598984771573603</v>
      </c>
      <c r="R148" s="18">
        <f>inhospital_tot__2[[#This Row],[nuovi_positivi_alla_data]]*(1 + $T$28)</f>
        <v>707.72497575602154</v>
      </c>
    </row>
    <row r="149" spans="1:18" x14ac:dyDescent="0.2">
      <c r="A149" s="6">
        <v>44031.708333333336</v>
      </c>
      <c r="B149">
        <v>743</v>
      </c>
      <c r="C149">
        <v>49</v>
      </c>
      <c r="D149">
        <v>792</v>
      </c>
      <c r="E149">
        <v>11648</v>
      </c>
      <c r="F149">
        <v>12440</v>
      </c>
      <c r="G149">
        <v>219</v>
      </c>
      <c r="H149">
        <v>196949</v>
      </c>
      <c r="I149">
        <v>35045</v>
      </c>
      <c r="J149">
        <v>244434</v>
      </c>
      <c r="K149">
        <v>6238049</v>
      </c>
      <c r="L149">
        <f t="shared" si="12"/>
        <v>35525</v>
      </c>
      <c r="M149" s="1">
        <f t="shared" si="19"/>
        <v>244434</v>
      </c>
      <c r="N149" s="1">
        <f t="shared" si="17"/>
        <v>3</v>
      </c>
      <c r="O149" s="1">
        <f t="shared" si="18"/>
        <v>1.2273251675298854E-3</v>
      </c>
      <c r="P149" s="1">
        <f t="shared" si="20"/>
        <v>143</v>
      </c>
      <c r="Q149" s="1">
        <f>inhospital_tot__2[[#This Row],[infected_per_day]]/inhospital_tot__2[[#This Row],[Test per day]]</f>
        <v>6.8806192821956369</v>
      </c>
      <c r="R149" s="18">
        <f>inhospital_tot__2[[#This Row],[nuovi_positivi_alla_data]]*(1 + $T$28)</f>
        <v>622.45690638782617</v>
      </c>
    </row>
    <row r="150" spans="1:18" x14ac:dyDescent="0.2">
      <c r="A150" s="6">
        <v>44032.708333333336</v>
      </c>
      <c r="B150">
        <v>745</v>
      </c>
      <c r="C150">
        <v>47</v>
      </c>
      <c r="D150">
        <v>792</v>
      </c>
      <c r="E150">
        <v>11612</v>
      </c>
      <c r="F150">
        <v>12404</v>
      </c>
      <c r="G150">
        <v>190</v>
      </c>
      <c r="H150">
        <v>197162</v>
      </c>
      <c r="I150">
        <v>35058</v>
      </c>
      <c r="J150">
        <v>244624</v>
      </c>
      <c r="K150">
        <v>6262302</v>
      </c>
      <c r="L150">
        <f t="shared" si="12"/>
        <v>24253</v>
      </c>
      <c r="M150" s="1">
        <f t="shared" si="19"/>
        <v>244624</v>
      </c>
      <c r="N150" s="1">
        <f t="shared" si="17"/>
        <v>13</v>
      </c>
      <c r="O150" s="1">
        <f t="shared" si="18"/>
        <v>5.3142782392569818E-3</v>
      </c>
      <c r="P150" s="1">
        <f t="shared" si="20"/>
        <v>213</v>
      </c>
      <c r="Q150" s="1">
        <f>inhospital_tot__2[[#This Row],[infected_per_day]]/inhospital_tot__2[[#This Row],[Test per day]]</f>
        <v>10.08633983424731</v>
      </c>
      <c r="R150" s="18">
        <f>inhospital_tot__2[[#This Row],[nuovi_positivi_alla_data]]*(1 + $T$28)</f>
        <v>540.03110599857064</v>
      </c>
    </row>
    <row r="151" spans="1:18" x14ac:dyDescent="0.2">
      <c r="A151" s="6">
        <v>44033.708333333336</v>
      </c>
      <c r="B151">
        <v>732</v>
      </c>
      <c r="C151">
        <v>49</v>
      </c>
      <c r="D151">
        <v>781</v>
      </c>
      <c r="E151">
        <v>11467</v>
      </c>
      <c r="F151">
        <v>12248</v>
      </c>
      <c r="G151">
        <v>129</v>
      </c>
      <c r="H151">
        <v>197431</v>
      </c>
      <c r="I151">
        <v>35073</v>
      </c>
      <c r="J151">
        <v>244752</v>
      </c>
      <c r="K151">
        <v>6305412</v>
      </c>
      <c r="L151">
        <f t="shared" si="12"/>
        <v>43110</v>
      </c>
      <c r="M151" s="1">
        <f t="shared" si="19"/>
        <v>244752</v>
      </c>
      <c r="N151" s="1">
        <f t="shared" si="17"/>
        <v>15</v>
      </c>
      <c r="O151" s="1">
        <f t="shared" si="18"/>
        <v>6.1286526769954892E-3</v>
      </c>
      <c r="P151" s="1">
        <f t="shared" si="20"/>
        <v>269</v>
      </c>
      <c r="Q151" s="1">
        <f>inhospital_tot__2[[#This Row],[infected_per_day]]/inhospital_tot__2[[#This Row],[Test per day]]</f>
        <v>5.6773834377174666</v>
      </c>
      <c r="R151" s="18">
        <f>inhospital_tot__2[[#This Row],[nuovi_positivi_alla_data]]*(1 + $T$28)</f>
        <v>366.65269828324006</v>
      </c>
    </row>
    <row r="152" spans="1:18" x14ac:dyDescent="0.2">
      <c r="A152" s="6">
        <v>44034.708333333336</v>
      </c>
      <c r="B152">
        <v>724</v>
      </c>
      <c r="C152">
        <v>48</v>
      </c>
      <c r="D152">
        <v>772</v>
      </c>
      <c r="E152">
        <v>11550</v>
      </c>
      <c r="F152">
        <v>12322</v>
      </c>
      <c r="G152">
        <v>282</v>
      </c>
      <c r="H152">
        <v>197628</v>
      </c>
      <c r="I152">
        <v>35082</v>
      </c>
      <c r="J152">
        <v>245032</v>
      </c>
      <c r="K152">
        <v>6354730</v>
      </c>
      <c r="L152">
        <f t="shared" si="12"/>
        <v>49318</v>
      </c>
      <c r="M152" s="1">
        <f t="shared" si="19"/>
        <v>245032</v>
      </c>
      <c r="N152" s="1">
        <f t="shared" si="17"/>
        <v>9</v>
      </c>
      <c r="O152" s="1">
        <f t="shared" si="18"/>
        <v>3.6729896503313853E-3</v>
      </c>
      <c r="P152" s="1">
        <f t="shared" si="20"/>
        <v>197</v>
      </c>
      <c r="Q152" s="1">
        <f>inhospital_tot__2[[#This Row],[infected_per_day]]/inhospital_tot__2[[#This Row],[Test per day]]</f>
        <v>4.9684091001257151</v>
      </c>
      <c r="R152" s="18">
        <f>inhospital_tot__2[[#This Row],[nuovi_positivi_alla_data]]*(1 + $T$28)</f>
        <v>801.51985206103643</v>
      </c>
    </row>
    <row r="153" spans="1:18" x14ac:dyDescent="0.2">
      <c r="A153" s="6">
        <v>44035.708333333336</v>
      </c>
      <c r="B153">
        <v>713</v>
      </c>
      <c r="C153">
        <v>49</v>
      </c>
      <c r="D153">
        <v>762</v>
      </c>
      <c r="E153">
        <v>11642</v>
      </c>
      <c r="F153">
        <v>12404</v>
      </c>
      <c r="G153">
        <v>306</v>
      </c>
      <c r="H153">
        <v>197842</v>
      </c>
      <c r="I153">
        <v>35092</v>
      </c>
      <c r="J153">
        <v>245338</v>
      </c>
      <c r="K153">
        <v>6415041</v>
      </c>
      <c r="L153">
        <f t="shared" si="12"/>
        <v>60311</v>
      </c>
      <c r="M153" s="1">
        <f t="shared" si="19"/>
        <v>245338</v>
      </c>
      <c r="N153" s="1">
        <f t="shared" si="17"/>
        <v>10</v>
      </c>
      <c r="O153" s="1">
        <f t="shared" si="18"/>
        <v>4.0760094237337879E-3</v>
      </c>
      <c r="P153" s="1">
        <f t="shared" si="20"/>
        <v>214</v>
      </c>
      <c r="Q153" s="1">
        <f>inhospital_tot__2[[#This Row],[infected_per_day]]/inhospital_tot__2[[#This Row],[Test per day]]</f>
        <v>4.0678814809902004</v>
      </c>
      <c r="R153" s="18">
        <f>inhospital_tot__2[[#This Row],[nuovi_positivi_alla_data]]*(1 + $T$28)</f>
        <v>869.73430755559275</v>
      </c>
    </row>
    <row r="154" spans="1:18" x14ac:dyDescent="0.2">
      <c r="A154" s="6">
        <v>44036.708333333336</v>
      </c>
      <c r="B154">
        <v>713</v>
      </c>
      <c r="C154">
        <v>46</v>
      </c>
      <c r="D154">
        <v>759</v>
      </c>
      <c r="E154">
        <v>11542</v>
      </c>
      <c r="F154">
        <v>12301</v>
      </c>
      <c r="G154">
        <v>252</v>
      </c>
      <c r="H154">
        <v>198192</v>
      </c>
      <c r="I154">
        <v>35097</v>
      </c>
      <c r="J154">
        <v>245590</v>
      </c>
      <c r="K154">
        <v>6468375</v>
      </c>
      <c r="L154">
        <f t="shared" si="12"/>
        <v>53334</v>
      </c>
      <c r="M154" s="1">
        <f t="shared" si="19"/>
        <v>245590</v>
      </c>
      <c r="N154" s="1">
        <f t="shared" si="17"/>
        <v>5</v>
      </c>
      <c r="O154" s="1">
        <f t="shared" si="18"/>
        <v>2.0359135143939084E-3</v>
      </c>
      <c r="P154" s="1">
        <f t="shared" si="20"/>
        <v>350</v>
      </c>
      <c r="Q154" s="1">
        <f>inhospital_tot__2[[#This Row],[infected_per_day]]/inhospital_tot__2[[#This Row],[Test per day]]</f>
        <v>4.6047549405632431</v>
      </c>
      <c r="R154" s="18">
        <f>inhospital_tot__2[[#This Row],[nuovi_positivi_alla_data]]*(1 + $T$28)</f>
        <v>716.25178269284106</v>
      </c>
    </row>
    <row r="155" spans="1:18" x14ac:dyDescent="0.2">
      <c r="A155" s="6">
        <v>44037.708333333336</v>
      </c>
      <c r="B155">
        <v>731</v>
      </c>
      <c r="C155">
        <v>41</v>
      </c>
      <c r="D155">
        <v>772</v>
      </c>
      <c r="E155">
        <v>11670</v>
      </c>
      <c r="F155">
        <v>12442</v>
      </c>
      <c r="G155">
        <v>275</v>
      </c>
      <c r="H155">
        <v>198320</v>
      </c>
      <c r="I155">
        <v>35102</v>
      </c>
      <c r="J155">
        <v>245864</v>
      </c>
      <c r="K155">
        <v>6520046</v>
      </c>
      <c r="L155">
        <f t="shared" si="12"/>
        <v>51671</v>
      </c>
      <c r="M155" s="1">
        <f t="shared" si="19"/>
        <v>245864</v>
      </c>
      <c r="N155" s="1">
        <f t="shared" si="17"/>
        <v>5</v>
      </c>
      <c r="O155" s="1">
        <f t="shared" si="18"/>
        <v>2.033644616535971E-3</v>
      </c>
      <c r="P155" s="1">
        <f t="shared" si="20"/>
        <v>128</v>
      </c>
      <c r="Q155" s="1">
        <f>inhospital_tot__2[[#This Row],[infected_per_day]]/inhospital_tot__2[[#This Row],[Test per day]]</f>
        <v>4.7582589847303129</v>
      </c>
      <c r="R155" s="18">
        <f>inhospital_tot__2[[#This Row],[nuovi_positivi_alla_data]]*(1 + $T$28)</f>
        <v>781.62396920845754</v>
      </c>
    </row>
    <row r="156" spans="1:18" x14ac:dyDescent="0.2">
      <c r="A156" s="6">
        <v>44038.708333333336</v>
      </c>
      <c r="B156">
        <v>735</v>
      </c>
      <c r="C156">
        <v>44</v>
      </c>
      <c r="D156">
        <v>779</v>
      </c>
      <c r="E156">
        <v>11786</v>
      </c>
      <c r="F156">
        <v>12565</v>
      </c>
      <c r="G156">
        <v>255</v>
      </c>
      <c r="H156">
        <v>198446</v>
      </c>
      <c r="I156">
        <v>35107</v>
      </c>
      <c r="J156">
        <v>246118</v>
      </c>
      <c r="K156">
        <v>6560572</v>
      </c>
      <c r="L156">
        <f t="shared" ref="L156:L219" si="21">K156-K155</f>
        <v>40526</v>
      </c>
      <c r="M156" s="1">
        <f t="shared" si="19"/>
        <v>246118</v>
      </c>
      <c r="N156" s="1">
        <f t="shared" si="17"/>
        <v>5</v>
      </c>
      <c r="O156" s="1">
        <f t="shared" si="18"/>
        <v>2.0315458438635125E-3</v>
      </c>
      <c r="P156" s="1">
        <f t="shared" si="20"/>
        <v>126</v>
      </c>
      <c r="Q156" s="1">
        <f>inhospital_tot__2[[#This Row],[infected_per_day]]/inhospital_tot__2[[#This Row],[Test per day]]</f>
        <v>6.0730888812120618</v>
      </c>
      <c r="R156" s="18">
        <f>inhospital_tot__2[[#This Row],[nuovi_positivi_alla_data]]*(1 + $T$28)</f>
        <v>724.77858962966059</v>
      </c>
    </row>
    <row r="157" spans="1:18" x14ac:dyDescent="0.2">
      <c r="A157" s="6">
        <v>44039.708333333336</v>
      </c>
      <c r="B157">
        <v>740</v>
      </c>
      <c r="C157">
        <v>45</v>
      </c>
      <c r="D157">
        <v>785</v>
      </c>
      <c r="E157">
        <v>11796</v>
      </c>
      <c r="F157">
        <v>12581</v>
      </c>
      <c r="G157">
        <v>170</v>
      </c>
      <c r="H157">
        <v>198593</v>
      </c>
      <c r="I157">
        <v>35112</v>
      </c>
      <c r="J157">
        <v>246286</v>
      </c>
      <c r="K157">
        <v>6586123</v>
      </c>
      <c r="L157">
        <f t="shared" si="21"/>
        <v>25551</v>
      </c>
      <c r="M157" s="1">
        <f t="shared" si="19"/>
        <v>246286</v>
      </c>
      <c r="N157" s="1">
        <f t="shared" si="17"/>
        <v>5</v>
      </c>
      <c r="O157" s="1">
        <f t="shared" si="18"/>
        <v>2.0301600578189584E-3</v>
      </c>
      <c r="P157" s="1">
        <f t="shared" si="20"/>
        <v>147</v>
      </c>
      <c r="Q157" s="1">
        <f>inhospital_tot__2[[#This Row],[infected_per_day]]/inhospital_tot__2[[#This Row],[Test per day]]</f>
        <v>9.6389965167703799</v>
      </c>
      <c r="R157" s="18">
        <f>inhospital_tot__2[[#This Row],[nuovi_positivi_alla_data]]*(1 + $T$28)</f>
        <v>483.18572641977374</v>
      </c>
    </row>
    <row r="158" spans="1:18" x14ac:dyDescent="0.2">
      <c r="A158" s="6">
        <v>44040.708333333336</v>
      </c>
      <c r="B158">
        <v>749</v>
      </c>
      <c r="C158">
        <v>40</v>
      </c>
      <c r="D158">
        <v>789</v>
      </c>
      <c r="E158">
        <v>11820</v>
      </c>
      <c r="F158">
        <v>12609</v>
      </c>
      <c r="G158">
        <v>212</v>
      </c>
      <c r="H158">
        <v>198756</v>
      </c>
      <c r="I158">
        <v>35123</v>
      </c>
      <c r="J158">
        <v>246488</v>
      </c>
      <c r="K158">
        <v>6634293</v>
      </c>
      <c r="L158">
        <f t="shared" si="21"/>
        <v>48170</v>
      </c>
      <c r="M158" s="1">
        <f t="shared" si="19"/>
        <v>246488</v>
      </c>
      <c r="N158" s="1">
        <f t="shared" si="17"/>
        <v>11</v>
      </c>
      <c r="O158" s="1">
        <f t="shared" si="18"/>
        <v>4.4626918957515176E-3</v>
      </c>
      <c r="P158" s="1">
        <f t="shared" si="20"/>
        <v>163</v>
      </c>
      <c r="Q158" s="1">
        <f>inhospital_tot__2[[#This Row],[infected_per_day]]/inhospital_tot__2[[#This Row],[Test per day]]</f>
        <v>5.1170438031970109</v>
      </c>
      <c r="R158" s="18">
        <f>inhospital_tot__2[[#This Row],[nuovi_positivi_alla_data]]*(1 + $T$28)</f>
        <v>602.56102353524727</v>
      </c>
    </row>
    <row r="159" spans="1:18" x14ac:dyDescent="0.2">
      <c r="A159" s="6">
        <v>44041.708333333336</v>
      </c>
      <c r="B159">
        <v>731</v>
      </c>
      <c r="C159">
        <v>38</v>
      </c>
      <c r="D159">
        <v>769</v>
      </c>
      <c r="E159">
        <v>11847</v>
      </c>
      <c r="F159">
        <v>12616</v>
      </c>
      <c r="G159">
        <v>289</v>
      </c>
      <c r="H159">
        <v>199031</v>
      </c>
      <c r="I159">
        <v>35129</v>
      </c>
      <c r="J159">
        <v>246776</v>
      </c>
      <c r="K159">
        <v>6690311</v>
      </c>
      <c r="L159">
        <f t="shared" si="21"/>
        <v>56018</v>
      </c>
      <c r="M159" s="1">
        <f t="shared" si="19"/>
        <v>246776</v>
      </c>
      <c r="N159" s="1">
        <f t="shared" si="17"/>
        <v>6</v>
      </c>
      <c r="O159" s="1">
        <f t="shared" si="18"/>
        <v>2.4313547508671833E-3</v>
      </c>
      <c r="P159" s="1">
        <f t="shared" si="20"/>
        <v>275</v>
      </c>
      <c r="Q159" s="1">
        <f>inhospital_tot__2[[#This Row],[infected_per_day]]/inhospital_tot__2[[#This Row],[Test per day]]</f>
        <v>4.405298296975972</v>
      </c>
      <c r="R159" s="18">
        <f>inhospital_tot__2[[#This Row],[nuovi_positivi_alla_data]]*(1 + $T$28)</f>
        <v>821.41573491361532</v>
      </c>
    </row>
    <row r="160" spans="1:18" x14ac:dyDescent="0.2">
      <c r="A160" s="6">
        <v>44042.708333333336</v>
      </c>
      <c r="B160">
        <v>748</v>
      </c>
      <c r="C160">
        <v>47</v>
      </c>
      <c r="D160">
        <v>795</v>
      </c>
      <c r="E160">
        <v>11435</v>
      </c>
      <c r="F160">
        <v>12230</v>
      </c>
      <c r="G160">
        <v>386</v>
      </c>
      <c r="H160">
        <v>199796</v>
      </c>
      <c r="I160">
        <v>35132</v>
      </c>
      <c r="J160">
        <v>247158</v>
      </c>
      <c r="K160">
        <v>6752169</v>
      </c>
      <c r="L160">
        <f t="shared" si="21"/>
        <v>61858</v>
      </c>
      <c r="M160" s="1">
        <f t="shared" si="19"/>
        <v>247158</v>
      </c>
      <c r="N160" s="1">
        <f t="shared" si="17"/>
        <v>3</v>
      </c>
      <c r="O160" s="1">
        <f t="shared" si="18"/>
        <v>1.2137984609035515E-3</v>
      </c>
      <c r="P160" s="1">
        <f t="shared" si="20"/>
        <v>765</v>
      </c>
      <c r="Q160" s="1">
        <f>inhospital_tot__2[[#This Row],[infected_per_day]]/inhospital_tot__2[[#This Row],[Test per day]]</f>
        <v>3.9955705001778266</v>
      </c>
      <c r="R160" s="18">
        <f>inhospital_tot__2[[#This Row],[nuovi_positivi_alla_data]]*(1 + $T$28)</f>
        <v>1097.1158258707803</v>
      </c>
    </row>
    <row r="161" spans="1:18" x14ac:dyDescent="0.2">
      <c r="A161" s="6">
        <v>44043.708333333336</v>
      </c>
      <c r="B161">
        <v>716</v>
      </c>
      <c r="C161">
        <v>41</v>
      </c>
      <c r="D161">
        <v>757</v>
      </c>
      <c r="E161">
        <v>11665</v>
      </c>
      <c r="F161">
        <v>12422</v>
      </c>
      <c r="G161">
        <v>379</v>
      </c>
      <c r="H161">
        <v>199974</v>
      </c>
      <c r="I161">
        <v>35141</v>
      </c>
      <c r="J161">
        <v>247537</v>
      </c>
      <c r="K161">
        <v>6813113</v>
      </c>
      <c r="L161">
        <f t="shared" si="21"/>
        <v>60944</v>
      </c>
      <c r="M161" s="1">
        <f t="shared" si="19"/>
        <v>247537</v>
      </c>
      <c r="N161" s="1">
        <f t="shared" si="17"/>
        <v>9</v>
      </c>
      <c r="O161" s="1">
        <f t="shared" si="18"/>
        <v>3.6358200996214709E-3</v>
      </c>
      <c r="P161" s="1">
        <f t="shared" si="20"/>
        <v>178</v>
      </c>
      <c r="Q161" s="1">
        <f>inhospital_tot__2[[#This Row],[infected_per_day]]/inhospital_tot__2[[#This Row],[Test per day]]</f>
        <v>4.0617123917038596</v>
      </c>
      <c r="R161" s="18">
        <f>inhospital_tot__2[[#This Row],[nuovi_positivi_alla_data]]*(1 + $T$28)</f>
        <v>1077.2199430182013</v>
      </c>
    </row>
    <row r="162" spans="1:18" x14ac:dyDescent="0.2">
      <c r="A162" s="6">
        <v>44044.708333333336</v>
      </c>
      <c r="B162">
        <v>705</v>
      </c>
      <c r="C162">
        <v>43</v>
      </c>
      <c r="D162">
        <v>748</v>
      </c>
      <c r="E162">
        <v>11709</v>
      </c>
      <c r="F162">
        <v>12457</v>
      </c>
      <c r="G162">
        <v>295</v>
      </c>
      <c r="H162">
        <v>200229</v>
      </c>
      <c r="I162">
        <v>35146</v>
      </c>
      <c r="J162">
        <v>247832</v>
      </c>
      <c r="K162">
        <v>6873496</v>
      </c>
      <c r="L162">
        <f t="shared" si="21"/>
        <v>60383</v>
      </c>
      <c r="M162" s="1">
        <f t="shared" si="19"/>
        <v>247832</v>
      </c>
      <c r="N162" s="1">
        <f t="shared" si="17"/>
        <v>5</v>
      </c>
      <c r="O162" s="1">
        <f t="shared" si="18"/>
        <v>2.0174957229090675E-3</v>
      </c>
      <c r="P162" s="1">
        <f t="shared" si="20"/>
        <v>255</v>
      </c>
      <c r="Q162" s="1">
        <f>inhospital_tot__2[[#This Row],[infected_per_day]]/inhospital_tot__2[[#This Row],[Test per day]]</f>
        <v>4.104334001291754</v>
      </c>
      <c r="R162" s="18">
        <f>inhospital_tot__2[[#This Row],[nuovi_positivi_alla_data]]*(1 + $T$28)</f>
        <v>838.46934878725438</v>
      </c>
    </row>
    <row r="163" spans="1:18" x14ac:dyDescent="0.2">
      <c r="A163" s="6">
        <v>44045.708333333336</v>
      </c>
      <c r="B163">
        <v>708</v>
      </c>
      <c r="C163">
        <v>42</v>
      </c>
      <c r="D163">
        <v>750</v>
      </c>
      <c r="E163">
        <v>11706</v>
      </c>
      <c r="F163">
        <v>12456</v>
      </c>
      <c r="G163">
        <v>239</v>
      </c>
      <c r="H163">
        <v>200460</v>
      </c>
      <c r="I163">
        <v>35154</v>
      </c>
      <c r="J163">
        <v>248070</v>
      </c>
      <c r="K163">
        <v>6916765</v>
      </c>
      <c r="L163">
        <f t="shared" si="21"/>
        <v>43269</v>
      </c>
      <c r="M163" s="1">
        <f t="shared" si="19"/>
        <v>248070</v>
      </c>
      <c r="N163" s="1">
        <f t="shared" si="17"/>
        <v>8</v>
      </c>
      <c r="O163" s="1">
        <f t="shared" si="18"/>
        <v>3.2248961986536058E-3</v>
      </c>
      <c r="P163" s="1">
        <f t="shared" si="20"/>
        <v>231</v>
      </c>
      <c r="Q163" s="1">
        <f>inhospital_tot__2[[#This Row],[infected_per_day]]/inhospital_tot__2[[#This Row],[Test per day]]</f>
        <v>5.7332039104208556</v>
      </c>
      <c r="R163" s="18">
        <f>inhospital_tot__2[[#This Row],[nuovi_positivi_alla_data]]*(1 + $T$28)</f>
        <v>679.302285966623</v>
      </c>
    </row>
    <row r="164" spans="1:18" x14ac:dyDescent="0.2">
      <c r="A164" s="6">
        <v>44046.708333333336</v>
      </c>
      <c r="B164">
        <v>734</v>
      </c>
      <c r="C164">
        <v>41</v>
      </c>
      <c r="D164">
        <v>775</v>
      </c>
      <c r="E164">
        <v>11699</v>
      </c>
      <c r="F164">
        <v>12474</v>
      </c>
      <c r="G164">
        <v>159</v>
      </c>
      <c r="H164">
        <v>200589</v>
      </c>
      <c r="I164">
        <v>35166</v>
      </c>
      <c r="J164">
        <v>248229</v>
      </c>
      <c r="K164">
        <v>6940801</v>
      </c>
      <c r="L164">
        <f t="shared" si="21"/>
        <v>24036</v>
      </c>
      <c r="M164" s="1">
        <f t="shared" si="19"/>
        <v>248229</v>
      </c>
      <c r="N164" s="1">
        <f t="shared" si="17"/>
        <v>12</v>
      </c>
      <c r="O164" s="1">
        <f t="shared" si="18"/>
        <v>4.83424579722756E-3</v>
      </c>
      <c r="P164" s="1">
        <f t="shared" si="20"/>
        <v>129</v>
      </c>
      <c r="Q164" s="1">
        <f>inhospital_tot__2[[#This Row],[infected_per_day]]/inhospital_tot__2[[#This Row],[Test per day]]</f>
        <v>10.32738392411383</v>
      </c>
      <c r="R164" s="18">
        <f>inhospital_tot__2[[#This Row],[nuovi_positivi_alla_data]]*(1 + $T$28)</f>
        <v>451.92076765143543</v>
      </c>
    </row>
    <row r="165" spans="1:18" x14ac:dyDescent="0.2">
      <c r="A165" s="6">
        <v>44047.708333333336</v>
      </c>
      <c r="B165">
        <v>761</v>
      </c>
      <c r="C165">
        <v>41</v>
      </c>
      <c r="D165">
        <v>802</v>
      </c>
      <c r="E165">
        <v>11680</v>
      </c>
      <c r="F165">
        <v>12482</v>
      </c>
      <c r="G165">
        <v>190</v>
      </c>
      <c r="H165">
        <v>200766</v>
      </c>
      <c r="I165">
        <v>35171</v>
      </c>
      <c r="J165">
        <v>248419</v>
      </c>
      <c r="K165">
        <v>6984589</v>
      </c>
      <c r="L165">
        <f t="shared" si="21"/>
        <v>43788</v>
      </c>
      <c r="M165" s="1">
        <f t="shared" si="19"/>
        <v>248419</v>
      </c>
      <c r="N165" s="1">
        <f t="shared" si="17"/>
        <v>5</v>
      </c>
      <c r="O165" s="1">
        <f t="shared" si="18"/>
        <v>2.0127284950023951E-3</v>
      </c>
      <c r="P165" s="1">
        <f t="shared" si="20"/>
        <v>177</v>
      </c>
      <c r="Q165" s="1">
        <f>inhospital_tot__2[[#This Row],[infected_per_day]]/inhospital_tot__2[[#This Row],[Test per day]]</f>
        <v>5.6732209737827715</v>
      </c>
      <c r="R165" s="18">
        <f>inhospital_tot__2[[#This Row],[nuovi_positivi_alla_data]]*(1 + $T$28)</f>
        <v>540.03110599857064</v>
      </c>
    </row>
    <row r="166" spans="1:18" x14ac:dyDescent="0.2">
      <c r="A166" s="6">
        <v>44048.708333333336</v>
      </c>
      <c r="B166">
        <v>764</v>
      </c>
      <c r="C166">
        <v>41</v>
      </c>
      <c r="D166">
        <v>805</v>
      </c>
      <c r="E166">
        <v>11841</v>
      </c>
      <c r="F166">
        <v>12646</v>
      </c>
      <c r="G166">
        <v>384</v>
      </c>
      <c r="H166">
        <v>200976</v>
      </c>
      <c r="I166">
        <v>35181</v>
      </c>
      <c r="J166">
        <v>248803</v>
      </c>
      <c r="K166">
        <v>7041040</v>
      </c>
      <c r="L166">
        <f t="shared" si="21"/>
        <v>56451</v>
      </c>
      <c r="M166" s="1">
        <f t="shared" si="19"/>
        <v>248803</v>
      </c>
      <c r="N166" s="1">
        <f t="shared" si="17"/>
        <v>10</v>
      </c>
      <c r="O166" s="1">
        <f t="shared" si="18"/>
        <v>4.019244140946854E-3</v>
      </c>
      <c r="P166" s="1">
        <f t="shared" si="20"/>
        <v>210</v>
      </c>
      <c r="Q166" s="1">
        <f>inhospital_tot__2[[#This Row],[infected_per_day]]/inhospital_tot__2[[#This Row],[Test per day]]</f>
        <v>4.4074152805087596</v>
      </c>
      <c r="R166" s="18">
        <f>inhospital_tot__2[[#This Row],[nuovi_positivi_alla_data]]*(1 + $T$28)</f>
        <v>1091.4312879129006</v>
      </c>
    </row>
    <row r="167" spans="1:18" x14ac:dyDescent="0.2">
      <c r="A167" s="6">
        <v>44049.708333333336</v>
      </c>
      <c r="B167">
        <v>762</v>
      </c>
      <c r="C167">
        <v>42</v>
      </c>
      <c r="D167">
        <v>804</v>
      </c>
      <c r="E167">
        <v>11890</v>
      </c>
      <c r="F167">
        <v>12694</v>
      </c>
      <c r="G167">
        <v>402</v>
      </c>
      <c r="H167">
        <v>201323</v>
      </c>
      <c r="I167">
        <v>35187</v>
      </c>
      <c r="J167">
        <v>249204</v>
      </c>
      <c r="K167">
        <v>7099713</v>
      </c>
      <c r="L167">
        <f t="shared" si="21"/>
        <v>58673</v>
      </c>
      <c r="M167" s="1">
        <f t="shared" si="19"/>
        <v>249204</v>
      </c>
      <c r="N167" s="1">
        <f t="shared" si="17"/>
        <v>6</v>
      </c>
      <c r="O167" s="1">
        <f t="shared" si="18"/>
        <v>2.407666008571291E-3</v>
      </c>
      <c r="P167" s="1">
        <f t="shared" si="20"/>
        <v>347</v>
      </c>
      <c r="Q167" s="1">
        <f>inhospital_tot__2[[#This Row],[infected_per_day]]/inhospital_tot__2[[#This Row],[Test per day]]</f>
        <v>4.2473369352172208</v>
      </c>
      <c r="R167" s="18">
        <f>inhospital_tot__2[[#This Row],[nuovi_positivi_alla_data]]*(1 + $T$28)</f>
        <v>1142.5921295338178</v>
      </c>
    </row>
    <row r="168" spans="1:18" x14ac:dyDescent="0.2">
      <c r="A168" s="6">
        <v>44050.708333333336</v>
      </c>
      <c r="B168">
        <v>779</v>
      </c>
      <c r="C168">
        <v>42</v>
      </c>
      <c r="D168">
        <v>821</v>
      </c>
      <c r="E168">
        <v>12103</v>
      </c>
      <c r="F168">
        <v>12924</v>
      </c>
      <c r="G168">
        <v>552</v>
      </c>
      <c r="H168">
        <v>201642</v>
      </c>
      <c r="I168">
        <v>35190</v>
      </c>
      <c r="J168">
        <v>249756</v>
      </c>
      <c r="K168">
        <v>7158909</v>
      </c>
      <c r="L168">
        <f t="shared" si="21"/>
        <v>59196</v>
      </c>
      <c r="M168" s="1">
        <f t="shared" si="19"/>
        <v>249756</v>
      </c>
      <c r="N168" s="1">
        <f t="shared" si="17"/>
        <v>3</v>
      </c>
      <c r="O168" s="1">
        <f t="shared" si="18"/>
        <v>1.201172344207947E-3</v>
      </c>
      <c r="P168" s="1">
        <f t="shared" si="20"/>
        <v>319</v>
      </c>
      <c r="Q168" s="1">
        <f>inhospital_tot__2[[#This Row],[infected_per_day]]/inhospital_tot__2[[#This Row],[Test per day]]</f>
        <v>4.2191364281370367</v>
      </c>
      <c r="R168" s="18">
        <f>inhospital_tot__2[[#This Row],[nuovi_positivi_alla_data]]*(1 + $T$28)</f>
        <v>1568.9324763747948</v>
      </c>
    </row>
    <row r="169" spans="1:18" x14ac:dyDescent="0.2">
      <c r="A169" s="6">
        <v>44051.708333333336</v>
      </c>
      <c r="B169">
        <v>771</v>
      </c>
      <c r="C169">
        <v>43</v>
      </c>
      <c r="D169">
        <v>814</v>
      </c>
      <c r="E169">
        <v>12139</v>
      </c>
      <c r="F169">
        <v>12953</v>
      </c>
      <c r="G169">
        <v>347</v>
      </c>
      <c r="H169">
        <v>201947</v>
      </c>
      <c r="I169">
        <v>35203</v>
      </c>
      <c r="J169">
        <v>250103</v>
      </c>
      <c r="K169">
        <v>7212207</v>
      </c>
      <c r="L169">
        <f t="shared" si="21"/>
        <v>53298</v>
      </c>
      <c r="M169" s="1">
        <f t="shared" si="19"/>
        <v>250103</v>
      </c>
      <c r="N169" s="1">
        <f t="shared" si="17"/>
        <v>13</v>
      </c>
      <c r="O169" s="1">
        <f t="shared" si="18"/>
        <v>5.19785848230529E-3</v>
      </c>
      <c r="P169" s="1">
        <f t="shared" si="20"/>
        <v>305</v>
      </c>
      <c r="Q169" s="1">
        <f>inhospital_tot__2[[#This Row],[infected_per_day]]/inhospital_tot__2[[#This Row],[Test per day]]</f>
        <v>4.6925400577882845</v>
      </c>
      <c r="R169" s="18">
        <f>inhospital_tot__2[[#This Row],[nuovi_positivi_alla_data]]*(1 + $T$28)</f>
        <v>986.26733569212638</v>
      </c>
    </row>
    <row r="170" spans="1:18" x14ac:dyDescent="0.2">
      <c r="A170" s="6">
        <v>44052.708333333336</v>
      </c>
      <c r="B170">
        <v>763</v>
      </c>
      <c r="C170">
        <v>45</v>
      </c>
      <c r="D170">
        <v>808</v>
      </c>
      <c r="E170">
        <v>12455</v>
      </c>
      <c r="F170">
        <v>13263</v>
      </c>
      <c r="G170">
        <v>463</v>
      </c>
      <c r="H170">
        <v>202098</v>
      </c>
      <c r="I170">
        <v>35205</v>
      </c>
      <c r="J170">
        <v>250566</v>
      </c>
      <c r="K170">
        <v>7249844</v>
      </c>
      <c r="L170">
        <f t="shared" si="21"/>
        <v>37637</v>
      </c>
      <c r="M170" s="1">
        <f t="shared" si="19"/>
        <v>250566</v>
      </c>
      <c r="N170" s="1">
        <f t="shared" si="17"/>
        <v>2</v>
      </c>
      <c r="O170" s="1">
        <f t="shared" si="18"/>
        <v>7.9819289129411011E-4</v>
      </c>
      <c r="P170" s="1">
        <f t="shared" si="20"/>
        <v>151</v>
      </c>
      <c r="Q170" s="1">
        <f>inhospital_tot__2[[#This Row],[infected_per_day]]/inhospital_tot__2[[#This Row],[Test per day]]</f>
        <v>6.6574381592581764</v>
      </c>
      <c r="R170" s="18">
        <f>inhospital_tot__2[[#This Row],[nuovi_positivi_alla_data]]*(1 + $T$28)</f>
        <v>1315.9705372491485</v>
      </c>
    </row>
    <row r="171" spans="1:18" x14ac:dyDescent="0.2">
      <c r="A171" s="6">
        <v>44053.708333333336</v>
      </c>
      <c r="B171">
        <v>779</v>
      </c>
      <c r="C171">
        <v>46</v>
      </c>
      <c r="D171">
        <v>825</v>
      </c>
      <c r="E171">
        <v>12543</v>
      </c>
      <c r="F171">
        <v>13368</v>
      </c>
      <c r="G171">
        <v>259</v>
      </c>
      <c r="H171">
        <v>202248</v>
      </c>
      <c r="I171">
        <v>35209</v>
      </c>
      <c r="J171">
        <v>250825</v>
      </c>
      <c r="K171">
        <v>7276276</v>
      </c>
      <c r="L171">
        <f t="shared" si="21"/>
        <v>26432</v>
      </c>
      <c r="M171" s="1">
        <f t="shared" si="19"/>
        <v>250825</v>
      </c>
      <c r="N171" s="1">
        <f t="shared" si="17"/>
        <v>4</v>
      </c>
      <c r="O171" s="1">
        <f t="shared" si="18"/>
        <v>1.5947373666899234E-3</v>
      </c>
      <c r="P171" s="1">
        <f t="shared" si="20"/>
        <v>150</v>
      </c>
      <c r="Q171" s="1">
        <f>inhospital_tot__2[[#This Row],[infected_per_day]]/inhospital_tot__2[[#This Row],[Test per day]]</f>
        <v>9.4894446125907983</v>
      </c>
      <c r="R171" s="18">
        <f>inhospital_tot__2[[#This Row],[nuovi_positivi_alla_data]]*(1 + $T$28)</f>
        <v>736.14766554541995</v>
      </c>
    </row>
    <row r="172" spans="1:18" x14ac:dyDescent="0.2">
      <c r="A172" s="6">
        <v>44054.708333333336</v>
      </c>
      <c r="B172">
        <v>801</v>
      </c>
      <c r="C172">
        <v>49</v>
      </c>
      <c r="D172">
        <v>850</v>
      </c>
      <c r="E172">
        <v>12711</v>
      </c>
      <c r="F172">
        <v>13561</v>
      </c>
      <c r="G172">
        <v>412</v>
      </c>
      <c r="H172">
        <v>202461</v>
      </c>
      <c r="I172">
        <v>35215</v>
      </c>
      <c r="J172">
        <v>251237</v>
      </c>
      <c r="K172">
        <v>7316918</v>
      </c>
      <c r="L172">
        <f t="shared" si="21"/>
        <v>40642</v>
      </c>
      <c r="M172" s="1">
        <f t="shared" si="19"/>
        <v>251237</v>
      </c>
      <c r="N172" s="1">
        <f t="shared" si="17"/>
        <v>6</v>
      </c>
      <c r="O172" s="1">
        <f t="shared" si="18"/>
        <v>2.3881832691840773E-3</v>
      </c>
      <c r="P172" s="1">
        <f t="shared" si="20"/>
        <v>213</v>
      </c>
      <c r="Q172" s="1">
        <f>inhospital_tot__2[[#This Row],[infected_per_day]]/inhospital_tot__2[[#This Row],[Test per day]]</f>
        <v>6.1817085773337928</v>
      </c>
      <c r="R172" s="18">
        <f>inhospital_tot__2[[#This Row],[nuovi_positivi_alla_data]]*(1 + $T$28)</f>
        <v>1171.0148193232162</v>
      </c>
    </row>
    <row r="173" spans="1:18" x14ac:dyDescent="0.2">
      <c r="A173" s="6">
        <v>44055.708333333336</v>
      </c>
      <c r="B173">
        <v>779</v>
      </c>
      <c r="C173">
        <v>53</v>
      </c>
      <c r="D173">
        <v>832</v>
      </c>
      <c r="E173">
        <v>12959</v>
      </c>
      <c r="F173">
        <v>13791</v>
      </c>
      <c r="G173">
        <v>481</v>
      </c>
      <c r="H173">
        <v>202697</v>
      </c>
      <c r="I173">
        <v>35225</v>
      </c>
      <c r="J173">
        <v>251713</v>
      </c>
      <c r="K173">
        <v>7369576</v>
      </c>
      <c r="L173">
        <f t="shared" si="21"/>
        <v>52658</v>
      </c>
      <c r="M173" s="1">
        <f t="shared" si="19"/>
        <v>251713</v>
      </c>
      <c r="N173" s="1">
        <f t="shared" si="17"/>
        <v>10</v>
      </c>
      <c r="O173" s="1">
        <f t="shared" si="18"/>
        <v>3.9727785215702008E-3</v>
      </c>
      <c r="P173" s="1">
        <f t="shared" si="20"/>
        <v>236</v>
      </c>
      <c r="Q173" s="1">
        <f>inhospital_tot__2[[#This Row],[infected_per_day]]/inhospital_tot__2[[#This Row],[Test per day]]</f>
        <v>4.7801473660222564</v>
      </c>
      <c r="R173" s="18">
        <f>inhospital_tot__2[[#This Row],[nuovi_positivi_alla_data]]*(1 + $T$28)</f>
        <v>1367.1313788700656</v>
      </c>
    </row>
    <row r="174" spans="1:18" x14ac:dyDescent="0.2">
      <c r="A174" s="6">
        <v>44056.708333333336</v>
      </c>
      <c r="B174">
        <v>786</v>
      </c>
      <c r="C174">
        <v>55</v>
      </c>
      <c r="D174">
        <v>841</v>
      </c>
      <c r="E174">
        <v>13240</v>
      </c>
      <c r="F174">
        <v>14081</v>
      </c>
      <c r="G174">
        <v>523</v>
      </c>
      <c r="H174">
        <v>202923</v>
      </c>
      <c r="I174">
        <v>35231</v>
      </c>
      <c r="J174">
        <v>252235</v>
      </c>
      <c r="K174">
        <v>7420764</v>
      </c>
      <c r="L174">
        <f t="shared" si="21"/>
        <v>51188</v>
      </c>
      <c r="M174" s="1">
        <f t="shared" si="19"/>
        <v>252235</v>
      </c>
      <c r="N174" s="1">
        <f t="shared" si="17"/>
        <v>6</v>
      </c>
      <c r="O174" s="1">
        <f t="shared" si="18"/>
        <v>2.3787341169940728E-3</v>
      </c>
      <c r="P174" s="1">
        <f t="shared" si="20"/>
        <v>226</v>
      </c>
      <c r="Q174" s="1">
        <f>inhospital_tot__2[[#This Row],[infected_per_day]]/inhospital_tot__2[[#This Row],[Test per day]]</f>
        <v>4.9276197546299914</v>
      </c>
      <c r="R174" s="18">
        <f>inhospital_tot__2[[#This Row],[nuovi_positivi_alla_data]]*(1 + $T$28)</f>
        <v>1486.5066759855392</v>
      </c>
    </row>
    <row r="175" spans="1:18" x14ac:dyDescent="0.2">
      <c r="A175" s="6">
        <v>44057.708333333336</v>
      </c>
      <c r="B175">
        <v>771</v>
      </c>
      <c r="C175">
        <v>56</v>
      </c>
      <c r="D175">
        <v>827</v>
      </c>
      <c r="E175">
        <v>13422</v>
      </c>
      <c r="F175">
        <v>14249</v>
      </c>
      <c r="G175">
        <v>574</v>
      </c>
      <c r="H175">
        <v>203326</v>
      </c>
      <c r="I175">
        <v>35234</v>
      </c>
      <c r="J175">
        <v>252809</v>
      </c>
      <c r="K175">
        <v>7467487</v>
      </c>
      <c r="L175">
        <f t="shared" si="21"/>
        <v>46723</v>
      </c>
      <c r="M175" s="1">
        <f t="shared" si="19"/>
        <v>252809</v>
      </c>
      <c r="N175" s="1">
        <f t="shared" si="17"/>
        <v>3</v>
      </c>
      <c r="O175" s="1">
        <f t="shared" si="18"/>
        <v>1.1866666139259282E-3</v>
      </c>
      <c r="P175" s="1">
        <f t="shared" si="20"/>
        <v>403</v>
      </c>
      <c r="Q175" s="1">
        <f>inhospital_tot__2[[#This Row],[infected_per_day]]/inhospital_tot__2[[#This Row],[Test per day]]</f>
        <v>5.4108041007640777</v>
      </c>
      <c r="R175" s="18">
        <f>inhospital_tot__2[[#This Row],[nuovi_positivi_alla_data]]*(1 + $T$28)</f>
        <v>1631.4623939114713</v>
      </c>
    </row>
    <row r="176" spans="1:18" x14ac:dyDescent="0.2">
      <c r="A176" s="6">
        <v>44058.708333333336</v>
      </c>
      <c r="B176">
        <v>764</v>
      </c>
      <c r="C176">
        <v>55</v>
      </c>
      <c r="D176">
        <v>819</v>
      </c>
      <c r="E176">
        <v>13587</v>
      </c>
      <c r="F176">
        <v>14406</v>
      </c>
      <c r="G176">
        <v>629</v>
      </c>
      <c r="H176">
        <v>203640</v>
      </c>
      <c r="I176">
        <v>35392</v>
      </c>
      <c r="J176">
        <v>253438</v>
      </c>
      <c r="K176">
        <v>7520610</v>
      </c>
      <c r="L176">
        <f t="shared" si="21"/>
        <v>53123</v>
      </c>
      <c r="M176" s="1">
        <f t="shared" si="19"/>
        <v>253438</v>
      </c>
      <c r="N176" s="1">
        <f t="shared" si="17"/>
        <v>158</v>
      </c>
      <c r="O176" s="1">
        <f t="shared" si="18"/>
        <v>6.2342663688949564E-2</v>
      </c>
      <c r="P176" s="1">
        <f t="shared" si="20"/>
        <v>314</v>
      </c>
      <c r="Q176" s="1">
        <f>inhospital_tot__2[[#This Row],[infected_per_day]]/inhospital_tot__2[[#This Row],[Test per day]]</f>
        <v>4.7707772527906931</v>
      </c>
      <c r="R176" s="18">
        <f>inhospital_tot__2[[#This Row],[nuovi_positivi_alla_data]]*(1 + $T$28)</f>
        <v>1787.7871877531627</v>
      </c>
    </row>
    <row r="177" spans="1:18" x14ac:dyDescent="0.2">
      <c r="A177" s="6">
        <v>44059.708333333336</v>
      </c>
      <c r="B177">
        <v>787</v>
      </c>
      <c r="C177">
        <v>56</v>
      </c>
      <c r="D177">
        <v>843</v>
      </c>
      <c r="E177">
        <v>13890</v>
      </c>
      <c r="F177">
        <v>14733</v>
      </c>
      <c r="G177">
        <v>479</v>
      </c>
      <c r="H177">
        <v>203786</v>
      </c>
      <c r="I177">
        <v>35396</v>
      </c>
      <c r="J177">
        <v>253915</v>
      </c>
      <c r="K177">
        <v>7557417</v>
      </c>
      <c r="L177">
        <f t="shared" si="21"/>
        <v>36807</v>
      </c>
      <c r="M177" s="1">
        <f t="shared" si="19"/>
        <v>253915</v>
      </c>
      <c r="N177" s="1">
        <f t="shared" si="17"/>
        <v>4</v>
      </c>
      <c r="O177" s="1">
        <f t="shared" si="18"/>
        <v>1.5753303270779593E-3</v>
      </c>
      <c r="P177" s="1">
        <f t="shared" si="20"/>
        <v>146</v>
      </c>
      <c r="Q177" s="1">
        <f>inhospital_tot__2[[#This Row],[infected_per_day]]/inhospital_tot__2[[#This Row],[Test per day]]</f>
        <v>6.8985519058874667</v>
      </c>
      <c r="R177" s="18">
        <f>inhospital_tot__2[[#This Row],[nuovi_positivi_alla_data]]*(1 + $T$28)</f>
        <v>1361.446840912186</v>
      </c>
    </row>
    <row r="178" spans="1:18" x14ac:dyDescent="0.2">
      <c r="A178" s="6">
        <v>44060.708333333336</v>
      </c>
      <c r="B178">
        <v>810</v>
      </c>
      <c r="C178">
        <v>58</v>
      </c>
      <c r="D178">
        <v>868</v>
      </c>
      <c r="E178">
        <v>13999</v>
      </c>
      <c r="F178">
        <v>14867</v>
      </c>
      <c r="G178">
        <v>320</v>
      </c>
      <c r="H178">
        <v>203968</v>
      </c>
      <c r="I178">
        <v>35400</v>
      </c>
      <c r="J178">
        <v>254235</v>
      </c>
      <c r="K178">
        <v>7588083</v>
      </c>
      <c r="L178">
        <f t="shared" si="21"/>
        <v>30666</v>
      </c>
      <c r="M178" s="1">
        <f t="shared" si="19"/>
        <v>254235</v>
      </c>
      <c r="N178" s="1">
        <f t="shared" si="17"/>
        <v>4</v>
      </c>
      <c r="O178" s="1">
        <f t="shared" si="18"/>
        <v>1.5733474934607745E-3</v>
      </c>
      <c r="P178" s="1">
        <f t="shared" si="20"/>
        <v>182</v>
      </c>
      <c r="Q178" s="1">
        <f>inhospital_tot__2[[#This Row],[infected_per_day]]/inhospital_tot__2[[#This Row],[Test per day]]</f>
        <v>8.2904519663470939</v>
      </c>
      <c r="R178" s="18">
        <f>inhospital_tot__2[[#This Row],[nuovi_positivi_alla_data]]*(1 + $T$28)</f>
        <v>909.52607326075054</v>
      </c>
    </row>
    <row r="179" spans="1:18" x14ac:dyDescent="0.2">
      <c r="A179" s="6">
        <v>44061.708333333336</v>
      </c>
      <c r="B179">
        <v>843</v>
      </c>
      <c r="C179">
        <v>58</v>
      </c>
      <c r="D179">
        <v>901</v>
      </c>
      <c r="E179">
        <v>14188</v>
      </c>
      <c r="F179">
        <v>15089</v>
      </c>
      <c r="G179">
        <v>403</v>
      </c>
      <c r="H179">
        <v>204142</v>
      </c>
      <c r="I179">
        <v>35405</v>
      </c>
      <c r="J179">
        <v>254636</v>
      </c>
      <c r="K179">
        <v>7642059</v>
      </c>
      <c r="L179">
        <f t="shared" si="21"/>
        <v>53976</v>
      </c>
      <c r="M179" s="1">
        <f t="shared" si="19"/>
        <v>254636</v>
      </c>
      <c r="N179" s="1">
        <f t="shared" si="17"/>
        <v>5</v>
      </c>
      <c r="O179" s="1">
        <f t="shared" si="18"/>
        <v>1.9635872382538213E-3</v>
      </c>
      <c r="P179" s="1">
        <f t="shared" si="20"/>
        <v>174</v>
      </c>
      <c r="Q179" s="1">
        <f>inhospital_tot__2[[#This Row],[infected_per_day]]/inhospital_tot__2[[#This Row],[Test per day]]</f>
        <v>4.7175781828961023</v>
      </c>
      <c r="R179" s="18">
        <f>inhospital_tot__2[[#This Row],[nuovi_positivi_alla_data]]*(1 + $T$28)</f>
        <v>1145.4343985127578</v>
      </c>
    </row>
    <row r="180" spans="1:18" x14ac:dyDescent="0.2">
      <c r="A180" s="6">
        <v>44062.708333333336</v>
      </c>
      <c r="B180">
        <v>866</v>
      </c>
      <c r="C180">
        <v>66</v>
      </c>
      <c r="D180">
        <v>932</v>
      </c>
      <c r="E180">
        <v>14428</v>
      </c>
      <c r="F180">
        <v>15360</v>
      </c>
      <c r="G180">
        <v>642</v>
      </c>
      <c r="H180">
        <v>204506</v>
      </c>
      <c r="I180">
        <v>35412</v>
      </c>
      <c r="J180">
        <v>255278</v>
      </c>
      <c r="K180">
        <v>7713154</v>
      </c>
      <c r="L180">
        <f t="shared" si="21"/>
        <v>71095</v>
      </c>
      <c r="M180" s="1">
        <f t="shared" si="19"/>
        <v>255278</v>
      </c>
      <c r="N180" s="1">
        <f t="shared" si="17"/>
        <v>7</v>
      </c>
      <c r="O180" s="1">
        <f t="shared" si="18"/>
        <v>2.7421086031698774E-3</v>
      </c>
      <c r="P180" s="1">
        <f t="shared" si="20"/>
        <v>364</v>
      </c>
      <c r="Q180" s="1">
        <f>inhospital_tot__2[[#This Row],[infected_per_day]]/inhospital_tot__2[[#This Row],[Test per day]]</f>
        <v>3.5906603839932485</v>
      </c>
      <c r="R180" s="18">
        <f>inhospital_tot__2[[#This Row],[nuovi_positivi_alla_data]]*(1 + $T$28)</f>
        <v>1824.7366844793808</v>
      </c>
    </row>
    <row r="181" spans="1:18" x14ac:dyDescent="0.2">
      <c r="A181" s="6">
        <v>44063.708333333336</v>
      </c>
      <c r="B181">
        <v>883</v>
      </c>
      <c r="C181">
        <v>68</v>
      </c>
      <c r="D181">
        <v>951</v>
      </c>
      <c r="E181">
        <v>15063</v>
      </c>
      <c r="F181">
        <v>16014</v>
      </c>
      <c r="G181">
        <v>845</v>
      </c>
      <c r="H181">
        <v>204686</v>
      </c>
      <c r="I181">
        <v>35418</v>
      </c>
      <c r="J181">
        <v>256118</v>
      </c>
      <c r="K181">
        <v>7790596</v>
      </c>
      <c r="L181">
        <f t="shared" si="21"/>
        <v>77442</v>
      </c>
      <c r="M181" s="1">
        <f t="shared" si="19"/>
        <v>256118</v>
      </c>
      <c r="N181" s="1">
        <f t="shared" si="17"/>
        <v>6</v>
      </c>
      <c r="O181" s="1">
        <f t="shared" si="18"/>
        <v>2.3426701754659962E-3</v>
      </c>
      <c r="P181" s="1">
        <f t="shared" si="20"/>
        <v>180</v>
      </c>
      <c r="Q181" s="1">
        <f>inhospital_tot__2[[#This Row],[infected_per_day]]/inhospital_tot__2[[#This Row],[Test per day]]</f>
        <v>3.3072234704682213</v>
      </c>
      <c r="R181" s="18">
        <f>inhospital_tot__2[[#This Row],[nuovi_positivi_alla_data]]*(1 + $T$28)</f>
        <v>2401.7172872041692</v>
      </c>
    </row>
    <row r="182" spans="1:18" x14ac:dyDescent="0.2">
      <c r="A182" s="6">
        <v>44064.708333333336</v>
      </c>
      <c r="B182">
        <v>919</v>
      </c>
      <c r="C182">
        <v>69</v>
      </c>
      <c r="D182">
        <v>988</v>
      </c>
      <c r="E182">
        <v>15690</v>
      </c>
      <c r="F182">
        <v>16678</v>
      </c>
      <c r="G182">
        <v>947</v>
      </c>
      <c r="H182">
        <v>204960</v>
      </c>
      <c r="I182">
        <v>35427</v>
      </c>
      <c r="J182">
        <v>257065</v>
      </c>
      <c r="K182">
        <v>7862592</v>
      </c>
      <c r="L182">
        <f t="shared" si="21"/>
        <v>71996</v>
      </c>
      <c r="M182" s="1">
        <f t="shared" si="19"/>
        <v>257065</v>
      </c>
      <c r="N182" s="1">
        <f t="shared" si="17"/>
        <v>9</v>
      </c>
      <c r="O182" s="1">
        <f t="shared" si="18"/>
        <v>3.5010600431797404E-3</v>
      </c>
      <c r="P182" s="1">
        <f t="shared" si="20"/>
        <v>274</v>
      </c>
      <c r="Q182" s="1">
        <f>inhospital_tot__2[[#This Row],[infected_per_day]]/inhospital_tot__2[[#This Row],[Test per day]]</f>
        <v>3.5705455858658812</v>
      </c>
      <c r="R182" s="18">
        <f>inhospital_tot__2[[#This Row],[nuovi_positivi_alla_data]]*(1 + $T$28)</f>
        <v>2691.6287230560338</v>
      </c>
    </row>
    <row r="183" spans="1:18" x14ac:dyDescent="0.2">
      <c r="A183" s="6">
        <v>44065.708333333336</v>
      </c>
      <c r="B183">
        <v>924</v>
      </c>
      <c r="C183">
        <v>64</v>
      </c>
      <c r="D183">
        <v>988</v>
      </c>
      <c r="E183">
        <v>16515</v>
      </c>
      <c r="F183">
        <v>17503</v>
      </c>
      <c r="G183">
        <v>1071</v>
      </c>
      <c r="H183">
        <v>205203</v>
      </c>
      <c r="I183">
        <v>35430</v>
      </c>
      <c r="J183">
        <v>258136</v>
      </c>
      <c r="K183">
        <v>7940266</v>
      </c>
      <c r="L183">
        <f t="shared" si="21"/>
        <v>77674</v>
      </c>
      <c r="M183" s="1">
        <f t="shared" si="19"/>
        <v>258136</v>
      </c>
      <c r="N183" s="1">
        <f t="shared" si="17"/>
        <v>3</v>
      </c>
      <c r="O183" s="1">
        <f t="shared" si="18"/>
        <v>1.1621780766727617E-3</v>
      </c>
      <c r="P183" s="1">
        <f t="shared" si="20"/>
        <v>243</v>
      </c>
      <c r="Q183" s="1">
        <f>inhospital_tot__2[[#This Row],[infected_per_day]]/inhospital_tot__2[[#This Row],[Test per day]]</f>
        <v>3.3233256945696112</v>
      </c>
      <c r="R183" s="18">
        <f>inhospital_tot__2[[#This Row],[nuovi_positivi_alla_data]]*(1 + $T$28)</f>
        <v>3044.0700764445746</v>
      </c>
    </row>
    <row r="184" spans="1:18" x14ac:dyDescent="0.2">
      <c r="A184" s="6">
        <v>44066.708333333336</v>
      </c>
      <c r="B184">
        <v>971</v>
      </c>
      <c r="C184">
        <v>69</v>
      </c>
      <c r="D184">
        <v>1040</v>
      </c>
      <c r="E184">
        <v>17398</v>
      </c>
      <c r="F184">
        <v>18438</v>
      </c>
      <c r="G184">
        <v>1210</v>
      </c>
      <c r="H184">
        <v>205470</v>
      </c>
      <c r="I184">
        <v>35437</v>
      </c>
      <c r="J184">
        <v>259345</v>
      </c>
      <c r="K184">
        <v>8007637</v>
      </c>
      <c r="L184">
        <f t="shared" si="21"/>
        <v>67371</v>
      </c>
      <c r="M184" s="1">
        <f t="shared" si="19"/>
        <v>259345</v>
      </c>
      <c r="N184" s="1">
        <f t="shared" si="17"/>
        <v>7</v>
      </c>
      <c r="O184" s="1">
        <f t="shared" si="18"/>
        <v>2.6991073666351767E-3</v>
      </c>
      <c r="P184" s="1">
        <f t="shared" si="20"/>
        <v>267</v>
      </c>
      <c r="Q184" s="1">
        <f>inhospital_tot__2[[#This Row],[infected_per_day]]/inhospital_tot__2[[#This Row],[Test per day]]</f>
        <v>3.8495049798874885</v>
      </c>
      <c r="R184" s="18">
        <f>inhospital_tot__2[[#This Row],[nuovi_positivi_alla_data]]*(1 + $T$28)</f>
        <v>3439.145464517213</v>
      </c>
    </row>
    <row r="185" spans="1:18" x14ac:dyDescent="0.2">
      <c r="A185" s="6">
        <v>44067.708333333336</v>
      </c>
      <c r="B185">
        <v>1045</v>
      </c>
      <c r="C185">
        <v>65</v>
      </c>
      <c r="D185">
        <v>1110</v>
      </c>
      <c r="E185">
        <v>18085</v>
      </c>
      <c r="F185">
        <v>19195</v>
      </c>
      <c r="G185">
        <v>953</v>
      </c>
      <c r="H185">
        <v>205662</v>
      </c>
      <c r="I185">
        <v>35441</v>
      </c>
      <c r="J185">
        <v>260298</v>
      </c>
      <c r="K185">
        <v>8053551</v>
      </c>
      <c r="L185">
        <f t="shared" si="21"/>
        <v>45914</v>
      </c>
      <c r="M185" s="1">
        <f t="shared" si="19"/>
        <v>260298</v>
      </c>
      <c r="N185" s="1">
        <f t="shared" si="17"/>
        <v>4</v>
      </c>
      <c r="O185" s="1">
        <f t="shared" si="18"/>
        <v>1.5367002435669884E-3</v>
      </c>
      <c r="P185" s="1">
        <f t="shared" si="20"/>
        <v>192</v>
      </c>
      <c r="Q185" s="1">
        <f>inhospital_tot__2[[#This Row],[infected_per_day]]/inhospital_tot__2[[#This Row],[Test per day]]</f>
        <v>5.6692512087816356</v>
      </c>
      <c r="R185" s="18">
        <f>inhospital_tot__2[[#This Row],[nuovi_positivi_alla_data]]*(1 + $T$28)</f>
        <v>2708.6823369296726</v>
      </c>
    </row>
    <row r="186" spans="1:18" x14ac:dyDescent="0.2">
      <c r="A186" s="6">
        <v>44068.708333333336</v>
      </c>
      <c r="B186">
        <v>1058</v>
      </c>
      <c r="C186">
        <v>66</v>
      </c>
      <c r="D186">
        <v>1124</v>
      </c>
      <c r="E186">
        <v>18590</v>
      </c>
      <c r="F186">
        <v>19714</v>
      </c>
      <c r="G186">
        <v>878</v>
      </c>
      <c r="H186">
        <v>206015</v>
      </c>
      <c r="I186">
        <v>35445</v>
      </c>
      <c r="J186">
        <v>261174</v>
      </c>
      <c r="K186">
        <v>8125892</v>
      </c>
      <c r="L186">
        <f t="shared" si="21"/>
        <v>72341</v>
      </c>
      <c r="M186" s="1">
        <f t="shared" si="19"/>
        <v>261174</v>
      </c>
      <c r="N186" s="1">
        <f t="shared" si="17"/>
        <v>4</v>
      </c>
      <c r="O186" s="1">
        <f t="shared" si="18"/>
        <v>1.53154601912901E-3</v>
      </c>
      <c r="P186" s="1">
        <f t="shared" si="20"/>
        <v>353</v>
      </c>
      <c r="Q186" s="1">
        <f>inhospital_tot__2[[#This Row],[infected_per_day]]/inhospital_tot__2[[#This Row],[Test per day]]</f>
        <v>3.6103178004174672</v>
      </c>
      <c r="R186" s="18">
        <f>inhospital_tot__2[[#This Row],[nuovi_positivi_alla_data]]*(1 + $T$28)</f>
        <v>2495.5121635091841</v>
      </c>
    </row>
    <row r="187" spans="1:18" x14ac:dyDescent="0.2">
      <c r="A187" s="6">
        <v>44069.708333333336</v>
      </c>
      <c r="B187">
        <v>1055</v>
      </c>
      <c r="C187">
        <v>69</v>
      </c>
      <c r="D187">
        <v>1124</v>
      </c>
      <c r="E187">
        <v>19629</v>
      </c>
      <c r="F187">
        <v>20753</v>
      </c>
      <c r="G187">
        <v>1367</v>
      </c>
      <c r="H187">
        <v>206329</v>
      </c>
      <c r="I187">
        <v>35458</v>
      </c>
      <c r="J187">
        <v>262540</v>
      </c>
      <c r="K187">
        <v>8219421</v>
      </c>
      <c r="L187">
        <f t="shared" si="21"/>
        <v>93529</v>
      </c>
      <c r="M187" s="1">
        <f t="shared" si="19"/>
        <v>262540</v>
      </c>
      <c r="N187" s="1">
        <f t="shared" si="17"/>
        <v>13</v>
      </c>
      <c r="O187" s="1">
        <f t="shared" si="18"/>
        <v>4.9516264188314164E-3</v>
      </c>
      <c r="P187" s="1">
        <f t="shared" si="20"/>
        <v>314</v>
      </c>
      <c r="Q187" s="1">
        <f>inhospital_tot__2[[#This Row],[infected_per_day]]/inhospital_tot__2[[#This Row],[Test per day]]</f>
        <v>2.8070438045953661</v>
      </c>
      <c r="R187" s="18">
        <f>inhospital_tot__2[[#This Row],[nuovi_positivi_alla_data]]*(1 + $T$28)</f>
        <v>3885.3816942107687</v>
      </c>
    </row>
    <row r="188" spans="1:18" x14ac:dyDescent="0.2">
      <c r="A188" s="6">
        <v>44070.708333333336</v>
      </c>
      <c r="B188">
        <v>1131</v>
      </c>
      <c r="C188">
        <v>67</v>
      </c>
      <c r="D188">
        <v>1198</v>
      </c>
      <c r="E188">
        <v>20734</v>
      </c>
      <c r="F188">
        <v>21932</v>
      </c>
      <c r="G188">
        <v>1411</v>
      </c>
      <c r="H188">
        <v>206554</v>
      </c>
      <c r="I188">
        <v>35463</v>
      </c>
      <c r="J188">
        <v>263949</v>
      </c>
      <c r="K188">
        <v>8313445</v>
      </c>
      <c r="L188">
        <f t="shared" si="21"/>
        <v>94024</v>
      </c>
      <c r="M188" s="1">
        <f t="shared" si="19"/>
        <v>263949</v>
      </c>
      <c r="N188" s="1">
        <f t="shared" si="17"/>
        <v>5</v>
      </c>
      <c r="O188" s="1">
        <f t="shared" si="18"/>
        <v>1.8943053392890294E-3</v>
      </c>
      <c r="P188" s="1">
        <f t="shared" si="20"/>
        <v>225</v>
      </c>
      <c r="Q188" s="1">
        <f>inhospital_tot__2[[#This Row],[infected_per_day]]/inhospital_tot__2[[#This Row],[Test per day]]</f>
        <v>2.8072513400833832</v>
      </c>
      <c r="R188" s="18">
        <f>inhospital_tot__2[[#This Row],[nuovi_positivi_alla_data]]*(1 + $T$28)</f>
        <v>4010.4415292841218</v>
      </c>
    </row>
    <row r="189" spans="1:18" x14ac:dyDescent="0.2">
      <c r="A189" s="6">
        <v>44071.708333333336</v>
      </c>
      <c r="B189">
        <v>1178</v>
      </c>
      <c r="C189">
        <v>74</v>
      </c>
      <c r="D189">
        <v>1252</v>
      </c>
      <c r="E189">
        <v>21783</v>
      </c>
      <c r="F189">
        <v>23035</v>
      </c>
      <c r="G189">
        <v>1462</v>
      </c>
      <c r="H189">
        <v>206902</v>
      </c>
      <c r="I189">
        <v>35472</v>
      </c>
      <c r="J189">
        <v>265409</v>
      </c>
      <c r="K189">
        <v>8410510</v>
      </c>
      <c r="L189">
        <f t="shared" si="21"/>
        <v>97065</v>
      </c>
      <c r="M189" s="1">
        <f t="shared" si="19"/>
        <v>265409</v>
      </c>
      <c r="N189" s="1">
        <f t="shared" ref="N189:N232" si="22">I189-I188</f>
        <v>9</v>
      </c>
      <c r="O189" s="1">
        <f t="shared" ref="O189:O232" si="23">(N189/J189)*100</f>
        <v>3.390992769649861E-3</v>
      </c>
      <c r="P189" s="1">
        <f t="shared" si="20"/>
        <v>348</v>
      </c>
      <c r="Q189" s="1">
        <f>inhospital_tot__2[[#This Row],[infected_per_day]]/inhospital_tot__2[[#This Row],[Test per day]]</f>
        <v>2.7343429660536755</v>
      </c>
      <c r="R189" s="18">
        <f>inhospital_tot__2[[#This Row],[nuovi_positivi_alla_data]]*(1 + $T$28)</f>
        <v>4155.397247210054</v>
      </c>
    </row>
    <row r="190" spans="1:18" x14ac:dyDescent="0.2">
      <c r="A190" s="6">
        <v>44072.708333333336</v>
      </c>
      <c r="B190">
        <v>1168</v>
      </c>
      <c r="C190">
        <v>79</v>
      </c>
      <c r="D190">
        <v>1247</v>
      </c>
      <c r="E190">
        <v>22909</v>
      </c>
      <c r="F190">
        <v>24156</v>
      </c>
      <c r="G190">
        <v>1444</v>
      </c>
      <c r="H190">
        <v>207224</v>
      </c>
      <c r="I190">
        <v>35473</v>
      </c>
      <c r="J190">
        <v>266853</v>
      </c>
      <c r="K190">
        <v>8509618</v>
      </c>
      <c r="L190">
        <f t="shared" si="21"/>
        <v>99108</v>
      </c>
      <c r="M190" s="1">
        <f t="shared" si="19"/>
        <v>266853</v>
      </c>
      <c r="N190" s="1">
        <f t="shared" si="22"/>
        <v>1</v>
      </c>
      <c r="O190" s="1">
        <f t="shared" si="23"/>
        <v>3.7473815171648812E-4</v>
      </c>
      <c r="P190" s="1">
        <f t="shared" si="20"/>
        <v>322</v>
      </c>
      <c r="Q190" s="1">
        <f>inhospital_tot__2[[#This Row],[infected_per_day]]/inhospital_tot__2[[#This Row],[Test per day]]</f>
        <v>2.6925475239133068</v>
      </c>
      <c r="R190" s="18">
        <f>inhospital_tot__2[[#This Row],[nuovi_positivi_alla_data]]*(1 + $T$28)</f>
        <v>4104.2364055891367</v>
      </c>
    </row>
    <row r="191" spans="1:18" x14ac:dyDescent="0.2">
      <c r="A191" s="6">
        <v>44073.708333333336</v>
      </c>
      <c r="B191">
        <v>1251</v>
      </c>
      <c r="C191">
        <v>86</v>
      </c>
      <c r="D191">
        <v>1337</v>
      </c>
      <c r="E191">
        <v>23868</v>
      </c>
      <c r="F191">
        <v>25205</v>
      </c>
      <c r="G191">
        <v>1365</v>
      </c>
      <c r="H191">
        <v>207536</v>
      </c>
      <c r="I191">
        <v>35477</v>
      </c>
      <c r="J191">
        <v>268218</v>
      </c>
      <c r="K191">
        <v>8586341</v>
      </c>
      <c r="L191">
        <f t="shared" si="21"/>
        <v>76723</v>
      </c>
      <c r="M191" s="1">
        <f t="shared" si="19"/>
        <v>268218</v>
      </c>
      <c r="N191" s="1">
        <f t="shared" si="22"/>
        <v>4</v>
      </c>
      <c r="O191" s="1">
        <f t="shared" si="23"/>
        <v>1.491324221342341E-3</v>
      </c>
      <c r="P191" s="1">
        <f t="shared" si="20"/>
        <v>312</v>
      </c>
      <c r="Q191" s="1">
        <f>inhospital_tot__2[[#This Row],[infected_per_day]]/inhospital_tot__2[[#This Row],[Test per day]]</f>
        <v>3.4959269058821998</v>
      </c>
      <c r="R191" s="18">
        <f>inhospital_tot__2[[#This Row],[nuovi_positivi_alla_data]]*(1 + $T$28)</f>
        <v>3879.6971562528888</v>
      </c>
    </row>
    <row r="192" spans="1:18" x14ac:dyDescent="0.2">
      <c r="A192" s="6">
        <v>44074.708333333336</v>
      </c>
      <c r="B192">
        <v>1288</v>
      </c>
      <c r="C192">
        <v>94</v>
      </c>
      <c r="D192">
        <v>1382</v>
      </c>
      <c r="E192">
        <v>24696</v>
      </c>
      <c r="F192">
        <v>26078</v>
      </c>
      <c r="G192">
        <v>996</v>
      </c>
      <c r="H192">
        <v>207653</v>
      </c>
      <c r="I192">
        <v>35483</v>
      </c>
      <c r="J192">
        <v>269214</v>
      </c>
      <c r="K192">
        <v>8644859</v>
      </c>
      <c r="L192">
        <f t="shared" si="21"/>
        <v>58518</v>
      </c>
      <c r="M192" s="1">
        <f t="shared" si="19"/>
        <v>269214</v>
      </c>
      <c r="N192" s="1">
        <f t="shared" si="22"/>
        <v>6</v>
      </c>
      <c r="O192" s="1">
        <f t="shared" si="23"/>
        <v>2.2287102453809981E-3</v>
      </c>
      <c r="P192" s="1">
        <f t="shared" si="20"/>
        <v>117</v>
      </c>
      <c r="Q192" s="1">
        <f>inhospital_tot__2[[#This Row],[infected_per_day]]/inhospital_tot__2[[#This Row],[Test per day]]</f>
        <v>4.6005331692812472</v>
      </c>
      <c r="R192" s="18">
        <f>inhospital_tot__2[[#This Row],[nuovi_positivi_alla_data]]*(1 + $T$28)</f>
        <v>2830.8999030240861</v>
      </c>
    </row>
    <row r="193" spans="1:18" x14ac:dyDescent="0.2">
      <c r="A193" s="6">
        <v>44075.708333333336</v>
      </c>
      <c r="B193">
        <v>1380</v>
      </c>
      <c r="C193">
        <v>107</v>
      </c>
      <c r="D193">
        <v>1487</v>
      </c>
      <c r="E193">
        <v>25267</v>
      </c>
      <c r="F193">
        <v>26754</v>
      </c>
      <c r="G193">
        <v>978</v>
      </c>
      <c r="H193">
        <v>207944</v>
      </c>
      <c r="I193">
        <v>35491</v>
      </c>
      <c r="J193">
        <v>270189</v>
      </c>
      <c r="K193">
        <v>8725909</v>
      </c>
      <c r="L193">
        <f t="shared" si="21"/>
        <v>81050</v>
      </c>
      <c r="M193" s="1">
        <f t="shared" si="19"/>
        <v>270189</v>
      </c>
      <c r="N193" s="1">
        <f t="shared" si="22"/>
        <v>8</v>
      </c>
      <c r="O193" s="1">
        <f t="shared" si="23"/>
        <v>2.9608903397251554E-3</v>
      </c>
      <c r="P193" s="1">
        <f t="shared" si="20"/>
        <v>291</v>
      </c>
      <c r="Q193" s="1">
        <f>inhospital_tot__2[[#This Row],[infected_per_day]]/inhospital_tot__2[[#This Row],[Test per day]]</f>
        <v>3.3336088834053053</v>
      </c>
      <c r="R193" s="18">
        <f>inhospital_tot__2[[#This Row],[nuovi_positivi_alla_data]]*(1 + $T$28)</f>
        <v>2779.7390614031688</v>
      </c>
    </row>
    <row r="194" spans="1:18" x14ac:dyDescent="0.2">
      <c r="A194" s="6">
        <v>44076.708333333336</v>
      </c>
      <c r="B194">
        <v>1437</v>
      </c>
      <c r="C194">
        <v>109</v>
      </c>
      <c r="D194">
        <v>1546</v>
      </c>
      <c r="E194">
        <v>26271</v>
      </c>
      <c r="F194">
        <v>27817</v>
      </c>
      <c r="G194">
        <v>1326</v>
      </c>
      <c r="H194">
        <v>208201</v>
      </c>
      <c r="I194">
        <v>35497</v>
      </c>
      <c r="J194">
        <v>271515</v>
      </c>
      <c r="K194">
        <v>8828868</v>
      </c>
      <c r="L194">
        <f t="shared" si="21"/>
        <v>102959</v>
      </c>
      <c r="M194" s="1">
        <f t="shared" si="19"/>
        <v>271515</v>
      </c>
      <c r="N194" s="1">
        <f t="shared" si="22"/>
        <v>6</v>
      </c>
      <c r="O194" s="1">
        <f t="shared" si="23"/>
        <v>2.2098226617313964E-3</v>
      </c>
      <c r="P194" s="1">
        <f t="shared" si="20"/>
        <v>257</v>
      </c>
      <c r="Q194" s="1">
        <f>inhospital_tot__2[[#This Row],[infected_per_day]]/inhospital_tot__2[[#This Row],[Test per day]]</f>
        <v>2.6371176876232285</v>
      </c>
      <c r="R194" s="18">
        <f>inhospital_tot__2[[#This Row],[nuovi_positivi_alla_data]]*(1 + $T$28)</f>
        <v>3768.8486660742351</v>
      </c>
    </row>
    <row r="195" spans="1:18" x14ac:dyDescent="0.2">
      <c r="A195" s="6">
        <v>44077.708333333336</v>
      </c>
      <c r="B195">
        <v>1505</v>
      </c>
      <c r="C195">
        <v>120</v>
      </c>
      <c r="D195">
        <v>1625</v>
      </c>
      <c r="E195">
        <v>27290</v>
      </c>
      <c r="F195">
        <v>28915</v>
      </c>
      <c r="G195">
        <v>1397</v>
      </c>
      <c r="H195">
        <v>208490</v>
      </c>
      <c r="I195">
        <v>35507</v>
      </c>
      <c r="J195">
        <v>272912</v>
      </c>
      <c r="K195">
        <v>8921658</v>
      </c>
      <c r="L195">
        <f t="shared" si="21"/>
        <v>92790</v>
      </c>
      <c r="M195" s="1">
        <f t="shared" ref="M195:M233" si="24">J195</f>
        <v>272912</v>
      </c>
      <c r="N195" s="1">
        <f t="shared" si="22"/>
        <v>10</v>
      </c>
      <c r="O195" s="1">
        <f t="shared" si="23"/>
        <v>3.6641847921674384E-3</v>
      </c>
      <c r="P195" s="1">
        <f t="shared" ref="P195:P233" si="25">H195-H194</f>
        <v>289</v>
      </c>
      <c r="Q195" s="1">
        <f>inhospital_tot__2[[#This Row],[infected_per_day]]/inhospital_tot__2[[#This Row],[Test per day]]</f>
        <v>2.941179006358444</v>
      </c>
      <c r="R195" s="18">
        <f>inhospital_tot__2[[#This Row],[nuovi_positivi_alla_data]]*(1 + $T$28)</f>
        <v>3970.6497635789642</v>
      </c>
    </row>
    <row r="196" spans="1:18" x14ac:dyDescent="0.2">
      <c r="A196" s="6">
        <v>44078.708333333336</v>
      </c>
      <c r="B196">
        <v>1607</v>
      </c>
      <c r="C196">
        <v>121</v>
      </c>
      <c r="D196">
        <v>1728</v>
      </c>
      <c r="E196">
        <v>28371</v>
      </c>
      <c r="F196">
        <v>30099</v>
      </c>
      <c r="G196">
        <v>1733</v>
      </c>
      <c r="H196">
        <v>209027</v>
      </c>
      <c r="I196">
        <v>35518</v>
      </c>
      <c r="J196">
        <v>274644</v>
      </c>
      <c r="K196">
        <v>9034743</v>
      </c>
      <c r="L196">
        <f t="shared" si="21"/>
        <v>113085</v>
      </c>
      <c r="M196" s="1">
        <f t="shared" si="24"/>
        <v>274644</v>
      </c>
      <c r="N196" s="1">
        <f t="shared" si="22"/>
        <v>11</v>
      </c>
      <c r="O196" s="1">
        <f t="shared" si="23"/>
        <v>4.0051848938990105E-3</v>
      </c>
      <c r="P196" s="1">
        <f t="shared" si="25"/>
        <v>537</v>
      </c>
      <c r="Q196" s="1">
        <f>inhospital_tot__2[[#This Row],[infected_per_day]]/inhospital_tot__2[[#This Row],[Test per day]]</f>
        <v>2.4286510147234379</v>
      </c>
      <c r="R196" s="18">
        <f>inhospital_tot__2[[#This Row],[nuovi_positivi_alla_data]]*(1 + $T$28)</f>
        <v>4925.6521405027524</v>
      </c>
    </row>
    <row r="197" spans="1:18" x14ac:dyDescent="0.2">
      <c r="A197" s="6">
        <v>44079.708333333336</v>
      </c>
      <c r="B197">
        <v>1620</v>
      </c>
      <c r="C197">
        <v>121</v>
      </c>
      <c r="D197">
        <v>1741</v>
      </c>
      <c r="E197">
        <v>29453</v>
      </c>
      <c r="F197">
        <v>31194</v>
      </c>
      <c r="G197">
        <v>1694</v>
      </c>
      <c r="H197">
        <v>209610</v>
      </c>
      <c r="I197">
        <v>35533</v>
      </c>
      <c r="J197">
        <v>276337</v>
      </c>
      <c r="K197">
        <v>9142401</v>
      </c>
      <c r="L197">
        <f t="shared" si="21"/>
        <v>107658</v>
      </c>
      <c r="M197" s="1">
        <f t="shared" si="24"/>
        <v>276337</v>
      </c>
      <c r="N197" s="1">
        <f t="shared" si="22"/>
        <v>15</v>
      </c>
      <c r="O197" s="1">
        <f t="shared" si="23"/>
        <v>5.4281547530732402E-3</v>
      </c>
      <c r="P197" s="1">
        <f t="shared" si="25"/>
        <v>583</v>
      </c>
      <c r="Q197" s="1">
        <f>inhospital_tot__2[[#This Row],[infected_per_day]]/inhospital_tot__2[[#This Row],[Test per day]]</f>
        <v>2.5668041390328633</v>
      </c>
      <c r="R197" s="18">
        <f>inhospital_tot__2[[#This Row],[nuovi_positivi_alla_data]]*(1 + $T$28)</f>
        <v>4814.8036503240983</v>
      </c>
    </row>
    <row r="198" spans="1:18" x14ac:dyDescent="0.2">
      <c r="A198" s="6">
        <v>44080.708333333336</v>
      </c>
      <c r="B198">
        <v>1683</v>
      </c>
      <c r="C198">
        <v>133</v>
      </c>
      <c r="D198">
        <v>1816</v>
      </c>
      <c r="E198">
        <v>30262</v>
      </c>
      <c r="F198">
        <v>32078</v>
      </c>
      <c r="G198">
        <v>1297</v>
      </c>
      <c r="H198">
        <v>210015</v>
      </c>
      <c r="I198">
        <v>35541</v>
      </c>
      <c r="J198">
        <v>277634</v>
      </c>
      <c r="K198">
        <v>9219257</v>
      </c>
      <c r="L198">
        <f t="shared" si="21"/>
        <v>76856</v>
      </c>
      <c r="M198" s="1">
        <f t="shared" si="24"/>
        <v>277634</v>
      </c>
      <c r="N198" s="1">
        <f t="shared" si="22"/>
        <v>8</v>
      </c>
      <c r="O198" s="1">
        <f t="shared" si="23"/>
        <v>2.8814914599796853E-3</v>
      </c>
      <c r="P198" s="1">
        <f t="shared" si="25"/>
        <v>405</v>
      </c>
      <c r="Q198" s="1">
        <f>inhospital_tot__2[[#This Row],[infected_per_day]]/inhospital_tot__2[[#This Row],[Test per day]]</f>
        <v>3.6123920058290828</v>
      </c>
      <c r="R198" s="18">
        <f>inhospital_tot__2[[#This Row],[nuovi_positivi_alla_data]]*(1 + $T$28)</f>
        <v>3686.4228656849796</v>
      </c>
    </row>
    <row r="199" spans="1:18" x14ac:dyDescent="0.2">
      <c r="A199" s="6">
        <v>44081.708333333336</v>
      </c>
      <c r="B199">
        <v>1719</v>
      </c>
      <c r="C199">
        <v>142</v>
      </c>
      <c r="D199">
        <v>1861</v>
      </c>
      <c r="E199">
        <v>31132</v>
      </c>
      <c r="F199">
        <v>32993</v>
      </c>
      <c r="G199">
        <v>1108</v>
      </c>
      <c r="H199">
        <v>210238</v>
      </c>
      <c r="I199">
        <v>35553</v>
      </c>
      <c r="J199">
        <v>278784</v>
      </c>
      <c r="K199">
        <v>9271810</v>
      </c>
      <c r="L199">
        <f t="shared" si="21"/>
        <v>52553</v>
      </c>
      <c r="M199" s="1">
        <f t="shared" si="24"/>
        <v>278784</v>
      </c>
      <c r="N199" s="1">
        <f t="shared" si="22"/>
        <v>12</v>
      </c>
      <c r="O199" s="1">
        <f t="shared" si="23"/>
        <v>4.3044077134986227E-3</v>
      </c>
      <c r="P199" s="1">
        <f t="shared" si="25"/>
        <v>223</v>
      </c>
      <c r="Q199" s="1">
        <f>inhospital_tot__2[[#This Row],[infected_per_day]]/inhospital_tot__2[[#This Row],[Test per day]]</f>
        <v>5.3048160904230013</v>
      </c>
      <c r="R199" s="18">
        <f>inhospital_tot__2[[#This Row],[nuovi_positivi_alla_data]]*(1 + $T$28)</f>
        <v>3149.2340286653489</v>
      </c>
    </row>
    <row r="200" spans="1:18" x14ac:dyDescent="0.2">
      <c r="A200" s="6">
        <v>44082.708333333336</v>
      </c>
      <c r="B200">
        <v>1760</v>
      </c>
      <c r="C200">
        <v>143</v>
      </c>
      <c r="D200">
        <v>1903</v>
      </c>
      <c r="E200">
        <v>31886</v>
      </c>
      <c r="F200">
        <v>33789</v>
      </c>
      <c r="G200">
        <v>1370</v>
      </c>
      <c r="H200">
        <v>210801</v>
      </c>
      <c r="I200">
        <v>35563</v>
      </c>
      <c r="J200">
        <v>280153</v>
      </c>
      <c r="K200">
        <v>9364213</v>
      </c>
      <c r="L200">
        <f t="shared" si="21"/>
        <v>92403</v>
      </c>
      <c r="M200" s="1">
        <f t="shared" si="24"/>
        <v>280153</v>
      </c>
      <c r="N200" s="1">
        <f t="shared" si="22"/>
        <v>10</v>
      </c>
      <c r="O200" s="1">
        <f t="shared" si="23"/>
        <v>3.5694781066060335E-3</v>
      </c>
      <c r="P200" s="1">
        <f t="shared" si="25"/>
        <v>563</v>
      </c>
      <c r="Q200" s="1">
        <f>inhospital_tot__2[[#This Row],[infected_per_day]]/inhospital_tot__2[[#This Row],[Test per day]]</f>
        <v>3.0318604374316851</v>
      </c>
      <c r="R200" s="18">
        <f>inhospital_tot__2[[#This Row],[nuovi_positivi_alla_data]]*(1 + $T$28)</f>
        <v>3893.9085011475881</v>
      </c>
    </row>
    <row r="201" spans="1:18" x14ac:dyDescent="0.2">
      <c r="A201" s="6">
        <v>44083.708333333336</v>
      </c>
      <c r="B201">
        <v>1778</v>
      </c>
      <c r="C201">
        <v>150</v>
      </c>
      <c r="D201">
        <v>1928</v>
      </c>
      <c r="E201">
        <v>32806</v>
      </c>
      <c r="F201">
        <v>34734</v>
      </c>
      <c r="G201">
        <v>1434</v>
      </c>
      <c r="H201">
        <v>211272</v>
      </c>
      <c r="I201">
        <v>35577</v>
      </c>
      <c r="J201">
        <v>281583</v>
      </c>
      <c r="K201">
        <v>9460203</v>
      </c>
      <c r="L201">
        <f t="shared" si="21"/>
        <v>95990</v>
      </c>
      <c r="M201" s="1">
        <f t="shared" si="24"/>
        <v>281583</v>
      </c>
      <c r="N201" s="1">
        <f t="shared" si="22"/>
        <v>14</v>
      </c>
      <c r="O201" s="1">
        <f t="shared" si="23"/>
        <v>4.971891058764201E-3</v>
      </c>
      <c r="P201" s="1">
        <f t="shared" si="25"/>
        <v>471</v>
      </c>
      <c r="Q201" s="1">
        <f>inhospital_tot__2[[#This Row],[infected_per_day]]/inhospital_tot__2[[#This Row],[Test per day]]</f>
        <v>2.933461818939473</v>
      </c>
      <c r="R201" s="18">
        <f>inhospital_tot__2[[#This Row],[nuovi_positivi_alla_data]]*(1 + $T$28)</f>
        <v>4075.8137157997385</v>
      </c>
    </row>
    <row r="202" spans="1:18" x14ac:dyDescent="0.2">
      <c r="A202" s="6">
        <v>44084.708333333336</v>
      </c>
      <c r="B202">
        <v>1836</v>
      </c>
      <c r="C202">
        <v>164</v>
      </c>
      <c r="D202">
        <v>2000</v>
      </c>
      <c r="E202">
        <v>33708</v>
      </c>
      <c r="F202">
        <v>35708</v>
      </c>
      <c r="G202">
        <v>1597</v>
      </c>
      <c r="H202">
        <v>211885</v>
      </c>
      <c r="I202">
        <v>35587</v>
      </c>
      <c r="J202">
        <v>283180</v>
      </c>
      <c r="K202">
        <v>9554389</v>
      </c>
      <c r="L202">
        <f t="shared" si="21"/>
        <v>94186</v>
      </c>
      <c r="M202" s="1">
        <f t="shared" si="24"/>
        <v>283180</v>
      </c>
      <c r="N202" s="1">
        <f t="shared" si="22"/>
        <v>10</v>
      </c>
      <c r="O202" s="1">
        <f t="shared" si="23"/>
        <v>3.5313228335334419E-3</v>
      </c>
      <c r="P202" s="1">
        <f t="shared" si="25"/>
        <v>613</v>
      </c>
      <c r="Q202" s="1">
        <f>inhospital_tot__2[[#This Row],[infected_per_day]]/inhospital_tot__2[[#This Row],[Test per day]]</f>
        <v>3.0066039538784959</v>
      </c>
      <c r="R202" s="18">
        <f>inhospital_tot__2[[#This Row],[nuovi_positivi_alla_data]]*(1 + $T$28)</f>
        <v>4539.103559366933</v>
      </c>
    </row>
    <row r="203" spans="1:18" x14ac:dyDescent="0.2">
      <c r="A203" s="6">
        <v>44085.708333333336</v>
      </c>
      <c r="B203">
        <v>1849</v>
      </c>
      <c r="C203">
        <v>175</v>
      </c>
      <c r="D203">
        <v>2024</v>
      </c>
      <c r="E203">
        <v>34743</v>
      </c>
      <c r="F203">
        <v>36767</v>
      </c>
      <c r="G203">
        <v>1616</v>
      </c>
      <c r="H203">
        <v>212432</v>
      </c>
      <c r="I203">
        <v>35597</v>
      </c>
      <c r="J203">
        <v>284796</v>
      </c>
      <c r="K203">
        <v>9653269</v>
      </c>
      <c r="L203">
        <f t="shared" si="21"/>
        <v>98880</v>
      </c>
      <c r="M203" s="1">
        <f t="shared" si="24"/>
        <v>284796</v>
      </c>
      <c r="N203" s="1">
        <f t="shared" si="22"/>
        <v>10</v>
      </c>
      <c r="O203" s="1">
        <f t="shared" si="23"/>
        <v>3.5112852708605461E-3</v>
      </c>
      <c r="P203" s="1">
        <f t="shared" si="25"/>
        <v>547</v>
      </c>
      <c r="Q203" s="1">
        <f>inhospital_tot__2[[#This Row],[infected_per_day]]/inhospital_tot__2[[#This Row],[Test per day]]</f>
        <v>2.8802184466019418</v>
      </c>
      <c r="R203" s="18">
        <f>inhospital_tot__2[[#This Row],[nuovi_positivi_alla_data]]*(1 + $T$28)</f>
        <v>4593.1066699667899</v>
      </c>
    </row>
    <row r="204" spans="1:18" x14ac:dyDescent="0.2">
      <c r="A204" s="6">
        <v>44086.708333333336</v>
      </c>
      <c r="B204">
        <v>1951</v>
      </c>
      <c r="C204">
        <v>182</v>
      </c>
      <c r="D204">
        <v>2133</v>
      </c>
      <c r="E204">
        <v>35370</v>
      </c>
      <c r="F204">
        <v>37503</v>
      </c>
      <c r="G204">
        <v>1501</v>
      </c>
      <c r="H204">
        <v>213191</v>
      </c>
      <c r="I204">
        <v>35603</v>
      </c>
      <c r="J204">
        <v>286297</v>
      </c>
      <c r="K204">
        <v>9745975</v>
      </c>
      <c r="L204">
        <f t="shared" si="21"/>
        <v>92706</v>
      </c>
      <c r="M204" s="1">
        <f t="shared" si="24"/>
        <v>286297</v>
      </c>
      <c r="N204" s="1">
        <f t="shared" si="22"/>
        <v>6</v>
      </c>
      <c r="O204" s="1">
        <f t="shared" si="23"/>
        <v>2.0957257672975967E-3</v>
      </c>
      <c r="P204" s="1">
        <f t="shared" si="25"/>
        <v>759</v>
      </c>
      <c r="Q204" s="1">
        <f>inhospital_tot__2[[#This Row],[infected_per_day]]/inhospital_tot__2[[#This Row],[Test per day]]</f>
        <v>3.0882251418462667</v>
      </c>
      <c r="R204" s="18">
        <f>inhospital_tot__2[[#This Row],[nuovi_positivi_alla_data]]*(1 + $T$28)</f>
        <v>4266.2457373887082</v>
      </c>
    </row>
    <row r="205" spans="1:18" x14ac:dyDescent="0.2">
      <c r="A205" s="6">
        <v>44087.708333333336</v>
      </c>
      <c r="B205">
        <v>2042</v>
      </c>
      <c r="C205">
        <v>187</v>
      </c>
      <c r="D205">
        <v>2229</v>
      </c>
      <c r="E205">
        <v>36280</v>
      </c>
      <c r="F205">
        <v>38509</v>
      </c>
      <c r="G205">
        <v>1458</v>
      </c>
      <c r="H205">
        <v>213634</v>
      </c>
      <c r="I205">
        <v>35610</v>
      </c>
      <c r="J205">
        <v>287753</v>
      </c>
      <c r="K205">
        <v>9818118</v>
      </c>
      <c r="L205">
        <f t="shared" si="21"/>
        <v>72143</v>
      </c>
      <c r="M205" s="1">
        <f t="shared" si="24"/>
        <v>287753</v>
      </c>
      <c r="N205" s="1">
        <f t="shared" si="22"/>
        <v>7</v>
      </c>
      <c r="O205" s="1">
        <f t="shared" si="23"/>
        <v>2.432641883837875E-3</v>
      </c>
      <c r="P205" s="1">
        <f t="shared" si="25"/>
        <v>443</v>
      </c>
      <c r="Q205" s="1">
        <f>inhospital_tot__2[[#This Row],[infected_per_day]]/inhospital_tot__2[[#This Row],[Test per day]]</f>
        <v>3.9886475472325795</v>
      </c>
      <c r="R205" s="18">
        <f>inhospital_tot__2[[#This Row],[nuovi_positivi_alla_data]]*(1 + $T$28)</f>
        <v>4144.0281712942942</v>
      </c>
    </row>
    <row r="206" spans="1:18" x14ac:dyDescent="0.2">
      <c r="A206" s="6">
        <v>44088.708333333336</v>
      </c>
      <c r="B206">
        <v>2122</v>
      </c>
      <c r="C206">
        <v>197</v>
      </c>
      <c r="D206">
        <v>2319</v>
      </c>
      <c r="E206">
        <v>36868</v>
      </c>
      <c r="F206">
        <v>39187</v>
      </c>
      <c r="G206">
        <v>1008</v>
      </c>
      <c r="H206">
        <v>213950</v>
      </c>
      <c r="I206">
        <v>35624</v>
      </c>
      <c r="J206">
        <v>288761</v>
      </c>
      <c r="K206">
        <v>9863427</v>
      </c>
      <c r="L206">
        <f t="shared" si="21"/>
        <v>45309</v>
      </c>
      <c r="M206" s="1">
        <f t="shared" si="24"/>
        <v>288761</v>
      </c>
      <c r="N206" s="1">
        <f t="shared" si="22"/>
        <v>14</v>
      </c>
      <c r="O206" s="1">
        <f t="shared" si="23"/>
        <v>4.8483001513362264E-3</v>
      </c>
      <c r="P206" s="1">
        <f t="shared" si="25"/>
        <v>316</v>
      </c>
      <c r="Q206" s="1">
        <f>inhospital_tot__2[[#This Row],[infected_per_day]]/inhospital_tot__2[[#This Row],[Test per day]]</f>
        <v>6.3731488225297399</v>
      </c>
      <c r="R206" s="18">
        <f>inhospital_tot__2[[#This Row],[nuovi_positivi_alla_data]]*(1 + $T$28)</f>
        <v>2865.0071307713642</v>
      </c>
    </row>
    <row r="207" spans="1:18" x14ac:dyDescent="0.2">
      <c r="A207" s="6">
        <v>44089.708333333336</v>
      </c>
      <c r="B207">
        <v>2222</v>
      </c>
      <c r="C207">
        <v>201</v>
      </c>
      <c r="D207">
        <v>2423</v>
      </c>
      <c r="E207">
        <v>37289</v>
      </c>
      <c r="F207">
        <v>39712</v>
      </c>
      <c r="G207">
        <v>1229</v>
      </c>
      <c r="H207">
        <v>214645</v>
      </c>
      <c r="I207">
        <v>35633</v>
      </c>
      <c r="J207">
        <v>289990</v>
      </c>
      <c r="K207">
        <v>9943944</v>
      </c>
      <c r="L207">
        <f t="shared" si="21"/>
        <v>80517</v>
      </c>
      <c r="M207" s="1">
        <f t="shared" si="24"/>
        <v>289990</v>
      </c>
      <c r="N207" s="1">
        <f t="shared" si="22"/>
        <v>9</v>
      </c>
      <c r="O207" s="1">
        <f t="shared" si="23"/>
        <v>3.1035552950101726E-3</v>
      </c>
      <c r="P207" s="1">
        <f t="shared" si="25"/>
        <v>695</v>
      </c>
      <c r="Q207" s="1">
        <f>inhospital_tot__2[[#This Row],[infected_per_day]]/inhospital_tot__2[[#This Row],[Test per day]]</f>
        <v>3.6015996621831414</v>
      </c>
      <c r="R207" s="18">
        <f>inhospital_tot__2[[#This Row],[nuovi_positivi_alla_data]]*(1 + $T$28)</f>
        <v>3493.1485751170699</v>
      </c>
    </row>
    <row r="208" spans="1:18" x14ac:dyDescent="0.2">
      <c r="A208" s="6">
        <v>44090.708333333336</v>
      </c>
      <c r="B208">
        <v>2285</v>
      </c>
      <c r="C208">
        <v>207</v>
      </c>
      <c r="D208">
        <v>2492</v>
      </c>
      <c r="E208">
        <v>38040</v>
      </c>
      <c r="F208">
        <v>40532</v>
      </c>
      <c r="G208">
        <v>1452</v>
      </c>
      <c r="H208">
        <v>215265</v>
      </c>
      <c r="I208">
        <v>35645</v>
      </c>
      <c r="J208">
        <v>291442</v>
      </c>
      <c r="K208">
        <v>10044551</v>
      </c>
      <c r="L208">
        <f t="shared" si="21"/>
        <v>100607</v>
      </c>
      <c r="M208" s="1">
        <f t="shared" si="24"/>
        <v>291442</v>
      </c>
      <c r="N208" s="1">
        <f t="shared" si="22"/>
        <v>12</v>
      </c>
      <c r="O208" s="1">
        <f t="shared" si="23"/>
        <v>4.1174573328483883E-3</v>
      </c>
      <c r="P208" s="1">
        <f t="shared" si="25"/>
        <v>620</v>
      </c>
      <c r="Q208" s="1">
        <f>inhospital_tot__2[[#This Row],[infected_per_day]]/inhospital_tot__2[[#This Row],[Test per day]]</f>
        <v>2.8968362042402616</v>
      </c>
      <c r="R208" s="18">
        <f>inhospital_tot__2[[#This Row],[nuovi_positivi_alla_data]]*(1 + $T$28)</f>
        <v>4126.9745574206554</v>
      </c>
    </row>
    <row r="209" spans="1:18" x14ac:dyDescent="0.2">
      <c r="A209" s="6">
        <v>44091.708333333336</v>
      </c>
      <c r="B209">
        <v>2348</v>
      </c>
      <c r="C209">
        <v>212</v>
      </c>
      <c r="D209">
        <v>2560</v>
      </c>
      <c r="E209">
        <v>38853</v>
      </c>
      <c r="F209">
        <v>41413</v>
      </c>
      <c r="G209">
        <v>1585</v>
      </c>
      <c r="H209">
        <v>215954</v>
      </c>
      <c r="I209">
        <v>35658</v>
      </c>
      <c r="J209">
        <v>293025</v>
      </c>
      <c r="K209">
        <v>10146324</v>
      </c>
      <c r="L209">
        <f t="shared" si="21"/>
        <v>101773</v>
      </c>
      <c r="M209" s="1">
        <f t="shared" si="24"/>
        <v>293025</v>
      </c>
      <c r="N209" s="1">
        <f t="shared" si="22"/>
        <v>13</v>
      </c>
      <c r="O209" s="1">
        <f t="shared" si="23"/>
        <v>4.436481528879788E-3</v>
      </c>
      <c r="P209" s="1">
        <f t="shared" si="25"/>
        <v>689</v>
      </c>
      <c r="Q209" s="1">
        <f>inhospital_tot__2[[#This Row],[infected_per_day]]/inhospital_tot__2[[#This Row],[Test per day]]</f>
        <v>2.8792017529207157</v>
      </c>
      <c r="R209" s="18">
        <f>inhospital_tot__2[[#This Row],[nuovi_positivi_alla_data]]*(1 + $T$28)</f>
        <v>4504.9963316196554</v>
      </c>
    </row>
    <row r="210" spans="1:18" x14ac:dyDescent="0.2">
      <c r="A210" s="6">
        <v>44092.708333333336</v>
      </c>
      <c r="B210">
        <v>2387</v>
      </c>
      <c r="C210">
        <v>208</v>
      </c>
      <c r="D210">
        <v>2595</v>
      </c>
      <c r="E210">
        <v>39862</v>
      </c>
      <c r="F210">
        <v>42457</v>
      </c>
      <c r="G210">
        <v>1907</v>
      </c>
      <c r="H210">
        <v>216807</v>
      </c>
      <c r="I210">
        <v>35668</v>
      </c>
      <c r="J210">
        <v>294932</v>
      </c>
      <c r="K210">
        <v>10246163</v>
      </c>
      <c r="L210">
        <f t="shared" si="21"/>
        <v>99839</v>
      </c>
      <c r="M210" s="1">
        <f t="shared" si="24"/>
        <v>294932</v>
      </c>
      <c r="N210" s="1">
        <f t="shared" si="22"/>
        <v>10</v>
      </c>
      <c r="O210" s="1">
        <f t="shared" si="23"/>
        <v>3.3906120732914704E-3</v>
      </c>
      <c r="P210" s="1">
        <f t="shared" si="25"/>
        <v>853</v>
      </c>
      <c r="Q210" s="1">
        <f>inhospital_tot__2[[#This Row],[infected_per_day]]/inhospital_tot__2[[#This Row],[Test per day]]</f>
        <v>2.9540760624605613</v>
      </c>
      <c r="R210" s="18">
        <f>inhospital_tot__2[[#This Row],[nuovi_positivi_alla_data]]*(1 + $T$28)</f>
        <v>5420.2069428382856</v>
      </c>
    </row>
    <row r="211" spans="1:18" x14ac:dyDescent="0.2">
      <c r="A211" s="6">
        <v>44093.708333333336</v>
      </c>
      <c r="B211">
        <v>2380</v>
      </c>
      <c r="C211">
        <v>215</v>
      </c>
      <c r="D211">
        <v>2595</v>
      </c>
      <c r="E211">
        <v>40566</v>
      </c>
      <c r="F211">
        <v>43161</v>
      </c>
      <c r="G211">
        <v>1638</v>
      </c>
      <c r="H211">
        <v>217716</v>
      </c>
      <c r="I211">
        <v>35692</v>
      </c>
      <c r="J211">
        <v>296569</v>
      </c>
      <c r="K211">
        <v>10349386</v>
      </c>
      <c r="L211">
        <f t="shared" si="21"/>
        <v>103223</v>
      </c>
      <c r="M211" s="1">
        <f t="shared" si="24"/>
        <v>296569</v>
      </c>
      <c r="N211" s="1">
        <f t="shared" si="22"/>
        <v>24</v>
      </c>
      <c r="O211" s="1">
        <f t="shared" si="23"/>
        <v>8.0925518176208563E-3</v>
      </c>
      <c r="P211" s="1">
        <f t="shared" si="25"/>
        <v>909</v>
      </c>
      <c r="Q211" s="1">
        <f>inhospital_tot__2[[#This Row],[infected_per_day]]/inhospital_tot__2[[#This Row],[Test per day]]</f>
        <v>2.8730902996425214</v>
      </c>
      <c r="R211" s="18">
        <f>inhospital_tot__2[[#This Row],[nuovi_positivi_alla_data]]*(1 + $T$28)</f>
        <v>4655.6365875034671</v>
      </c>
    </row>
    <row r="212" spans="1:18" x14ac:dyDescent="0.2">
      <c r="A212" s="6">
        <v>44094.708333333336</v>
      </c>
      <c r="B212">
        <v>2365</v>
      </c>
      <c r="C212">
        <v>222</v>
      </c>
      <c r="D212">
        <v>2587</v>
      </c>
      <c r="E212">
        <v>41511</v>
      </c>
      <c r="F212">
        <v>44098</v>
      </c>
      <c r="G212">
        <v>1587</v>
      </c>
      <c r="H212">
        <v>218351</v>
      </c>
      <c r="I212">
        <v>35707</v>
      </c>
      <c r="J212">
        <v>298156</v>
      </c>
      <c r="K212">
        <v>10432814</v>
      </c>
      <c r="L212">
        <f t="shared" si="21"/>
        <v>83428</v>
      </c>
      <c r="M212" s="1">
        <f t="shared" si="24"/>
        <v>298156</v>
      </c>
      <c r="N212" s="1">
        <f t="shared" si="22"/>
        <v>15</v>
      </c>
      <c r="O212" s="1">
        <f t="shared" si="23"/>
        <v>5.0309234092220179E-3</v>
      </c>
      <c r="P212" s="1">
        <f t="shared" si="25"/>
        <v>635</v>
      </c>
      <c r="Q212" s="1">
        <f>inhospital_tot__2[[#This Row],[infected_per_day]]/inhospital_tot__2[[#This Row],[Test per day]]</f>
        <v>3.5738121493982837</v>
      </c>
      <c r="R212" s="18">
        <f>inhospital_tot__2[[#This Row],[nuovi_positivi_alla_data]]*(1 + $T$28)</f>
        <v>4510.6808695775344</v>
      </c>
    </row>
    <row r="213" spans="1:18" x14ac:dyDescent="0.2">
      <c r="A213" s="6">
        <v>44095.708333333336</v>
      </c>
      <c r="B213">
        <v>2475</v>
      </c>
      <c r="C213">
        <v>232</v>
      </c>
      <c r="D213">
        <v>2707</v>
      </c>
      <c r="E213">
        <v>42372</v>
      </c>
      <c r="F213">
        <v>45079</v>
      </c>
      <c r="G213">
        <v>1350</v>
      </c>
      <c r="H213">
        <v>218703</v>
      </c>
      <c r="I213">
        <v>35724</v>
      </c>
      <c r="J213">
        <v>299506</v>
      </c>
      <c r="K213">
        <v>10488676</v>
      </c>
      <c r="L213">
        <f t="shared" si="21"/>
        <v>55862</v>
      </c>
      <c r="M213" s="1">
        <f t="shared" si="24"/>
        <v>299506</v>
      </c>
      <c r="N213" s="1">
        <f t="shared" si="22"/>
        <v>17</v>
      </c>
      <c r="O213" s="1">
        <f t="shared" si="23"/>
        <v>5.6760131683505511E-3</v>
      </c>
      <c r="P213" s="1">
        <f t="shared" si="25"/>
        <v>352</v>
      </c>
      <c r="Q213" s="1">
        <f>inhospital_tot__2[[#This Row],[infected_per_day]]/inhospital_tot__2[[#This Row],[Test per day]]</f>
        <v>5.3615337796713325</v>
      </c>
      <c r="R213" s="18">
        <f>inhospital_tot__2[[#This Row],[nuovi_positivi_alla_data]]*(1 + $T$28)</f>
        <v>3837.0631215687913</v>
      </c>
    </row>
    <row r="214" spans="1:18" x14ac:dyDescent="0.2">
      <c r="A214" s="6">
        <v>44096.708333333336</v>
      </c>
      <c r="B214">
        <v>2604</v>
      </c>
      <c r="C214">
        <v>239</v>
      </c>
      <c r="D214">
        <v>2843</v>
      </c>
      <c r="E214">
        <v>42646</v>
      </c>
      <c r="F214">
        <v>45489</v>
      </c>
      <c r="G214">
        <v>1392</v>
      </c>
      <c r="H214">
        <v>219670</v>
      </c>
      <c r="I214">
        <v>35738</v>
      </c>
      <c r="J214">
        <v>300897</v>
      </c>
      <c r="K214">
        <v>10575979</v>
      </c>
      <c r="L214">
        <f t="shared" si="21"/>
        <v>87303</v>
      </c>
      <c r="M214" s="1">
        <f t="shared" si="24"/>
        <v>300897</v>
      </c>
      <c r="N214" s="1">
        <f t="shared" si="22"/>
        <v>14</v>
      </c>
      <c r="O214" s="1">
        <f t="shared" si="23"/>
        <v>4.6527549294276783E-3</v>
      </c>
      <c r="P214" s="1">
        <f t="shared" si="25"/>
        <v>967</v>
      </c>
      <c r="Q214" s="1">
        <f>inhospital_tot__2[[#This Row],[infected_per_day]]/inhospital_tot__2[[#This Row],[Test per day]]</f>
        <v>3.4465825916635167</v>
      </c>
      <c r="R214" s="18">
        <f>inhospital_tot__2[[#This Row],[nuovi_positivi_alla_data]]*(1 + $T$28)</f>
        <v>3956.4384186842649</v>
      </c>
    </row>
    <row r="215" spans="1:18" x14ac:dyDescent="0.2">
      <c r="A215" s="6">
        <v>44097.708333333336</v>
      </c>
      <c r="B215">
        <v>2658</v>
      </c>
      <c r="C215">
        <v>244</v>
      </c>
      <c r="D215">
        <v>2902</v>
      </c>
      <c r="E215">
        <v>43212</v>
      </c>
      <c r="F215">
        <v>46114</v>
      </c>
      <c r="G215">
        <v>1640</v>
      </c>
      <c r="H215">
        <v>220665</v>
      </c>
      <c r="I215">
        <v>35758</v>
      </c>
      <c r="J215">
        <v>302537</v>
      </c>
      <c r="K215">
        <v>10679675</v>
      </c>
      <c r="L215">
        <f t="shared" si="21"/>
        <v>103696</v>
      </c>
      <c r="M215" s="1">
        <f t="shared" si="24"/>
        <v>302537</v>
      </c>
      <c r="N215" s="1">
        <f t="shared" si="22"/>
        <v>20</v>
      </c>
      <c r="O215" s="1">
        <f t="shared" si="23"/>
        <v>6.6107616589045305E-3</v>
      </c>
      <c r="P215" s="1">
        <f t="shared" si="25"/>
        <v>995</v>
      </c>
      <c r="Q215" s="1">
        <f>inhospital_tot__2[[#This Row],[infected_per_day]]/inhospital_tot__2[[#This Row],[Test per day]]</f>
        <v>2.9175378028082086</v>
      </c>
      <c r="R215" s="18">
        <f>inhospital_tot__2[[#This Row],[nuovi_positivi_alla_data]]*(1 + $T$28)</f>
        <v>4661.3211254613461</v>
      </c>
    </row>
    <row r="216" spans="1:18" x14ac:dyDescent="0.2">
      <c r="A216" s="6">
        <v>44098.708333333336</v>
      </c>
      <c r="B216">
        <v>2731</v>
      </c>
      <c r="C216">
        <v>246</v>
      </c>
      <c r="D216">
        <v>2977</v>
      </c>
      <c r="E216">
        <v>43803</v>
      </c>
      <c r="F216">
        <v>46780</v>
      </c>
      <c r="G216">
        <v>1786</v>
      </c>
      <c r="H216">
        <v>221762</v>
      </c>
      <c r="I216">
        <v>35781</v>
      </c>
      <c r="J216">
        <v>304323</v>
      </c>
      <c r="K216">
        <v>10787694</v>
      </c>
      <c r="L216">
        <f t="shared" si="21"/>
        <v>108019</v>
      </c>
      <c r="M216" s="1">
        <f t="shared" si="24"/>
        <v>304323</v>
      </c>
      <c r="N216" s="1">
        <f t="shared" si="22"/>
        <v>23</v>
      </c>
      <c r="O216" s="1">
        <f t="shared" si="23"/>
        <v>7.5577593543701927E-3</v>
      </c>
      <c r="P216" s="1">
        <f t="shared" si="25"/>
        <v>1097</v>
      </c>
      <c r="Q216" s="1">
        <f>inhospital_tot__2[[#This Row],[infected_per_day]]/inhospital_tot__2[[#This Row],[Test per day]]</f>
        <v>2.8173099176996641</v>
      </c>
      <c r="R216" s="18">
        <f>inhospital_tot__2[[#This Row],[nuovi_positivi_alla_data]]*(1 + $T$28)</f>
        <v>5076.2923963865642</v>
      </c>
    </row>
    <row r="217" spans="1:18" x14ac:dyDescent="0.2">
      <c r="A217" s="6">
        <v>44099.708333333336</v>
      </c>
      <c r="B217">
        <v>2737</v>
      </c>
      <c r="C217">
        <v>244</v>
      </c>
      <c r="D217">
        <v>2981</v>
      </c>
      <c r="E217">
        <v>44737</v>
      </c>
      <c r="F217">
        <v>47718</v>
      </c>
      <c r="G217">
        <v>1912</v>
      </c>
      <c r="H217">
        <v>222716</v>
      </c>
      <c r="I217">
        <v>35801</v>
      </c>
      <c r="J217">
        <v>306235</v>
      </c>
      <c r="K217">
        <v>10894963</v>
      </c>
      <c r="L217">
        <f t="shared" si="21"/>
        <v>107269</v>
      </c>
      <c r="M217" s="1">
        <f t="shared" si="24"/>
        <v>306235</v>
      </c>
      <c r="N217" s="1">
        <f t="shared" si="22"/>
        <v>20</v>
      </c>
      <c r="O217" s="1">
        <f t="shared" si="23"/>
        <v>6.5309321272878666E-3</v>
      </c>
      <c r="P217" s="1">
        <f t="shared" si="25"/>
        <v>954</v>
      </c>
      <c r="Q217" s="1">
        <f>inhospital_tot__2[[#This Row],[infected_per_day]]/inhospital_tot__2[[#This Row],[Test per day]]</f>
        <v>2.8548322441711957</v>
      </c>
      <c r="R217" s="18">
        <f>inhospital_tot__2[[#This Row],[nuovi_positivi_alla_data]]*(1 + $T$28)</f>
        <v>5434.418287732984</v>
      </c>
    </row>
    <row r="218" spans="1:18" x14ac:dyDescent="0.2">
      <c r="A218" s="6">
        <v>44100.708333333336</v>
      </c>
      <c r="B218">
        <v>2746</v>
      </c>
      <c r="C218">
        <v>247</v>
      </c>
      <c r="D218">
        <v>2993</v>
      </c>
      <c r="E218">
        <v>45600</v>
      </c>
      <c r="F218">
        <v>48593</v>
      </c>
      <c r="G218">
        <v>1869</v>
      </c>
      <c r="H218">
        <v>223693</v>
      </c>
      <c r="I218">
        <v>35818</v>
      </c>
      <c r="J218">
        <v>308104</v>
      </c>
      <c r="K218">
        <v>10999350</v>
      </c>
      <c r="L218">
        <f t="shared" si="21"/>
        <v>104387</v>
      </c>
      <c r="M218" s="1">
        <f t="shared" si="24"/>
        <v>308104</v>
      </c>
      <c r="N218" s="1">
        <f t="shared" si="22"/>
        <v>17</v>
      </c>
      <c r="O218" s="1">
        <f t="shared" si="23"/>
        <v>5.5176174278814948E-3</v>
      </c>
      <c r="P218" s="1">
        <f t="shared" si="25"/>
        <v>977</v>
      </c>
      <c r="Q218" s="1">
        <f>inhospital_tot__2[[#This Row],[infected_per_day]]/inhospital_tot__2[[#This Row],[Test per day]]</f>
        <v>2.9515552702922778</v>
      </c>
      <c r="R218" s="18">
        <f>inhospital_tot__2[[#This Row],[nuovi_positivi_alla_data]]*(1 + $T$28)</f>
        <v>5312.2007216385709</v>
      </c>
    </row>
    <row r="219" spans="1:18" x14ac:dyDescent="0.2">
      <c r="A219" s="6">
        <v>44101.708333333336</v>
      </c>
      <c r="B219">
        <v>2846</v>
      </c>
      <c r="C219">
        <v>254</v>
      </c>
      <c r="D219">
        <v>3100</v>
      </c>
      <c r="E219">
        <v>46518</v>
      </c>
      <c r="F219">
        <v>49618</v>
      </c>
      <c r="G219">
        <v>1766</v>
      </c>
      <c r="H219">
        <v>224417</v>
      </c>
      <c r="I219">
        <v>35835</v>
      </c>
      <c r="J219">
        <v>309870</v>
      </c>
      <c r="K219">
        <v>11087064</v>
      </c>
      <c r="L219">
        <f t="shared" si="21"/>
        <v>87714</v>
      </c>
      <c r="M219" s="1">
        <f t="shared" si="24"/>
        <v>309870</v>
      </c>
      <c r="N219" s="1">
        <f t="shared" si="22"/>
        <v>17</v>
      </c>
      <c r="O219" s="1">
        <f t="shared" si="23"/>
        <v>5.4861716203569236E-3</v>
      </c>
      <c r="P219" s="1">
        <f t="shared" si="25"/>
        <v>724</v>
      </c>
      <c r="Q219" s="1">
        <f>inhospital_tot__2[[#This Row],[infected_per_day]]/inhospital_tot__2[[#This Row],[Test per day]]</f>
        <v>3.5327313769751694</v>
      </c>
      <c r="R219" s="18">
        <f>inhospital_tot__2[[#This Row],[nuovi_positivi_alla_data]]*(1 + $T$28)</f>
        <v>5019.4470168077669</v>
      </c>
    </row>
    <row r="220" spans="1:18" x14ac:dyDescent="0.2">
      <c r="A220" s="6">
        <v>44102.708333333336</v>
      </c>
      <c r="B220">
        <v>2977</v>
      </c>
      <c r="C220">
        <v>264</v>
      </c>
      <c r="D220">
        <v>3241</v>
      </c>
      <c r="E220">
        <v>47082</v>
      </c>
      <c r="F220">
        <v>50323</v>
      </c>
      <c r="G220">
        <v>1494</v>
      </c>
      <c r="H220">
        <v>225190</v>
      </c>
      <c r="I220">
        <v>35851</v>
      </c>
      <c r="J220">
        <v>311364</v>
      </c>
      <c r="K220">
        <v>11138173</v>
      </c>
      <c r="L220">
        <f t="shared" ref="L220:L232" si="26">K220-K219</f>
        <v>51109</v>
      </c>
      <c r="M220" s="1">
        <f t="shared" si="24"/>
        <v>311364</v>
      </c>
      <c r="N220" s="1">
        <f t="shared" si="22"/>
        <v>16</v>
      </c>
      <c r="O220" s="1">
        <f t="shared" si="23"/>
        <v>5.1386801300086068E-3</v>
      </c>
      <c r="P220" s="1">
        <f t="shared" si="25"/>
        <v>773</v>
      </c>
      <c r="Q220" s="1">
        <f>inhospital_tot__2[[#This Row],[infected_per_day]]/inhospital_tot__2[[#This Row],[Test per day]]</f>
        <v>6.0921559803557104</v>
      </c>
      <c r="R220" s="18">
        <f>inhospital_tot__2[[#This Row],[nuovi_positivi_alla_data]]*(1 + $T$28)</f>
        <v>4246.349854536129</v>
      </c>
    </row>
    <row r="221" spans="1:18" x14ac:dyDescent="0.2">
      <c r="A221" s="6">
        <v>44103.708333333336</v>
      </c>
      <c r="B221">
        <v>3048</v>
      </c>
      <c r="C221">
        <v>271</v>
      </c>
      <c r="D221">
        <v>3319</v>
      </c>
      <c r="E221">
        <v>47311</v>
      </c>
      <c r="F221">
        <v>50630</v>
      </c>
      <c r="G221">
        <v>1648</v>
      </c>
      <c r="H221">
        <v>226506</v>
      </c>
      <c r="I221">
        <v>35875</v>
      </c>
      <c r="J221">
        <v>313011</v>
      </c>
      <c r="K221">
        <v>11228358</v>
      </c>
      <c r="L221">
        <f t="shared" si="26"/>
        <v>90185</v>
      </c>
      <c r="M221" s="1">
        <f t="shared" si="24"/>
        <v>313011</v>
      </c>
      <c r="N221" s="1">
        <f t="shared" si="22"/>
        <v>24</v>
      </c>
      <c r="O221" s="1">
        <f t="shared" si="23"/>
        <v>7.6674621658663743E-3</v>
      </c>
      <c r="P221" s="1">
        <f t="shared" si="25"/>
        <v>1316</v>
      </c>
      <c r="Q221" s="1">
        <f>inhospital_tot__2[[#This Row],[infected_per_day]]/inhospital_tot__2[[#This Row],[Test per day]]</f>
        <v>3.4707656483894218</v>
      </c>
      <c r="R221" s="18">
        <f>inhospital_tot__2[[#This Row],[nuovi_positivi_alla_data]]*(1 + $T$28)</f>
        <v>4684.0592772928649</v>
      </c>
    </row>
    <row r="222" spans="1:18" x14ac:dyDescent="0.2">
      <c r="A222" s="6">
        <v>44104.708333333336</v>
      </c>
      <c r="B222">
        <v>3047</v>
      </c>
      <c r="C222">
        <v>280</v>
      </c>
      <c r="D222">
        <v>3327</v>
      </c>
      <c r="E222">
        <v>47936</v>
      </c>
      <c r="F222">
        <v>51263</v>
      </c>
      <c r="G222">
        <v>1851</v>
      </c>
      <c r="H222">
        <v>227704</v>
      </c>
      <c r="I222">
        <v>35894</v>
      </c>
      <c r="J222">
        <v>314861</v>
      </c>
      <c r="K222">
        <v>11333922</v>
      </c>
      <c r="L222">
        <f t="shared" si="26"/>
        <v>105564</v>
      </c>
      <c r="M222" s="1">
        <f t="shared" si="24"/>
        <v>314861</v>
      </c>
      <c r="N222" s="1">
        <f t="shared" si="22"/>
        <v>19</v>
      </c>
      <c r="O222" s="1">
        <f t="shared" si="23"/>
        <v>6.0344088343745337E-3</v>
      </c>
      <c r="P222" s="1">
        <f t="shared" si="25"/>
        <v>1198</v>
      </c>
      <c r="Q222" s="1">
        <f>inhospital_tot__2[[#This Row],[infected_per_day]]/inhospital_tot__2[[#This Row],[Test per day]]</f>
        <v>2.982655071804782</v>
      </c>
      <c r="R222" s="18">
        <f>inhospital_tot__2[[#This Row],[nuovi_positivi_alla_data]]*(1 + $T$28)</f>
        <v>5261.0398800176536</v>
      </c>
    </row>
    <row r="223" spans="1:18" x14ac:dyDescent="0.2">
      <c r="A223" s="6">
        <v>44105.708333333336</v>
      </c>
      <c r="B223">
        <v>3097</v>
      </c>
      <c r="C223">
        <v>291</v>
      </c>
      <c r="D223">
        <v>3388</v>
      </c>
      <c r="E223">
        <v>49259</v>
      </c>
      <c r="F223">
        <v>52647</v>
      </c>
      <c r="G223">
        <v>2548</v>
      </c>
      <c r="H223">
        <v>228844</v>
      </c>
      <c r="I223">
        <v>35918</v>
      </c>
      <c r="J223">
        <v>317409</v>
      </c>
      <c r="K223">
        <v>11452158</v>
      </c>
      <c r="L223">
        <f t="shared" si="26"/>
        <v>118236</v>
      </c>
      <c r="M223" s="1">
        <f t="shared" si="24"/>
        <v>317409</v>
      </c>
      <c r="N223" s="1">
        <f t="shared" si="22"/>
        <v>24</v>
      </c>
      <c r="O223" s="1">
        <f t="shared" si="23"/>
        <v>7.5612222715802013E-3</v>
      </c>
      <c r="P223" s="1">
        <f t="shared" si="25"/>
        <v>1140</v>
      </c>
      <c r="Q223" s="1">
        <f>inhospital_tot__2[[#This Row],[infected_per_day]]/inhospital_tot__2[[#This Row],[Test per day]]</f>
        <v>2.684537704252512</v>
      </c>
      <c r="R223" s="18">
        <f>inhospital_tot__2[[#This Row],[nuovi_positivi_alla_data]]*(1 + $T$28)</f>
        <v>7242.1013583387257</v>
      </c>
    </row>
    <row r="224" spans="1:18" x14ac:dyDescent="0.2">
      <c r="A224" s="6">
        <v>44106.708333333336</v>
      </c>
      <c r="B224">
        <v>3142</v>
      </c>
      <c r="C224">
        <v>294</v>
      </c>
      <c r="D224">
        <v>3436</v>
      </c>
      <c r="E224">
        <v>50561</v>
      </c>
      <c r="F224">
        <v>53997</v>
      </c>
      <c r="G224">
        <v>2499</v>
      </c>
      <c r="H224">
        <v>229970</v>
      </c>
      <c r="I224">
        <v>35941</v>
      </c>
      <c r="J224">
        <v>319908</v>
      </c>
      <c r="K224">
        <v>11572459</v>
      </c>
      <c r="L224">
        <f t="shared" si="26"/>
        <v>120301</v>
      </c>
      <c r="M224" s="1">
        <f t="shared" si="24"/>
        <v>319908</v>
      </c>
      <c r="N224" s="1">
        <f t="shared" si="22"/>
        <v>23</v>
      </c>
      <c r="O224" s="1">
        <f t="shared" si="23"/>
        <v>7.1895670005126472E-3</v>
      </c>
      <c r="P224" s="1">
        <f t="shared" si="25"/>
        <v>1126</v>
      </c>
      <c r="Q224" s="1">
        <f>inhospital_tot__2[[#This Row],[infected_per_day]]/inhospital_tot__2[[#This Row],[Test per day]]</f>
        <v>2.6592297653386088</v>
      </c>
      <c r="R224" s="18">
        <f>inhospital_tot__2[[#This Row],[nuovi_positivi_alla_data]]*(1 + $T$28)</f>
        <v>7102.8301783706738</v>
      </c>
    </row>
    <row r="225" spans="1:18" x14ac:dyDescent="0.2">
      <c r="A225" s="6">
        <v>44107.708333333336</v>
      </c>
      <c r="B225">
        <v>3205</v>
      </c>
      <c r="C225">
        <v>297</v>
      </c>
      <c r="D225">
        <v>3502</v>
      </c>
      <c r="E225">
        <v>52064</v>
      </c>
      <c r="F225">
        <v>55566</v>
      </c>
      <c r="G225">
        <v>2844</v>
      </c>
      <c r="H225">
        <v>231217</v>
      </c>
      <c r="I225">
        <v>35968</v>
      </c>
      <c r="J225">
        <v>322751</v>
      </c>
      <c r="K225">
        <v>11691391</v>
      </c>
      <c r="L225">
        <f t="shared" si="26"/>
        <v>118932</v>
      </c>
      <c r="M225" s="1">
        <f t="shared" si="24"/>
        <v>322751</v>
      </c>
      <c r="N225" s="1">
        <f t="shared" si="22"/>
        <v>27</v>
      </c>
      <c r="O225" s="1">
        <f t="shared" si="23"/>
        <v>8.3655821360739385E-3</v>
      </c>
      <c r="P225" s="1">
        <f t="shared" si="25"/>
        <v>1247</v>
      </c>
      <c r="Q225" s="1">
        <f>inhospital_tot__2[[#This Row],[infected_per_day]]/inhospital_tot__2[[#This Row],[Test per day]]</f>
        <v>2.7137439881613021</v>
      </c>
      <c r="R225" s="18">
        <f>inhospital_tot__2[[#This Row],[nuovi_positivi_alla_data]]*(1 + $T$28)</f>
        <v>8083.4129761049207</v>
      </c>
    </row>
    <row r="226" spans="1:18" x14ac:dyDescent="0.2">
      <c r="A226" s="6">
        <v>44108.708333333336</v>
      </c>
      <c r="B226">
        <v>3287</v>
      </c>
      <c r="C226">
        <v>303</v>
      </c>
      <c r="D226">
        <v>3590</v>
      </c>
      <c r="E226">
        <v>53839</v>
      </c>
      <c r="F226">
        <v>57429</v>
      </c>
      <c r="G226">
        <v>2578</v>
      </c>
      <c r="H226">
        <v>231914</v>
      </c>
      <c r="I226">
        <v>35986</v>
      </c>
      <c r="J226">
        <v>325329</v>
      </c>
      <c r="K226">
        <v>11784105</v>
      </c>
      <c r="L226">
        <f t="shared" si="26"/>
        <v>92714</v>
      </c>
      <c r="M226" s="1">
        <f t="shared" si="24"/>
        <v>325329</v>
      </c>
      <c r="N226" s="1">
        <f t="shared" si="22"/>
        <v>18</v>
      </c>
      <c r="O226" s="1">
        <f t="shared" si="23"/>
        <v>5.5328605811347893E-3</v>
      </c>
      <c r="P226" s="1">
        <f t="shared" si="25"/>
        <v>697</v>
      </c>
      <c r="Q226" s="1">
        <f>inhospital_tot__2[[#This Row],[infected_per_day]]/inhospital_tot__2[[#This Row],[Test per day]]</f>
        <v>3.5089522617943354</v>
      </c>
      <c r="R226" s="18">
        <f>inhospital_tot__2[[#This Row],[nuovi_positivi_alla_data]]*(1 + $T$28)</f>
        <v>7327.3694277069217</v>
      </c>
    </row>
    <row r="227" spans="1:18" x14ac:dyDescent="0.2">
      <c r="A227" s="6">
        <v>44109.708333333336</v>
      </c>
      <c r="B227">
        <v>3487</v>
      </c>
      <c r="C227">
        <v>323</v>
      </c>
      <c r="D227">
        <v>3810</v>
      </c>
      <c r="E227">
        <v>55093</v>
      </c>
      <c r="F227">
        <v>58903</v>
      </c>
      <c r="G227">
        <v>2257</v>
      </c>
      <c r="H227">
        <v>232681</v>
      </c>
      <c r="I227">
        <v>36002</v>
      </c>
      <c r="J227">
        <v>327586</v>
      </c>
      <c r="K227">
        <v>11844346</v>
      </c>
      <c r="L227">
        <f t="shared" si="26"/>
        <v>60241</v>
      </c>
      <c r="M227" s="1">
        <f t="shared" si="24"/>
        <v>327586</v>
      </c>
      <c r="N227" s="1">
        <f t="shared" si="22"/>
        <v>16</v>
      </c>
      <c r="O227" s="1">
        <f t="shared" si="23"/>
        <v>4.8842136110822804E-3</v>
      </c>
      <c r="P227" s="1">
        <f t="shared" si="25"/>
        <v>767</v>
      </c>
      <c r="Q227" s="1">
        <f>inhospital_tot__2[[#This Row],[infected_per_day]]/inhospital_tot__2[[#This Row],[Test per day]]</f>
        <v>5.4379243372453976</v>
      </c>
      <c r="R227" s="18">
        <f>inhospital_tot__2[[#This Row],[nuovi_positivi_alla_data]]*(1 + $T$28)</f>
        <v>6415.001085467231</v>
      </c>
    </row>
    <row r="228" spans="1:18" x14ac:dyDescent="0.2">
      <c r="A228" s="6">
        <v>44110.708333333336</v>
      </c>
      <c r="B228">
        <v>3625</v>
      </c>
      <c r="C228">
        <v>319</v>
      </c>
      <c r="D228">
        <v>3944</v>
      </c>
      <c r="E228">
        <v>56190</v>
      </c>
      <c r="F228">
        <v>60134</v>
      </c>
      <c r="G228">
        <v>2677</v>
      </c>
      <c r="H228">
        <v>234099</v>
      </c>
      <c r="I228">
        <v>36030</v>
      </c>
      <c r="J228">
        <v>330263</v>
      </c>
      <c r="K228">
        <v>11944088</v>
      </c>
      <c r="L228">
        <f t="shared" si="26"/>
        <v>99742</v>
      </c>
      <c r="M228" s="1">
        <f t="shared" si="24"/>
        <v>330263</v>
      </c>
      <c r="N228" s="1">
        <f t="shared" si="22"/>
        <v>28</v>
      </c>
      <c r="O228" s="1">
        <f t="shared" si="23"/>
        <v>8.4780917026733241E-3</v>
      </c>
      <c r="P228" s="1">
        <f t="shared" si="25"/>
        <v>1418</v>
      </c>
      <c r="Q228" s="1">
        <f>inhospital_tot__2[[#This Row],[infected_per_day]]/inhospital_tot__2[[#This Row],[Test per day]]</f>
        <v>3.3111728258907984</v>
      </c>
      <c r="R228" s="18">
        <f>inhospital_tot__2[[#This Row],[nuovi_positivi_alla_data]]*(1 + $T$28)</f>
        <v>7608.7540566219659</v>
      </c>
    </row>
    <row r="229" spans="1:18" x14ac:dyDescent="0.2">
      <c r="A229" s="6">
        <v>44111.708333333336</v>
      </c>
      <c r="B229">
        <v>3782</v>
      </c>
      <c r="C229">
        <v>337</v>
      </c>
      <c r="D229">
        <v>4119</v>
      </c>
      <c r="E229">
        <v>58457</v>
      </c>
      <c r="F229">
        <v>62576</v>
      </c>
      <c r="G229">
        <v>3678</v>
      </c>
      <c r="H229">
        <v>235303</v>
      </c>
      <c r="I229">
        <v>36061</v>
      </c>
      <c r="J229">
        <v>333940</v>
      </c>
      <c r="K229">
        <v>12069402</v>
      </c>
      <c r="L229">
        <f t="shared" si="26"/>
        <v>125314</v>
      </c>
      <c r="M229" s="1">
        <f t="shared" si="24"/>
        <v>333940</v>
      </c>
      <c r="N229" s="1">
        <f t="shared" si="22"/>
        <v>31</v>
      </c>
      <c r="O229" s="1">
        <f t="shared" si="23"/>
        <v>9.2831047493561712E-3</v>
      </c>
      <c r="P229" s="1">
        <f t="shared" si="25"/>
        <v>1204</v>
      </c>
      <c r="Q229" s="1">
        <f>inhospital_tot__2[[#This Row],[infected_per_day]]/inhospital_tot__2[[#This Row],[Test per day]]</f>
        <v>2.6648259571955251</v>
      </c>
      <c r="R229" s="18">
        <f>inhospital_tot__2[[#This Row],[nuovi_positivi_alla_data]]*(1 + $T$28)</f>
        <v>10453.865304540752</v>
      </c>
    </row>
    <row r="230" spans="1:18" x14ac:dyDescent="0.2">
      <c r="A230" s="6">
        <v>44112.708333333336</v>
      </c>
      <c r="B230">
        <v>3925</v>
      </c>
      <c r="C230">
        <v>358</v>
      </c>
      <c r="D230">
        <v>4283</v>
      </c>
      <c r="E230">
        <v>61669</v>
      </c>
      <c r="F230">
        <v>65952</v>
      </c>
      <c r="G230">
        <v>4458</v>
      </c>
      <c r="H230">
        <v>236363</v>
      </c>
      <c r="I230">
        <v>36083</v>
      </c>
      <c r="J230">
        <v>338398</v>
      </c>
      <c r="K230">
        <v>12197500</v>
      </c>
      <c r="L230">
        <f t="shared" si="26"/>
        <v>128098</v>
      </c>
      <c r="M230" s="1">
        <f t="shared" si="24"/>
        <v>338398</v>
      </c>
      <c r="N230" s="1">
        <f t="shared" si="22"/>
        <v>22</v>
      </c>
      <c r="O230" s="1">
        <f t="shared" si="23"/>
        <v>6.501220456385676E-3</v>
      </c>
      <c r="P230" s="1">
        <f t="shared" si="25"/>
        <v>1060</v>
      </c>
      <c r="Q230" s="1">
        <f>inhospital_tot__2[[#This Row],[infected_per_day]]/inhospital_tot__2[[#This Row],[Test per day]]</f>
        <v>2.6417118143921061</v>
      </c>
      <c r="R230" s="18">
        <f>inhospital_tot__2[[#This Row],[nuovi_positivi_alla_data]]*(1 + $T$28)</f>
        <v>12670.835108113832</v>
      </c>
    </row>
    <row r="231" spans="1:18" x14ac:dyDescent="0.2">
      <c r="A231" s="6">
        <v>44113.708333333336</v>
      </c>
      <c r="B231">
        <v>4086</v>
      </c>
      <c r="C231">
        <v>387</v>
      </c>
      <c r="D231">
        <v>4473</v>
      </c>
      <c r="E231">
        <v>65637</v>
      </c>
      <c r="F231">
        <v>70110</v>
      </c>
      <c r="G231">
        <v>5372</v>
      </c>
      <c r="H231">
        <v>237549</v>
      </c>
      <c r="I231">
        <v>36111</v>
      </c>
      <c r="J231">
        <v>343770</v>
      </c>
      <c r="K231">
        <v>12326971</v>
      </c>
      <c r="L231">
        <f t="shared" si="26"/>
        <v>129471</v>
      </c>
      <c r="M231" s="1">
        <f t="shared" si="24"/>
        <v>343770</v>
      </c>
      <c r="N231" s="1">
        <f t="shared" si="22"/>
        <v>28</v>
      </c>
      <c r="O231" s="1">
        <f t="shared" si="23"/>
        <v>8.1449806556709425E-3</v>
      </c>
      <c r="P231" s="1">
        <f t="shared" si="25"/>
        <v>1186</v>
      </c>
      <c r="Q231" s="1">
        <f>inhospital_tot__2[[#This Row],[infected_per_day]]/inhospital_tot__2[[#This Row],[Test per day]]</f>
        <v>2.6551891929466831</v>
      </c>
      <c r="R231" s="18">
        <f>inhospital_tot__2[[#This Row],[nuovi_positivi_alla_data]]*(1 + $T$28)</f>
        <v>15268.66895486485</v>
      </c>
    </row>
    <row r="232" spans="1:18" x14ac:dyDescent="0.2">
      <c r="A232" s="6">
        <v>44114.708333333336</v>
      </c>
      <c r="B232">
        <v>4336</v>
      </c>
      <c r="C232">
        <v>390</v>
      </c>
      <c r="D232">
        <v>4726</v>
      </c>
      <c r="E232">
        <v>70103</v>
      </c>
      <c r="F232">
        <v>74829</v>
      </c>
      <c r="G232">
        <v>5724</v>
      </c>
      <c r="H232">
        <v>238525</v>
      </c>
      <c r="I232">
        <v>36140</v>
      </c>
      <c r="J232">
        <v>349494</v>
      </c>
      <c r="K232">
        <v>12460055</v>
      </c>
      <c r="L232">
        <f t="shared" si="26"/>
        <v>133084</v>
      </c>
      <c r="M232" s="1">
        <f t="shared" si="24"/>
        <v>349494</v>
      </c>
      <c r="N232" s="1">
        <f t="shared" si="22"/>
        <v>29</v>
      </c>
      <c r="O232" s="1">
        <f t="shared" si="23"/>
        <v>8.2977104041843351E-3</v>
      </c>
      <c r="P232" s="1">
        <f t="shared" si="25"/>
        <v>976</v>
      </c>
      <c r="Q232" s="1">
        <f>inhospital_tot__2[[#This Row],[infected_per_day]]/inhospital_tot__2[[#This Row],[Test per day]]</f>
        <v>2.6261158366144692</v>
      </c>
      <c r="R232" s="18">
        <f>inhospital_tot__2[[#This Row],[nuovi_positivi_alla_data]]*(1 + $T$28)</f>
        <v>16269.147635451674</v>
      </c>
    </row>
    <row r="233" spans="1:18" x14ac:dyDescent="0.2">
      <c r="A233" s="6">
        <v>44115.708333333336</v>
      </c>
      <c r="B233">
        <v>4519</v>
      </c>
      <c r="C233">
        <v>420</v>
      </c>
      <c r="D233">
        <v>4939</v>
      </c>
      <c r="E233">
        <v>74136</v>
      </c>
      <c r="F233">
        <v>79075</v>
      </c>
      <c r="G233">
        <v>5456</v>
      </c>
      <c r="H233">
        <v>239709</v>
      </c>
      <c r="I233">
        <v>36166</v>
      </c>
      <c r="J233">
        <v>354950</v>
      </c>
      <c r="K233">
        <v>12564713</v>
      </c>
      <c r="L233">
        <f t="shared" ref="L233" si="27">K233-K232</f>
        <v>104658</v>
      </c>
      <c r="M233" s="1">
        <f t="shared" si="24"/>
        <v>354950</v>
      </c>
      <c r="N233" s="1">
        <f t="shared" ref="N233" si="28">I233-I232</f>
        <v>26</v>
      </c>
      <c r="O233" s="1">
        <f t="shared" ref="O233" si="29">(N233/J233)*100</f>
        <v>7.3249753486406529E-3</v>
      </c>
      <c r="P233" s="1">
        <f t="shared" si="25"/>
        <v>1184</v>
      </c>
      <c r="Q233" s="1">
        <f>inhospital_tot__2[[#This Row],[infected_per_day]]/inhospital_tot__2[[#This Row],[Test per day]]</f>
        <v>3.3915228649506011</v>
      </c>
      <c r="R233" s="18">
        <f>inhospital_tot__2[[#This Row],[nuovi_positivi_alla_data]]*(1 + $T$28)</f>
        <v>15507.419549095797</v>
      </c>
    </row>
    <row r="234" spans="1:18" x14ac:dyDescent="0.2">
      <c r="A234" s="6">
        <v>44116.708333333336</v>
      </c>
      <c r="B234">
        <v>4821</v>
      </c>
      <c r="C234">
        <v>452</v>
      </c>
      <c r="D234">
        <v>5273</v>
      </c>
      <c r="E234">
        <v>77491</v>
      </c>
      <c r="F234">
        <v>82764</v>
      </c>
      <c r="G234">
        <v>4619</v>
      </c>
      <c r="H234">
        <v>240600</v>
      </c>
      <c r="I234">
        <v>36205</v>
      </c>
      <c r="J234">
        <v>359569</v>
      </c>
      <c r="K234">
        <v>12650155</v>
      </c>
      <c r="L234">
        <f t="shared" ref="L234:L238" si="30">K234-K233</f>
        <v>85442</v>
      </c>
      <c r="M234" s="1">
        <f t="shared" ref="M234:M238" si="31">J234</f>
        <v>359569</v>
      </c>
      <c r="N234" s="1">
        <f t="shared" ref="N234:N238" si="32">I234-I233</f>
        <v>39</v>
      </c>
      <c r="O234" s="1">
        <f t="shared" ref="O234:O238" si="33">(N234/J234)*100</f>
        <v>1.0846318787214693E-2</v>
      </c>
      <c r="P234" s="1">
        <f t="shared" ref="P234:P238" si="34">H234-H233</f>
        <v>891</v>
      </c>
      <c r="Q234" s="1">
        <f>inhospital_tot__2[[#This Row],[infected_per_day]]/inhospital_tot__2[[#This Row],[Test per day]]</f>
        <v>4.2083401605767659</v>
      </c>
      <c r="R234" s="18">
        <f>inhospital_tot__2[[#This Row],[nuovi_positivi_alla_data]]*(1 + $T$28)</f>
        <v>13128.440413723147</v>
      </c>
    </row>
    <row r="235" spans="1:18" x14ac:dyDescent="0.2">
      <c r="A235" s="6">
        <v>44117.708333333336</v>
      </c>
      <c r="B235">
        <v>5076</v>
      </c>
      <c r="C235">
        <v>514</v>
      </c>
      <c r="D235">
        <v>5590</v>
      </c>
      <c r="E235">
        <v>81603</v>
      </c>
      <c r="F235">
        <v>87193</v>
      </c>
      <c r="G235">
        <v>5901</v>
      </c>
      <c r="H235">
        <v>242028</v>
      </c>
      <c r="I235">
        <v>36246</v>
      </c>
      <c r="J235">
        <v>365467</v>
      </c>
      <c r="K235">
        <v>12762699</v>
      </c>
      <c r="L235">
        <f t="shared" si="30"/>
        <v>112544</v>
      </c>
      <c r="M235" s="1">
        <f t="shared" si="31"/>
        <v>365467</v>
      </c>
      <c r="N235" s="1">
        <f t="shared" si="32"/>
        <v>41</v>
      </c>
      <c r="O235" s="1">
        <f t="shared" si="33"/>
        <v>1.1218523149832954E-2</v>
      </c>
      <c r="P235" s="1">
        <f t="shared" si="34"/>
        <v>1428</v>
      </c>
      <c r="Q235" s="1">
        <f>inhospital_tot__2[[#This Row],[infected_per_day]]/inhospital_tot__2[[#This Row],[Test per day]]</f>
        <v>3.2473254904748363</v>
      </c>
      <c r="R235" s="18">
        <f>inhospital_tot__2[[#This Row],[nuovi_positivi_alla_data]]*(1 + $T$28)</f>
        <v>16772.229244724029</v>
      </c>
    </row>
    <row r="236" spans="1:18" x14ac:dyDescent="0.2">
      <c r="A236" s="6">
        <v>44118.708333333336</v>
      </c>
      <c r="B236">
        <v>5470</v>
      </c>
      <c r="C236">
        <v>539</v>
      </c>
      <c r="D236">
        <v>6009</v>
      </c>
      <c r="E236">
        <v>86436</v>
      </c>
      <c r="F236">
        <v>92445</v>
      </c>
      <c r="G236">
        <v>7332</v>
      </c>
      <c r="H236">
        <v>244065</v>
      </c>
      <c r="I236">
        <v>36289</v>
      </c>
      <c r="J236">
        <v>372799</v>
      </c>
      <c r="K236">
        <v>12914895</v>
      </c>
      <c r="L236">
        <f t="shared" si="30"/>
        <v>152196</v>
      </c>
      <c r="M236" s="1">
        <f t="shared" si="31"/>
        <v>372799</v>
      </c>
      <c r="N236" s="1">
        <f t="shared" si="32"/>
        <v>43</v>
      </c>
      <c r="O236" s="1">
        <f t="shared" si="33"/>
        <v>1.1534365703770665E-2</v>
      </c>
      <c r="P236" s="1">
        <f t="shared" si="34"/>
        <v>2037</v>
      </c>
      <c r="Q236" s="1">
        <f>inhospital_tot__2[[#This Row],[infected_per_day]]/inhospital_tot__2[[#This Row],[Test per day]]</f>
        <v>2.4494664774369892</v>
      </c>
      <c r="R236" s="18">
        <f>inhospital_tot__2[[#This Row],[nuovi_positivi_alla_data]]*(1 + $T$28)</f>
        <v>20839.516153586948</v>
      </c>
    </row>
    <row r="237" spans="1:18" x14ac:dyDescent="0.2">
      <c r="A237" s="6">
        <v>44119.708333333336</v>
      </c>
      <c r="B237">
        <v>5796</v>
      </c>
      <c r="C237">
        <v>586</v>
      </c>
      <c r="D237">
        <v>6382</v>
      </c>
      <c r="E237">
        <v>92884</v>
      </c>
      <c r="F237">
        <v>99266</v>
      </c>
      <c r="G237">
        <v>8804</v>
      </c>
      <c r="H237">
        <v>245964</v>
      </c>
      <c r="I237">
        <v>36372</v>
      </c>
      <c r="J237">
        <v>381602</v>
      </c>
      <c r="K237">
        <v>13077827</v>
      </c>
      <c r="L237">
        <f t="shared" si="30"/>
        <v>162932</v>
      </c>
      <c r="M237" s="1">
        <f t="shared" si="31"/>
        <v>381602</v>
      </c>
      <c r="N237" s="1">
        <f t="shared" si="32"/>
        <v>83</v>
      </c>
      <c r="O237" s="1">
        <f t="shared" si="33"/>
        <v>2.1750410113154543E-2</v>
      </c>
      <c r="P237" s="1">
        <f t="shared" si="34"/>
        <v>1899</v>
      </c>
      <c r="Q237" s="1">
        <f>inhospital_tot__2[[#This Row],[infected_per_day]]/inhospital_tot__2[[#This Row],[Test per day]]</f>
        <v>2.3420936341541259</v>
      </c>
      <c r="R237" s="18">
        <f>inhospital_tot__2[[#This Row],[nuovi_positivi_alla_data]]*(1 + $T$28)</f>
        <v>25023.336090586399</v>
      </c>
    </row>
    <row r="238" spans="1:18" x14ac:dyDescent="0.2">
      <c r="A238" s="6">
        <v>44120.708333333336</v>
      </c>
      <c r="B238">
        <v>6178</v>
      </c>
      <c r="C238">
        <v>638</v>
      </c>
      <c r="D238">
        <v>6816</v>
      </c>
      <c r="E238">
        <v>100496</v>
      </c>
      <c r="F238">
        <v>107312</v>
      </c>
      <c r="G238">
        <v>10010</v>
      </c>
      <c r="H238">
        <v>247872</v>
      </c>
      <c r="I238">
        <v>36427</v>
      </c>
      <c r="J238">
        <v>391611</v>
      </c>
      <c r="K238">
        <v>13228204</v>
      </c>
      <c r="L238">
        <f t="shared" si="30"/>
        <v>150377</v>
      </c>
      <c r="M238" s="1">
        <f t="shared" si="31"/>
        <v>391611</v>
      </c>
      <c r="N238" s="1">
        <f t="shared" si="32"/>
        <v>55</v>
      </c>
      <c r="O238" s="1">
        <f t="shared" si="33"/>
        <v>1.404454931041263E-2</v>
      </c>
      <c r="P238" s="1">
        <f t="shared" si="34"/>
        <v>1908</v>
      </c>
      <c r="Q238" s="1">
        <f>inhospital_tot__2[[#This Row],[infected_per_day]]/inhospital_tot__2[[#This Row],[Test per day]]</f>
        <v>2.6041947904267273</v>
      </c>
      <c r="R238" s="18">
        <f>inhospital_tot__2[[#This Row],[nuovi_positivi_alla_data]]*(1 + $T$28)</f>
        <v>28451.112479187854</v>
      </c>
    </row>
  </sheetData>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682A-86A3-4C0E-BDC5-058236812644}">
  <sheetPr codeName="Sheet4"/>
  <dimension ref="A1:AI343"/>
  <sheetViews>
    <sheetView tabSelected="1" topLeftCell="Z1" zoomScaleNormal="100" workbookViewId="0">
      <selection activeCell="AD12" sqref="AD12"/>
    </sheetView>
  </sheetViews>
  <sheetFormatPr baseColWidth="10" defaultColWidth="8.83203125" defaultRowHeight="15" x14ac:dyDescent="0.2"/>
  <cols>
    <col min="1" max="1" width="7.1640625" bestFit="1" customWidth="1"/>
    <col min="2" max="2" width="10.1640625" style="6" bestFit="1" customWidth="1"/>
    <col min="3" max="3" width="10.6640625" bestFit="1" customWidth="1"/>
    <col min="4" max="4" width="31.5" bestFit="1" customWidth="1"/>
    <col min="5" max="5" width="25" bestFit="1" customWidth="1"/>
    <col min="6" max="6" width="28.33203125" bestFit="1" customWidth="1"/>
    <col min="7" max="7" width="31.5" bestFit="1" customWidth="1"/>
    <col min="8" max="8" width="36.6640625" bestFit="1" customWidth="1"/>
    <col min="9" max="9" width="34.5" bestFit="1" customWidth="1"/>
    <col min="10" max="10" width="36.33203125" bestFit="1" customWidth="1"/>
    <col min="11" max="11" width="22.1640625" bestFit="1" customWidth="1"/>
    <col min="12" max="12" width="15" bestFit="1" customWidth="1"/>
    <col min="13" max="13" width="41" bestFit="1" customWidth="1"/>
    <col min="14" max="14" width="27.1640625" bestFit="1" customWidth="1"/>
    <col min="15" max="15" width="17.6640625" bestFit="1" customWidth="1"/>
    <col min="16" max="16" width="14" bestFit="1" customWidth="1"/>
    <col min="17" max="17" width="18.33203125" bestFit="1" customWidth="1"/>
    <col min="18" max="18" width="24.83203125" bestFit="1" customWidth="1"/>
    <col min="19" max="19" width="28.5" bestFit="1" customWidth="1"/>
    <col min="20" max="20" width="23.83203125" bestFit="1" customWidth="1"/>
    <col min="21" max="21" width="25" bestFit="1" customWidth="1"/>
    <col min="22" max="22" width="21.1640625" bestFit="1" customWidth="1"/>
    <col min="23" max="23" width="22.5" bestFit="1" customWidth="1"/>
    <col min="24" max="24" width="27.83203125" bestFit="1" customWidth="1"/>
    <col min="25" max="25" width="23.1640625" bestFit="1" customWidth="1"/>
    <col min="26" max="26" width="15.1640625" customWidth="1"/>
    <col min="28" max="28" width="23.1640625" customWidth="1"/>
    <col min="29" max="29" width="14.83203125" bestFit="1" customWidth="1"/>
    <col min="30" max="30" width="13.1640625" customWidth="1"/>
    <col min="31" max="31" width="11.5" customWidth="1"/>
    <col min="32" max="32" width="47.5" customWidth="1"/>
    <col min="33" max="33" width="34.5" customWidth="1"/>
    <col min="34" max="35" width="13.6640625" bestFit="1" customWidth="1"/>
  </cols>
  <sheetData>
    <row r="1" spans="1:33" x14ac:dyDescent="0.2">
      <c r="D1" t="s">
        <v>54</v>
      </c>
      <c r="E1" t="s">
        <v>53</v>
      </c>
      <c r="F1" t="s">
        <v>55</v>
      </c>
      <c r="G1" t="s">
        <v>56</v>
      </c>
      <c r="H1" t="s">
        <v>57</v>
      </c>
      <c r="I1" t="s">
        <v>76</v>
      </c>
      <c r="J1" t="s">
        <v>58</v>
      </c>
      <c r="K1" t="s">
        <v>59</v>
      </c>
      <c r="L1" t="s">
        <v>66</v>
      </c>
      <c r="M1" t="s">
        <v>60</v>
      </c>
      <c r="N1" t="s">
        <v>61</v>
      </c>
      <c r="W1" t="s">
        <v>67</v>
      </c>
      <c r="X1" t="s">
        <v>62</v>
      </c>
      <c r="Z1" t="s">
        <v>63</v>
      </c>
    </row>
    <row r="2" spans="1:33" x14ac:dyDescent="0.2">
      <c r="A2" t="s">
        <v>34</v>
      </c>
      <c r="B2" s="6" t="s">
        <v>0</v>
      </c>
      <c r="C2" t="s">
        <v>35</v>
      </c>
      <c r="D2" t="s">
        <v>2</v>
      </c>
      <c r="E2" t="s">
        <v>3</v>
      </c>
      <c r="F2" t="s">
        <v>36</v>
      </c>
      <c r="G2" t="s">
        <v>37</v>
      </c>
      <c r="H2" t="s">
        <v>38</v>
      </c>
      <c r="I2" t="s">
        <v>75</v>
      </c>
      <c r="J2" t="s">
        <v>39</v>
      </c>
      <c r="K2" t="s">
        <v>40</v>
      </c>
      <c r="L2" t="s">
        <v>4</v>
      </c>
      <c r="M2" t="s">
        <v>84</v>
      </c>
      <c r="N2" t="s">
        <v>85</v>
      </c>
      <c r="O2" t="s">
        <v>5</v>
      </c>
      <c r="P2" t="s">
        <v>41</v>
      </c>
      <c r="Q2" t="s">
        <v>81</v>
      </c>
      <c r="R2" t="s">
        <v>73</v>
      </c>
      <c r="S2" t="s">
        <v>270</v>
      </c>
      <c r="T2" t="s">
        <v>271</v>
      </c>
      <c r="U2" t="s">
        <v>51</v>
      </c>
      <c r="V2" t="s">
        <v>52</v>
      </c>
      <c r="W2" t="s">
        <v>45</v>
      </c>
      <c r="X2" t="s">
        <v>253</v>
      </c>
      <c r="Y2" t="s">
        <v>262</v>
      </c>
      <c r="Z2" t="s">
        <v>254</v>
      </c>
      <c r="AA2" t="s">
        <v>257</v>
      </c>
      <c r="AB2" t="s">
        <v>255</v>
      </c>
      <c r="AC2" t="s">
        <v>256</v>
      </c>
      <c r="AD2" t="s">
        <v>263</v>
      </c>
      <c r="AE2" t="s">
        <v>264</v>
      </c>
    </row>
    <row r="3" spans="1:33" x14ac:dyDescent="0.2">
      <c r="A3">
        <v>1</v>
      </c>
      <c r="B3" s="6">
        <v>43885.75</v>
      </c>
      <c r="C3" s="1" t="s">
        <v>42</v>
      </c>
      <c r="D3">
        <v>101</v>
      </c>
      <c r="E3">
        <v>26</v>
      </c>
      <c r="F3">
        <v>127</v>
      </c>
      <c r="G3">
        <v>94</v>
      </c>
      <c r="H3">
        <v>221</v>
      </c>
      <c r="I3">
        <v>0</v>
      </c>
      <c r="J3">
        <v>221</v>
      </c>
      <c r="K3">
        <v>1</v>
      </c>
      <c r="L3">
        <v>7</v>
      </c>
      <c r="O3">
        <v>229</v>
      </c>
      <c r="P3">
        <v>4324</v>
      </c>
      <c r="R3" s="1" t="s">
        <v>82</v>
      </c>
      <c r="S3" s="1">
        <f t="shared" ref="S3" si="0">F3</f>
        <v>127</v>
      </c>
      <c r="T3" s="1">
        <f>E3</f>
        <v>26</v>
      </c>
      <c r="U3">
        <v>0</v>
      </c>
      <c r="V3">
        <v>0</v>
      </c>
      <c r="W3" s="8">
        <v>0</v>
      </c>
      <c r="X3" s="1">
        <f>IF(Q3=0,(nazione[[#This Row],[nuovi_attualmente_positivi]]/nazione[[#This Row],[test_per_giorno]])*100,(nazione[[#This Row],[nuovi_attualmente_positivi]]/nazione[[#This Row],[test_per_giorno]])*100)</f>
        <v>5.1110083256244216</v>
      </c>
      <c r="Y3">
        <f>nazione[[#This Row],[tamponi]]</f>
        <v>4324</v>
      </c>
      <c r="Z3" s="4">
        <f>IF(Q3=0,(nazione[[#This Row],[test_per_giorno]]/AG$3)*100,(nazione[[#This Row],[test_per_giorno]]/AG$3)*100)</f>
        <v>7.177402125357577E-3</v>
      </c>
      <c r="AA3" s="4">
        <f>(nazione[[#This Row],[ricoverati_con_sintomi]]/nazione[[#This Row],[totale_attualmente_positivi]])*100</f>
        <v>45.701357466063349</v>
      </c>
      <c r="AB3" s="4">
        <f>(nazione[[#This Row],[terapia_intensiva]]/nazione[[#This Row],[totale_attualmente_positivi]])*100</f>
        <v>11.76470588235294</v>
      </c>
      <c r="AC3" s="4">
        <f>((nazione[[#This Row],[totale_attualmente_positivi]]-(nazione[[#This Row],[totale_ospedalizzati]]))/nazione[[#This Row],[totale_attualmente_positivi]])*100</f>
        <v>42.533936651583709</v>
      </c>
      <c r="AD3" s="8">
        <f>(nazione[[#This Row],[Deceaded by day]]/nazione[[#This Row],[totale_attualmente_positivi]])*100</f>
        <v>0</v>
      </c>
      <c r="AE3" s="8">
        <f>(nazione[[#This Row],[Deceaded by day]]/morti_per_regione!D$2) *100</f>
        <v>0</v>
      </c>
      <c r="AF3" s="25"/>
      <c r="AG3">
        <f>pop_by_region!D2</f>
        <v>60244639</v>
      </c>
    </row>
    <row r="4" spans="1:33" x14ac:dyDescent="0.2">
      <c r="A4">
        <v>2</v>
      </c>
      <c r="B4" s="6">
        <v>43886.75</v>
      </c>
      <c r="C4" s="1" t="s">
        <v>42</v>
      </c>
      <c r="D4">
        <v>114</v>
      </c>
      <c r="E4">
        <v>35</v>
      </c>
      <c r="F4">
        <v>150</v>
      </c>
      <c r="G4">
        <v>162</v>
      </c>
      <c r="H4">
        <v>311</v>
      </c>
      <c r="I4">
        <v>90</v>
      </c>
      <c r="J4">
        <v>93</v>
      </c>
      <c r="K4">
        <v>1</v>
      </c>
      <c r="L4">
        <v>10</v>
      </c>
      <c r="O4">
        <v>322</v>
      </c>
      <c r="P4">
        <v>8623</v>
      </c>
      <c r="R4" s="1" t="s">
        <v>82</v>
      </c>
      <c r="S4" s="1">
        <f>F4-F3</f>
        <v>23</v>
      </c>
      <c r="T4" s="1">
        <f>E4-E3</f>
        <v>9</v>
      </c>
      <c r="U4">
        <f>L4-L3</f>
        <v>3</v>
      </c>
      <c r="V4">
        <f>K4-K3</f>
        <v>0</v>
      </c>
      <c r="W4" s="8">
        <f t="shared" ref="W4:W66" si="1">(H4/H3)-1</f>
        <v>0.40723981900452499</v>
      </c>
      <c r="X4" s="1">
        <f>IF(Q4=0,(nazione[[#This Row],[nuovi_attualmente_positivi]]/nazione[[#This Row],[test_per_giorno]])*100,(nazione[[#This Row],[nuovi_attualmente_positivi]]/nazione[[#This Row],[test_per_giorno]])*100)</f>
        <v>2.1632937892533146</v>
      </c>
      <c r="Y4">
        <f>IF(nazione[[#This Row],[casi_testati]]=0,nazione[[#This Row],[tamponi]]-P3,IF(Q3=0,nazione[[#This Row],[casi_testati]]-Y3,nazione[[#This Row],[casi_testati]]-Q3))</f>
        <v>4299</v>
      </c>
      <c r="Z4" s="4">
        <f>IF(Q4=0,(nazione[[#This Row],[test_per_giorno]]/AG$3)*100,(nazione[[#This Row],[test_per_giorno]]/AG$3)*100)</f>
        <v>7.1359046570102277E-3</v>
      </c>
      <c r="AA4" s="4">
        <f>(nazione[[#This Row],[ricoverati_con_sintomi]]/nazione[[#This Row],[totale_attualmente_positivi]])*100</f>
        <v>36.655948553054664</v>
      </c>
      <c r="AB4" s="4">
        <f>(nazione[[#This Row],[terapia_intensiva]]/nazione[[#This Row],[totale_attualmente_positivi]])*100</f>
        <v>11.254019292604502</v>
      </c>
      <c r="AC4" s="4">
        <f>((nazione[[#This Row],[totale_attualmente_positivi]]-(nazione[[#This Row],[totale_ospedalizzati]]))/nazione[[#This Row],[totale_attualmente_positivi]])*100</f>
        <v>51.768488745980711</v>
      </c>
      <c r="AD4" s="8">
        <f>(nazione[[#This Row],[Deceaded by day]]/nazione[[#This Row],[totale_attualmente_positivi]])*100</f>
        <v>0.96463022508038598</v>
      </c>
      <c r="AE4" s="8">
        <f>(nazione[[#This Row],[Deceaded by day]]/morti_per_regione!D$2) *100</f>
        <v>4.7383409173112125E-4</v>
      </c>
    </row>
    <row r="5" spans="1:33" x14ac:dyDescent="0.2">
      <c r="A5">
        <v>3</v>
      </c>
      <c r="B5" s="6">
        <v>43887.75</v>
      </c>
      <c r="C5" s="1" t="s">
        <v>42</v>
      </c>
      <c r="D5">
        <v>128</v>
      </c>
      <c r="E5">
        <v>36</v>
      </c>
      <c r="F5">
        <v>164</v>
      </c>
      <c r="G5">
        <v>221</v>
      </c>
      <c r="H5">
        <v>385</v>
      </c>
      <c r="I5">
        <v>74</v>
      </c>
      <c r="J5">
        <v>78</v>
      </c>
      <c r="K5">
        <v>3</v>
      </c>
      <c r="L5">
        <v>12</v>
      </c>
      <c r="O5">
        <v>400</v>
      </c>
      <c r="P5">
        <v>9587</v>
      </c>
      <c r="R5" s="1" t="s">
        <v>82</v>
      </c>
      <c r="S5" s="1">
        <f t="shared" ref="S5:S68" si="2">F5-F4</f>
        <v>14</v>
      </c>
      <c r="T5" s="1">
        <f t="shared" ref="T5:T68" si="3">E5-E4</f>
        <v>1</v>
      </c>
      <c r="U5">
        <f t="shared" ref="U5:U24" si="4">L5-L4</f>
        <v>2</v>
      </c>
      <c r="V5">
        <f t="shared" ref="V5:V24" si="5">K5-K4</f>
        <v>2</v>
      </c>
      <c r="W5" s="8">
        <f t="shared" si="1"/>
        <v>0.23794212218649524</v>
      </c>
      <c r="X5" s="1">
        <f>IF(Q5=0,(nazione[[#This Row],[nuovi_attualmente_positivi]]/nazione[[#This Row],[test_per_giorno]])*100,(nazione[[#This Row],[nuovi_attualmente_positivi]]/nazione[[#This Row],[test_per_giorno]])*100)</f>
        <v>8.0912863070539416</v>
      </c>
      <c r="Y5">
        <f>IF(nazione[[#This Row],[casi_testati]]=0,nazione[[#This Row],[tamponi]]-P4,IF(Q4=0,nazione[[#This Row],[casi_testati]]-Y4,nazione[[#This Row],[casi_testati]]-Q4))</f>
        <v>964</v>
      </c>
      <c r="Z5" s="4">
        <f>IF(Q5=0,(nazione[[#This Row],[test_per_giorno]]/AG$3)*100,(nazione[[#This Row],[test_per_giorno]]/AG$3)*100)</f>
        <v>1.6001423794737984E-3</v>
      </c>
      <c r="AA5" s="4">
        <f>(nazione[[#This Row],[ricoverati_con_sintomi]]/nazione[[#This Row],[totale_attualmente_positivi]])*100</f>
        <v>33.246753246753244</v>
      </c>
      <c r="AB5" s="4">
        <f>(nazione[[#This Row],[terapia_intensiva]]/nazione[[#This Row],[totale_attualmente_positivi]])*100</f>
        <v>9.3506493506493502</v>
      </c>
      <c r="AC5" s="4">
        <f>((nazione[[#This Row],[totale_attualmente_positivi]]-(nazione[[#This Row],[totale_ospedalizzati]]))/nazione[[#This Row],[totale_attualmente_positivi]])*100</f>
        <v>57.402597402597401</v>
      </c>
      <c r="AD5" s="8">
        <f>(nazione[[#This Row],[Deceaded by day]]/nazione[[#This Row],[totale_attualmente_positivi]])*100</f>
        <v>0.51948051948051943</v>
      </c>
      <c r="AE5" s="8">
        <f>(nazione[[#This Row],[Deceaded by day]]/morti_per_regione!D$2) *100</f>
        <v>3.1588939448741417E-4</v>
      </c>
    </row>
    <row r="6" spans="1:33" x14ac:dyDescent="0.2">
      <c r="A6">
        <v>4</v>
      </c>
      <c r="B6" s="6">
        <v>43888.75</v>
      </c>
      <c r="C6" s="1" t="s">
        <v>42</v>
      </c>
      <c r="D6">
        <v>248</v>
      </c>
      <c r="E6">
        <v>56</v>
      </c>
      <c r="F6">
        <v>304</v>
      </c>
      <c r="G6">
        <v>284</v>
      </c>
      <c r="H6">
        <v>588</v>
      </c>
      <c r="I6">
        <v>203</v>
      </c>
      <c r="J6">
        <v>250</v>
      </c>
      <c r="K6">
        <v>45</v>
      </c>
      <c r="L6">
        <v>17</v>
      </c>
      <c r="O6">
        <v>650</v>
      </c>
      <c r="P6">
        <v>12014</v>
      </c>
      <c r="R6" s="1" t="s">
        <v>82</v>
      </c>
      <c r="S6" s="1">
        <f t="shared" si="2"/>
        <v>140</v>
      </c>
      <c r="T6" s="1">
        <f t="shared" si="3"/>
        <v>20</v>
      </c>
      <c r="U6">
        <f t="shared" si="4"/>
        <v>5</v>
      </c>
      <c r="V6">
        <f t="shared" si="5"/>
        <v>42</v>
      </c>
      <c r="W6" s="8">
        <f t="shared" si="1"/>
        <v>0.52727272727272734</v>
      </c>
      <c r="X6" s="1">
        <f>IF(Q6=0,(nazione[[#This Row],[nuovi_attualmente_positivi]]/nazione[[#This Row],[test_per_giorno]])*100,(nazione[[#This Row],[nuovi_attualmente_positivi]]/nazione[[#This Row],[test_per_giorno]])*100)</f>
        <v>10.300782859497321</v>
      </c>
      <c r="Y6">
        <f>IF(nazione[[#This Row],[casi_testati]]=0,nazione[[#This Row],[tamponi]]-P5,IF(Q5=0,nazione[[#This Row],[casi_testati]]-Y5,nazione[[#This Row],[casi_testati]]-Q5))</f>
        <v>2427</v>
      </c>
      <c r="Z6" s="4">
        <f>IF(Q6=0,(nazione[[#This Row],[test_per_giorno]]/AG$3)*100,(nazione[[#This Row],[test_per_giorno]]/AG$3)*100)</f>
        <v>4.0285742271606939E-3</v>
      </c>
      <c r="AA6" s="4">
        <f>(nazione[[#This Row],[ricoverati_con_sintomi]]/nazione[[#This Row],[totale_attualmente_positivi]])*100</f>
        <v>42.176870748299322</v>
      </c>
      <c r="AB6" s="4">
        <f>(nazione[[#This Row],[terapia_intensiva]]/nazione[[#This Row],[totale_attualmente_positivi]])*100</f>
        <v>9.5238095238095237</v>
      </c>
      <c r="AC6" s="4">
        <f>((nazione[[#This Row],[totale_attualmente_positivi]]-(nazione[[#This Row],[totale_ospedalizzati]]))/nazione[[#This Row],[totale_attualmente_positivi]])*100</f>
        <v>48.299319727891152</v>
      </c>
      <c r="AD6" s="8">
        <f>(nazione[[#This Row],[Deceaded by day]]/nazione[[#This Row],[totale_attualmente_positivi]])*100</f>
        <v>0.85034013605442182</v>
      </c>
      <c r="AE6" s="8">
        <f>(nazione[[#This Row],[Deceaded by day]]/morti_per_regione!D$2) *100</f>
        <v>7.8972348621853547E-4</v>
      </c>
    </row>
    <row r="7" spans="1:33" x14ac:dyDescent="0.2">
      <c r="A7">
        <v>5</v>
      </c>
      <c r="B7" s="6">
        <v>43889.75</v>
      </c>
      <c r="C7" s="1" t="s">
        <v>42</v>
      </c>
      <c r="D7">
        <v>345</v>
      </c>
      <c r="E7">
        <v>64</v>
      </c>
      <c r="F7">
        <v>409</v>
      </c>
      <c r="G7">
        <v>412</v>
      </c>
      <c r="H7">
        <v>821</v>
      </c>
      <c r="I7">
        <v>233</v>
      </c>
      <c r="J7">
        <v>238</v>
      </c>
      <c r="K7">
        <v>46</v>
      </c>
      <c r="L7">
        <v>21</v>
      </c>
      <c r="O7">
        <v>888</v>
      </c>
      <c r="P7">
        <v>15695</v>
      </c>
      <c r="R7" s="1" t="s">
        <v>82</v>
      </c>
      <c r="S7" s="1">
        <f t="shared" si="2"/>
        <v>105</v>
      </c>
      <c r="T7" s="1">
        <f t="shared" si="3"/>
        <v>8</v>
      </c>
      <c r="U7">
        <f t="shared" si="4"/>
        <v>4</v>
      </c>
      <c r="V7">
        <f t="shared" si="5"/>
        <v>1</v>
      </c>
      <c r="W7" s="8">
        <f t="shared" si="1"/>
        <v>0.3962585034013606</v>
      </c>
      <c r="X7" s="1">
        <f>IF(Q7=0,(nazione[[#This Row],[nuovi_attualmente_positivi]]/nazione[[#This Row],[test_per_giorno]])*100,(nazione[[#This Row],[nuovi_attualmente_positivi]]/nazione[[#This Row],[test_per_giorno]])*100)</f>
        <v>6.4656343384949739</v>
      </c>
      <c r="Y7">
        <f>IF(nazione[[#This Row],[casi_testati]]=0,nazione[[#This Row],[tamponi]]-P6,IF(Q6=0,nazione[[#This Row],[casi_testati]]-Y6,nazione[[#This Row],[casi_testati]]-Q6))</f>
        <v>3681</v>
      </c>
      <c r="Z7" s="4">
        <f>IF(Q7=0,(nazione[[#This Row],[test_per_giorno]]/AG$3)*100,(nazione[[#This Row],[test_per_giorno]]/AG$3)*100)</f>
        <v>6.1100872394637467E-3</v>
      </c>
      <c r="AA7" s="4">
        <f>(nazione[[#This Row],[ricoverati_con_sintomi]]/nazione[[#This Row],[totale_attualmente_positivi]])*100</f>
        <v>42.021924482338612</v>
      </c>
      <c r="AB7" s="4">
        <f>(nazione[[#This Row],[terapia_intensiva]]/nazione[[#This Row],[totale_attualmente_positivi]])*100</f>
        <v>7.7953714981729592</v>
      </c>
      <c r="AC7" s="4">
        <f>((nazione[[#This Row],[totale_attualmente_positivi]]-(nazione[[#This Row],[totale_ospedalizzati]]))/nazione[[#This Row],[totale_attualmente_positivi]])*100</f>
        <v>50.182704019488433</v>
      </c>
      <c r="AD7" s="8">
        <f>(nazione[[#This Row],[Deceaded by day]]/nazione[[#This Row],[totale_attualmente_positivi]])*100</f>
        <v>0.48721071863580995</v>
      </c>
      <c r="AE7" s="8">
        <f>(nazione[[#This Row],[Deceaded by day]]/morti_per_regione!D$2) *100</f>
        <v>6.3177878897482834E-4</v>
      </c>
    </row>
    <row r="8" spans="1:33" x14ac:dyDescent="0.2">
      <c r="A8">
        <v>6</v>
      </c>
      <c r="B8" s="6">
        <v>43890.75</v>
      </c>
      <c r="C8" s="1" t="s">
        <v>42</v>
      </c>
      <c r="D8">
        <v>401</v>
      </c>
      <c r="E8">
        <v>105</v>
      </c>
      <c r="F8">
        <v>506</v>
      </c>
      <c r="G8">
        <v>543</v>
      </c>
      <c r="H8">
        <v>1049</v>
      </c>
      <c r="I8">
        <v>228</v>
      </c>
      <c r="J8">
        <v>240</v>
      </c>
      <c r="K8">
        <v>50</v>
      </c>
      <c r="L8">
        <v>29</v>
      </c>
      <c r="O8">
        <v>1128</v>
      </c>
      <c r="P8">
        <v>18661</v>
      </c>
      <c r="R8" s="1" t="s">
        <v>82</v>
      </c>
      <c r="S8" s="1">
        <f t="shared" si="2"/>
        <v>97</v>
      </c>
      <c r="T8" s="1">
        <f t="shared" si="3"/>
        <v>41</v>
      </c>
      <c r="U8">
        <f t="shared" si="4"/>
        <v>8</v>
      </c>
      <c r="V8">
        <f t="shared" si="5"/>
        <v>4</v>
      </c>
      <c r="W8" s="8">
        <f t="shared" si="1"/>
        <v>0.27771010962241172</v>
      </c>
      <c r="X8" s="1">
        <f>IF(Q8=0,(nazione[[#This Row],[nuovi_attualmente_positivi]]/nazione[[#This Row],[test_per_giorno]])*100,(nazione[[#This Row],[nuovi_attualmente_positivi]]/nazione[[#This Row],[test_per_giorno]])*100)</f>
        <v>8.0917060013486175</v>
      </c>
      <c r="Y8">
        <f>IF(nazione[[#This Row],[casi_testati]]=0,nazione[[#This Row],[tamponi]]-P7,IF(Q7=0,nazione[[#This Row],[casi_testati]]-Y7,nazione[[#This Row],[casi_testati]]-Q7))</f>
        <v>2966</v>
      </c>
      <c r="Z8" s="4">
        <f>IF(Q8=0,(nazione[[#This Row],[test_per_giorno]]/AG$3)*100,(nazione[[#This Row],[test_per_giorno]]/AG$3)*100)</f>
        <v>4.9232596447295503E-3</v>
      </c>
      <c r="AA8" s="4">
        <f>(nazione[[#This Row],[ricoverati_con_sintomi]]/nazione[[#This Row],[totale_attualmente_positivi]])*100</f>
        <v>38.226882745471883</v>
      </c>
      <c r="AB8" s="4">
        <f>(nazione[[#This Row],[terapia_intensiva]]/nazione[[#This Row],[totale_attualmente_positivi]])*100</f>
        <v>10.009532888465204</v>
      </c>
      <c r="AC8" s="4">
        <f>((nazione[[#This Row],[totale_attualmente_positivi]]-(nazione[[#This Row],[totale_ospedalizzati]]))/nazione[[#This Row],[totale_attualmente_positivi]])*100</f>
        <v>51.763584366062922</v>
      </c>
      <c r="AD8" s="8">
        <f>(nazione[[#This Row],[Deceaded by day]]/nazione[[#This Row],[totale_attualmente_positivi]])*100</f>
        <v>0.76263107721639656</v>
      </c>
      <c r="AE8" s="8">
        <f>(nazione[[#This Row],[Deceaded by day]]/morti_per_regione!D$2) *100</f>
        <v>1.2635575779496567E-3</v>
      </c>
    </row>
    <row r="9" spans="1:33" x14ac:dyDescent="0.2">
      <c r="A9">
        <v>7</v>
      </c>
      <c r="B9" s="6">
        <v>43891.75</v>
      </c>
      <c r="C9" s="1" t="s">
        <v>42</v>
      </c>
      <c r="D9">
        <v>639</v>
      </c>
      <c r="E9">
        <v>140</v>
      </c>
      <c r="F9">
        <v>779</v>
      </c>
      <c r="G9">
        <v>798</v>
      </c>
      <c r="H9">
        <v>1577</v>
      </c>
      <c r="I9">
        <v>528</v>
      </c>
      <c r="J9">
        <v>566</v>
      </c>
      <c r="K9">
        <v>83</v>
      </c>
      <c r="L9">
        <v>34</v>
      </c>
      <c r="O9">
        <v>1694</v>
      </c>
      <c r="P9">
        <v>21127</v>
      </c>
      <c r="R9" s="1" t="s">
        <v>82</v>
      </c>
      <c r="S9" s="1">
        <f t="shared" si="2"/>
        <v>273</v>
      </c>
      <c r="T9" s="1">
        <f t="shared" si="3"/>
        <v>35</v>
      </c>
      <c r="U9">
        <f t="shared" si="4"/>
        <v>5</v>
      </c>
      <c r="V9">
        <f t="shared" si="5"/>
        <v>33</v>
      </c>
      <c r="W9" s="8">
        <f t="shared" si="1"/>
        <v>0.50333651096282184</v>
      </c>
      <c r="X9" s="1">
        <f>IF(Q9=0,(nazione[[#This Row],[nuovi_attualmente_positivi]]/nazione[[#This Row],[test_per_giorno]])*100,(nazione[[#This Row],[nuovi_attualmente_positivi]]/nazione[[#This Row],[test_per_giorno]])*100)</f>
        <v>22.952149229521492</v>
      </c>
      <c r="Y9">
        <f>IF(nazione[[#This Row],[casi_testati]]=0,nazione[[#This Row],[tamponi]]-P8,IF(Q8=0,nazione[[#This Row],[casi_testati]]-Y8,nazione[[#This Row],[casi_testati]]-Q8))</f>
        <v>2466</v>
      </c>
      <c r="Z9" s="4">
        <f>IF(Q9=0,(nazione[[#This Row],[test_per_giorno]]/AG$3)*100,(nazione[[#This Row],[test_per_giorno]]/AG$3)*100)</f>
        <v>4.0933102777825593E-3</v>
      </c>
      <c r="AA9" s="4">
        <f>(nazione[[#This Row],[ricoverati_con_sintomi]]/nazione[[#This Row],[totale_attualmente_positivi]])*100</f>
        <v>40.51997463538364</v>
      </c>
      <c r="AB9" s="4">
        <f>(nazione[[#This Row],[terapia_intensiva]]/nazione[[#This Row],[totale_attualmente_positivi]])*100</f>
        <v>8.8776157260621442</v>
      </c>
      <c r="AC9" s="4">
        <f>((nazione[[#This Row],[totale_attualmente_positivi]]-(nazione[[#This Row],[totale_ospedalizzati]]))/nazione[[#This Row],[totale_attualmente_positivi]])*100</f>
        <v>50.602409638554214</v>
      </c>
      <c r="AD9" s="8">
        <f>(nazione[[#This Row],[Deceaded by day]]/nazione[[#This Row],[totale_attualmente_positivi]])*100</f>
        <v>0.31705770450221943</v>
      </c>
      <c r="AE9" s="8">
        <f>(nazione[[#This Row],[Deceaded by day]]/morti_per_regione!D$2) *100</f>
        <v>7.8972348621853547E-4</v>
      </c>
    </row>
    <row r="10" spans="1:33" x14ac:dyDescent="0.2">
      <c r="A10">
        <v>8</v>
      </c>
      <c r="B10" s="6">
        <v>43892.75</v>
      </c>
      <c r="C10" s="1" t="s">
        <v>42</v>
      </c>
      <c r="D10">
        <v>742</v>
      </c>
      <c r="E10">
        <v>166</v>
      </c>
      <c r="F10">
        <v>908</v>
      </c>
      <c r="G10">
        <v>927</v>
      </c>
      <c r="H10">
        <v>1835</v>
      </c>
      <c r="I10">
        <v>258</v>
      </c>
      <c r="J10">
        <v>342</v>
      </c>
      <c r="K10">
        <v>149</v>
      </c>
      <c r="L10">
        <v>52</v>
      </c>
      <c r="O10">
        <v>2036</v>
      </c>
      <c r="P10">
        <v>23345</v>
      </c>
      <c r="R10" s="1" t="s">
        <v>82</v>
      </c>
      <c r="S10" s="1">
        <f t="shared" si="2"/>
        <v>129</v>
      </c>
      <c r="T10" s="1">
        <f t="shared" si="3"/>
        <v>26</v>
      </c>
      <c r="U10">
        <f t="shared" si="4"/>
        <v>18</v>
      </c>
      <c r="V10">
        <f t="shared" si="5"/>
        <v>66</v>
      </c>
      <c r="W10" s="8">
        <f t="shared" si="1"/>
        <v>0.16360177552314514</v>
      </c>
      <c r="X10" s="1">
        <f>IF(Q10=0,(nazione[[#This Row],[nuovi_attualmente_positivi]]/nazione[[#This Row],[test_per_giorno]])*100,(nazione[[#This Row],[nuovi_attualmente_positivi]]/nazione[[#This Row],[test_per_giorno]])*100)</f>
        <v>15.419296663660957</v>
      </c>
      <c r="Y10">
        <f>IF(nazione[[#This Row],[casi_testati]]=0,nazione[[#This Row],[tamponi]]-P9,IF(Q9=0,nazione[[#This Row],[casi_testati]]-Y9,nazione[[#This Row],[casi_testati]]-Q9))</f>
        <v>2218</v>
      </c>
      <c r="Z10" s="4">
        <f>IF(Q10=0,(nazione[[#This Row],[test_per_giorno]]/AG$3)*100,(nazione[[#This Row],[test_per_giorno]]/AG$3)*100)</f>
        <v>3.6816553917768521E-3</v>
      </c>
      <c r="AA10" s="4">
        <f>(nazione[[#This Row],[ricoverati_con_sintomi]]/nazione[[#This Row],[totale_attualmente_positivi]])*100</f>
        <v>40.435967302452312</v>
      </c>
      <c r="AB10" s="4">
        <f>(nazione[[#This Row],[terapia_intensiva]]/nazione[[#This Row],[totale_attualmente_positivi]])*100</f>
        <v>9.0463215258855598</v>
      </c>
      <c r="AC10" s="4">
        <f>((nazione[[#This Row],[totale_attualmente_positivi]]-(nazione[[#This Row],[totale_ospedalizzati]]))/nazione[[#This Row],[totale_attualmente_positivi]])*100</f>
        <v>50.517711171662128</v>
      </c>
      <c r="AD10" s="8">
        <f>(nazione[[#This Row],[Deceaded by day]]/nazione[[#This Row],[totale_attualmente_positivi]])*100</f>
        <v>0.98092643051771122</v>
      </c>
      <c r="AE10" s="8">
        <f>(nazione[[#This Row],[Deceaded by day]]/morti_per_regione!D$2) *100</f>
        <v>2.8430045503867276E-3</v>
      </c>
    </row>
    <row r="11" spans="1:33" x14ac:dyDescent="0.2">
      <c r="A11">
        <v>9</v>
      </c>
      <c r="B11" s="6">
        <v>43893.75</v>
      </c>
      <c r="C11" s="1" t="s">
        <v>42</v>
      </c>
      <c r="D11">
        <v>1034</v>
      </c>
      <c r="E11">
        <v>229</v>
      </c>
      <c r="F11">
        <v>1263</v>
      </c>
      <c r="G11">
        <v>1000</v>
      </c>
      <c r="H11">
        <v>2263</v>
      </c>
      <c r="I11">
        <v>428</v>
      </c>
      <c r="J11">
        <v>466</v>
      </c>
      <c r="K11">
        <v>160</v>
      </c>
      <c r="L11">
        <v>79</v>
      </c>
      <c r="O11">
        <v>2502</v>
      </c>
      <c r="P11">
        <v>25856</v>
      </c>
      <c r="R11" s="1" t="s">
        <v>82</v>
      </c>
      <c r="S11" s="1">
        <f t="shared" si="2"/>
        <v>355</v>
      </c>
      <c r="T11" s="1">
        <f t="shared" si="3"/>
        <v>63</v>
      </c>
      <c r="U11">
        <f t="shared" si="4"/>
        <v>27</v>
      </c>
      <c r="V11">
        <f t="shared" si="5"/>
        <v>11</v>
      </c>
      <c r="W11" s="8">
        <f t="shared" si="1"/>
        <v>0.23324250681198899</v>
      </c>
      <c r="X11" s="1">
        <f>IF(Q11=0,(nazione[[#This Row],[nuovi_attualmente_positivi]]/nazione[[#This Row],[test_per_giorno]])*100,(nazione[[#This Row],[nuovi_attualmente_positivi]]/nazione[[#This Row],[test_per_giorno]])*100)</f>
        <v>18.558343289526086</v>
      </c>
      <c r="Y11">
        <f>IF(nazione[[#This Row],[casi_testati]]=0,nazione[[#This Row],[tamponi]]-P10,IF(Q10=0,nazione[[#This Row],[casi_testati]]-Y10,nazione[[#This Row],[casi_testati]]-Q10))</f>
        <v>2511</v>
      </c>
      <c r="Z11" s="4">
        <f>IF(Q11=0,(nazione[[#This Row],[test_per_giorno]]/AG$3)*100,(nazione[[#This Row],[test_per_giorno]]/AG$3)*100)</f>
        <v>4.1680057208077883E-3</v>
      </c>
      <c r="AA11" s="4">
        <f>(nazione[[#This Row],[ricoverati_con_sintomi]]/nazione[[#This Row],[totale_attualmente_positivi]])*100</f>
        <v>45.691559876270439</v>
      </c>
      <c r="AB11" s="4">
        <f>(nazione[[#This Row],[terapia_intensiva]]/nazione[[#This Row],[totale_attualmente_positivi]])*100</f>
        <v>10.119310649580203</v>
      </c>
      <c r="AC11" s="4">
        <f>((nazione[[#This Row],[totale_attualmente_positivi]]-(nazione[[#This Row],[totale_ospedalizzati]]))/nazione[[#This Row],[totale_attualmente_positivi]])*100</f>
        <v>44.189129474149361</v>
      </c>
      <c r="AD11" s="8">
        <f>(nazione[[#This Row],[Deceaded by day]]/nazione[[#This Row],[totale_attualmente_positivi]])*100</f>
        <v>1.1931064958020325</v>
      </c>
      <c r="AE11" s="8">
        <f>(nazione[[#This Row],[Deceaded by day]]/morti_per_regione!D$2) *100</f>
        <v>4.2645068255800916E-3</v>
      </c>
    </row>
    <row r="12" spans="1:33" x14ac:dyDescent="0.2">
      <c r="A12">
        <v>10</v>
      </c>
      <c r="B12" s="6">
        <v>43894.75</v>
      </c>
      <c r="C12" s="1" t="s">
        <v>42</v>
      </c>
      <c r="D12">
        <v>1346</v>
      </c>
      <c r="E12">
        <v>295</v>
      </c>
      <c r="F12">
        <v>1641</v>
      </c>
      <c r="G12">
        <v>1065</v>
      </c>
      <c r="H12">
        <v>2706</v>
      </c>
      <c r="I12">
        <v>443</v>
      </c>
      <c r="J12">
        <v>587</v>
      </c>
      <c r="K12">
        <v>276</v>
      </c>
      <c r="L12">
        <v>107</v>
      </c>
      <c r="O12">
        <v>3089</v>
      </c>
      <c r="P12">
        <v>29837</v>
      </c>
      <c r="R12" s="1" t="s">
        <v>82</v>
      </c>
      <c r="S12" s="1">
        <f t="shared" si="2"/>
        <v>378</v>
      </c>
      <c r="T12" s="1">
        <f t="shared" si="3"/>
        <v>66</v>
      </c>
      <c r="U12">
        <f t="shared" si="4"/>
        <v>28</v>
      </c>
      <c r="V12">
        <f t="shared" si="5"/>
        <v>116</v>
      </c>
      <c r="W12" s="8">
        <f t="shared" si="1"/>
        <v>0.19575784357048165</v>
      </c>
      <c r="X12" s="1">
        <f>IF(Q12=0,(nazione[[#This Row],[nuovi_attualmente_positivi]]/nazione[[#This Row],[test_per_giorno]])*100,(nazione[[#This Row],[nuovi_attualmente_positivi]]/nazione[[#This Row],[test_per_giorno]])*100)</f>
        <v>14.745038934940968</v>
      </c>
      <c r="Y12">
        <f>IF(nazione[[#This Row],[casi_testati]]=0,nazione[[#This Row],[tamponi]]-P11,IF(Q11=0,nazione[[#This Row],[casi_testati]]-Y11,nazione[[#This Row],[casi_testati]]-Q11))</f>
        <v>3981</v>
      </c>
      <c r="Z12" s="4">
        <f>IF(Q12=0,(nazione[[#This Row],[test_per_giorno]]/AG$3)*100,(nazione[[#This Row],[test_per_giorno]]/AG$3)*100)</f>
        <v>6.6080568596319422E-3</v>
      </c>
      <c r="AA12" s="4">
        <f>(nazione[[#This Row],[ricoverati_con_sintomi]]/nazione[[#This Row],[totale_attualmente_positivi]])*100</f>
        <v>49.741315594974132</v>
      </c>
      <c r="AB12" s="4">
        <f>(nazione[[#This Row],[terapia_intensiva]]/nazione[[#This Row],[totale_attualmente_positivi]])*100</f>
        <v>10.901699926090171</v>
      </c>
      <c r="AC12" s="4">
        <f>((nazione[[#This Row],[totale_attualmente_positivi]]-(nazione[[#This Row],[totale_ospedalizzati]]))/nazione[[#This Row],[totale_attualmente_positivi]])*100</f>
        <v>39.356984478935701</v>
      </c>
      <c r="AD12" s="8">
        <f>(nazione[[#This Row],[Deceaded by day]]/nazione[[#This Row],[totale_attualmente_positivi]])*100</f>
        <v>1.0347376201034737</v>
      </c>
      <c r="AE12" s="8">
        <f>(nazione[[#This Row],[Deceaded by day]]/morti_per_regione!D$2) *100</f>
        <v>4.4224515228237981E-3</v>
      </c>
    </row>
    <row r="13" spans="1:33" x14ac:dyDescent="0.2">
      <c r="A13">
        <v>11</v>
      </c>
      <c r="B13" s="6">
        <v>43895.75</v>
      </c>
      <c r="C13" s="1" t="s">
        <v>42</v>
      </c>
      <c r="D13">
        <v>1790</v>
      </c>
      <c r="E13">
        <v>351</v>
      </c>
      <c r="F13">
        <v>2141</v>
      </c>
      <c r="G13">
        <v>1155</v>
      </c>
      <c r="H13">
        <v>3296</v>
      </c>
      <c r="I13">
        <v>590</v>
      </c>
      <c r="J13">
        <v>769</v>
      </c>
      <c r="K13">
        <v>414</v>
      </c>
      <c r="L13">
        <v>148</v>
      </c>
      <c r="O13">
        <v>3858</v>
      </c>
      <c r="P13">
        <v>32362</v>
      </c>
      <c r="R13" s="1" t="s">
        <v>82</v>
      </c>
      <c r="S13" s="1">
        <f t="shared" si="2"/>
        <v>500</v>
      </c>
      <c r="T13" s="1">
        <f t="shared" si="3"/>
        <v>56</v>
      </c>
      <c r="U13">
        <f t="shared" si="4"/>
        <v>41</v>
      </c>
      <c r="V13">
        <f t="shared" si="5"/>
        <v>138</v>
      </c>
      <c r="W13" s="8">
        <f t="shared" si="1"/>
        <v>0.21803399852180338</v>
      </c>
      <c r="X13" s="1">
        <f>IF(Q13=0,(nazione[[#This Row],[nuovi_attualmente_positivi]]/nazione[[#This Row],[test_per_giorno]])*100,(nazione[[#This Row],[nuovi_attualmente_positivi]]/nazione[[#This Row],[test_per_giorno]])*100)</f>
        <v>30.455445544554454</v>
      </c>
      <c r="Y13">
        <f>IF(nazione[[#This Row],[casi_testati]]=0,nazione[[#This Row],[tamponi]]-P12,IF(Q12=0,nazione[[#This Row],[casi_testati]]-Y12,nazione[[#This Row],[casi_testati]]-Q12))</f>
        <v>2525</v>
      </c>
      <c r="Z13" s="4">
        <f>IF(Q13=0,(nazione[[#This Row],[test_per_giorno]]/AG$3)*100,(nazione[[#This Row],[test_per_giorno]]/AG$3)*100)</f>
        <v>4.1912443030823043E-3</v>
      </c>
      <c r="AA13" s="4">
        <f>(nazione[[#This Row],[ricoverati_con_sintomi]]/nazione[[#This Row],[totale_attualmente_positivi]])*100</f>
        <v>54.30825242718447</v>
      </c>
      <c r="AB13" s="4">
        <f>(nazione[[#This Row],[terapia_intensiva]]/nazione[[#This Row],[totale_attualmente_positivi]])*100</f>
        <v>10.649271844660193</v>
      </c>
      <c r="AC13" s="4">
        <f>((nazione[[#This Row],[totale_attualmente_positivi]]-(nazione[[#This Row],[totale_ospedalizzati]]))/nazione[[#This Row],[totale_attualmente_positivi]])*100</f>
        <v>35.042475728155345</v>
      </c>
      <c r="AD13" s="8">
        <f>(nazione[[#This Row],[Deceaded by day]]/nazione[[#This Row],[totale_attualmente_positivi]])*100</f>
        <v>1.2439320388349515</v>
      </c>
      <c r="AE13" s="8">
        <f>(nazione[[#This Row],[Deceaded by day]]/morti_per_regione!D$2) *100</f>
        <v>6.4757325869919903E-3</v>
      </c>
    </row>
    <row r="14" spans="1:33" x14ac:dyDescent="0.2">
      <c r="A14">
        <v>12</v>
      </c>
      <c r="B14" s="6">
        <v>43896.75</v>
      </c>
      <c r="C14" s="1" t="s">
        <v>42</v>
      </c>
      <c r="D14">
        <v>2394</v>
      </c>
      <c r="E14">
        <v>462</v>
      </c>
      <c r="F14">
        <v>2856</v>
      </c>
      <c r="G14">
        <v>1060</v>
      </c>
      <c r="H14">
        <v>3916</v>
      </c>
      <c r="I14">
        <v>620</v>
      </c>
      <c r="J14">
        <v>778</v>
      </c>
      <c r="K14">
        <v>523</v>
      </c>
      <c r="L14">
        <v>197</v>
      </c>
      <c r="O14">
        <v>4636</v>
      </c>
      <c r="P14">
        <v>36359</v>
      </c>
      <c r="R14" s="1" t="s">
        <v>82</v>
      </c>
      <c r="S14" s="1">
        <f t="shared" si="2"/>
        <v>715</v>
      </c>
      <c r="T14" s="1">
        <f t="shared" si="3"/>
        <v>111</v>
      </c>
      <c r="U14">
        <f t="shared" si="4"/>
        <v>49</v>
      </c>
      <c r="V14">
        <f t="shared" si="5"/>
        <v>109</v>
      </c>
      <c r="W14" s="8">
        <f t="shared" si="1"/>
        <v>0.18810679611650483</v>
      </c>
      <c r="X14" s="1">
        <f>IF(Q14=0,(nazione[[#This Row],[nuovi_attualmente_positivi]]/nazione[[#This Row],[test_per_giorno]])*100,(nazione[[#This Row],[nuovi_attualmente_positivi]]/nazione[[#This Row],[test_per_giorno]])*100)</f>
        <v>19.464598448836629</v>
      </c>
      <c r="Y14">
        <f>IF(nazione[[#This Row],[casi_testati]]=0,nazione[[#This Row],[tamponi]]-P13,IF(Q13=0,nazione[[#This Row],[casi_testati]]-Y13,nazione[[#This Row],[casi_testati]]-Q13))</f>
        <v>3997</v>
      </c>
      <c r="Z14" s="4">
        <f>IF(Q14=0,(nazione[[#This Row],[test_per_giorno]]/AG$3)*100,(nazione[[#This Row],[test_per_giorno]]/AG$3)*100)</f>
        <v>6.6346152393742461E-3</v>
      </c>
      <c r="AA14" s="4">
        <f>(nazione[[#This Row],[ricoverati_con_sintomi]]/nazione[[#This Row],[totale_attualmente_positivi]])*100</f>
        <v>61.133810010214503</v>
      </c>
      <c r="AB14" s="4">
        <f>(nazione[[#This Row],[terapia_intensiva]]/nazione[[#This Row],[totale_attualmente_positivi]])*100</f>
        <v>11.797752808988763</v>
      </c>
      <c r="AC14" s="4">
        <f>((nazione[[#This Row],[totale_attualmente_positivi]]-(nazione[[#This Row],[totale_ospedalizzati]]))/nazione[[#This Row],[totale_attualmente_positivi]])*100</f>
        <v>27.068437180796735</v>
      </c>
      <c r="AD14" s="8">
        <f>(nazione[[#This Row],[Deceaded by day]]/nazione[[#This Row],[totale_attualmente_positivi]])*100</f>
        <v>1.251276813074566</v>
      </c>
      <c r="AE14" s="8">
        <f>(nazione[[#This Row],[Deceaded by day]]/morti_per_regione!D$2) *100</f>
        <v>7.7392901649416474E-3</v>
      </c>
    </row>
    <row r="15" spans="1:33" x14ac:dyDescent="0.2">
      <c r="A15">
        <v>13</v>
      </c>
      <c r="B15" s="6">
        <v>43897.75</v>
      </c>
      <c r="C15" s="1" t="s">
        <v>42</v>
      </c>
      <c r="D15">
        <v>2651</v>
      </c>
      <c r="E15">
        <v>567</v>
      </c>
      <c r="F15">
        <v>3218</v>
      </c>
      <c r="G15">
        <v>1843</v>
      </c>
      <c r="H15">
        <v>5061</v>
      </c>
      <c r="I15">
        <v>1145</v>
      </c>
      <c r="J15">
        <v>1247</v>
      </c>
      <c r="K15">
        <v>589</v>
      </c>
      <c r="L15">
        <v>233</v>
      </c>
      <c r="O15">
        <v>5883</v>
      </c>
      <c r="P15">
        <v>42062</v>
      </c>
      <c r="R15" s="1" t="s">
        <v>86</v>
      </c>
      <c r="S15" s="1">
        <f t="shared" si="2"/>
        <v>362</v>
      </c>
      <c r="T15" s="1">
        <f t="shared" si="3"/>
        <v>105</v>
      </c>
      <c r="U15">
        <f t="shared" si="4"/>
        <v>36</v>
      </c>
      <c r="V15">
        <f t="shared" si="5"/>
        <v>66</v>
      </c>
      <c r="W15" s="8">
        <f t="shared" si="1"/>
        <v>0.29239019407558731</v>
      </c>
      <c r="X15" s="1">
        <f>IF(Q15=0,(nazione[[#This Row],[nuovi_attualmente_positivi]]/nazione[[#This Row],[test_per_giorno]])*100,(nazione[[#This Row],[nuovi_attualmente_positivi]]/nazione[[#This Row],[test_per_giorno]])*100)</f>
        <v>21.86568472733649</v>
      </c>
      <c r="Y15">
        <f>IF(nazione[[#This Row],[casi_testati]]=0,nazione[[#This Row],[tamponi]]-P14,IF(Q14=0,nazione[[#This Row],[casi_testati]]-Y14,nazione[[#This Row],[casi_testati]]-Q14))</f>
        <v>5703</v>
      </c>
      <c r="Z15" s="4">
        <f>IF(Q15=0,(nazione[[#This Row],[test_per_giorno]]/AG$3)*100,(nazione[[#This Row],[test_per_giorno]]/AG$3)*100)</f>
        <v>9.4664024793973782E-3</v>
      </c>
      <c r="AA15" s="4">
        <f>(nazione[[#This Row],[ricoverati_con_sintomi]]/nazione[[#This Row],[totale_attualmente_positivi]])*100</f>
        <v>52.380952380952387</v>
      </c>
      <c r="AB15" s="4">
        <f>(nazione[[#This Row],[terapia_intensiva]]/nazione[[#This Row],[totale_attualmente_positivi]])*100</f>
        <v>11.20331950207469</v>
      </c>
      <c r="AC15" s="4">
        <f>((nazione[[#This Row],[totale_attualmente_positivi]]-(nazione[[#This Row],[totale_ospedalizzati]]))/nazione[[#This Row],[totale_attualmente_positivi]])*100</f>
        <v>36.415728116972929</v>
      </c>
      <c r="AD15" s="8">
        <f>(nazione[[#This Row],[Deceaded by day]]/nazione[[#This Row],[totale_attualmente_positivi]])*100</f>
        <v>0.71132187314759932</v>
      </c>
      <c r="AE15" s="8">
        <f>(nazione[[#This Row],[Deceaded by day]]/morti_per_regione!D$2) *100</f>
        <v>5.6860091007734552E-3</v>
      </c>
    </row>
    <row r="16" spans="1:33" x14ac:dyDescent="0.2">
      <c r="A16">
        <v>14</v>
      </c>
      <c r="B16" s="6">
        <v>43898.75</v>
      </c>
      <c r="C16" s="1" t="s">
        <v>42</v>
      </c>
      <c r="D16">
        <v>3557</v>
      </c>
      <c r="E16">
        <v>650</v>
      </c>
      <c r="F16">
        <v>4207</v>
      </c>
      <c r="G16">
        <v>2180</v>
      </c>
      <c r="H16">
        <v>6387</v>
      </c>
      <c r="I16">
        <v>1326</v>
      </c>
      <c r="J16">
        <v>1492</v>
      </c>
      <c r="K16">
        <v>622</v>
      </c>
      <c r="L16">
        <v>366</v>
      </c>
      <c r="O16">
        <v>7375</v>
      </c>
      <c r="P16">
        <v>49937</v>
      </c>
      <c r="R16" s="1" t="s">
        <v>82</v>
      </c>
      <c r="S16" s="1">
        <f t="shared" si="2"/>
        <v>989</v>
      </c>
      <c r="T16" s="1">
        <f t="shared" si="3"/>
        <v>83</v>
      </c>
      <c r="U16">
        <f t="shared" si="4"/>
        <v>133</v>
      </c>
      <c r="V16">
        <f t="shared" si="5"/>
        <v>33</v>
      </c>
      <c r="W16" s="8">
        <f t="shared" si="1"/>
        <v>0.2620035566093657</v>
      </c>
      <c r="X16" s="1">
        <f>IF(Q16=0,(nazione[[#This Row],[nuovi_attualmente_positivi]]/nazione[[#This Row],[test_per_giorno]])*100,(nazione[[#This Row],[nuovi_attualmente_positivi]]/nazione[[#This Row],[test_per_giorno]])*100)</f>
        <v>18.946031746031746</v>
      </c>
      <c r="Y16">
        <f>IF(nazione[[#This Row],[casi_testati]]=0,nazione[[#This Row],[tamponi]]-P15,IF(Q15=0,nazione[[#This Row],[casi_testati]]-Y15,nazione[[#This Row],[casi_testati]]-Q15))</f>
        <v>7875</v>
      </c>
      <c r="Z16" s="4">
        <f>IF(Q16=0,(nazione[[#This Row],[test_per_giorno]]/AG$3)*100,(nazione[[#This Row],[test_per_giorno]]/AG$3)*100)</f>
        <v>1.3071702529415108E-2</v>
      </c>
      <c r="AA16" s="4">
        <f>(nazione[[#This Row],[ricoverati_con_sintomi]]/nazione[[#This Row],[totale_attualmente_positivi]])*100</f>
        <v>55.691247847189608</v>
      </c>
      <c r="AB16" s="4">
        <f>(nazione[[#This Row],[terapia_intensiva]]/nazione[[#This Row],[totale_attualmente_positivi]])*100</f>
        <v>10.176921872553626</v>
      </c>
      <c r="AC16" s="4">
        <f>((nazione[[#This Row],[totale_attualmente_positivi]]-(nazione[[#This Row],[totale_ospedalizzati]]))/nazione[[#This Row],[totale_attualmente_positivi]])*100</f>
        <v>34.131830280256771</v>
      </c>
      <c r="AD16" s="8">
        <f>(nazione[[#This Row],[Deceaded by day]]/nazione[[#This Row],[totale_attualmente_positivi]])*100</f>
        <v>2.08235478315328</v>
      </c>
      <c r="AE16" s="8">
        <f>(nazione[[#This Row],[Deceaded by day]]/morti_per_regione!D$2) *100</f>
        <v>2.1006644733413044E-2</v>
      </c>
    </row>
    <row r="17" spans="1:32" x14ac:dyDescent="0.2">
      <c r="A17">
        <v>15</v>
      </c>
      <c r="B17" s="6">
        <v>43899.75</v>
      </c>
      <c r="C17" s="1" t="s">
        <v>42</v>
      </c>
      <c r="D17">
        <v>4316</v>
      </c>
      <c r="E17">
        <v>733</v>
      </c>
      <c r="F17">
        <v>5049</v>
      </c>
      <c r="G17">
        <v>2936</v>
      </c>
      <c r="H17">
        <v>7985</v>
      </c>
      <c r="I17">
        <v>1598</v>
      </c>
      <c r="J17">
        <v>1797</v>
      </c>
      <c r="K17">
        <v>724</v>
      </c>
      <c r="L17">
        <v>463</v>
      </c>
      <c r="O17">
        <v>9172</v>
      </c>
      <c r="P17">
        <v>53826</v>
      </c>
      <c r="R17" s="1" t="s">
        <v>82</v>
      </c>
      <c r="S17" s="1">
        <f t="shared" si="2"/>
        <v>842</v>
      </c>
      <c r="T17" s="1">
        <f t="shared" si="3"/>
        <v>83</v>
      </c>
      <c r="U17">
        <f t="shared" si="4"/>
        <v>97</v>
      </c>
      <c r="V17">
        <f t="shared" si="5"/>
        <v>102</v>
      </c>
      <c r="W17" s="8">
        <f t="shared" si="1"/>
        <v>0.2501957100360106</v>
      </c>
      <c r="X17" s="1">
        <f>IF(Q17=0,(nazione[[#This Row],[nuovi_attualmente_positivi]]/nazione[[#This Row],[test_per_giorno]])*100,(nazione[[#This Row],[nuovi_attualmente_positivi]]/nazione[[#This Row],[test_per_giorno]])*100)</f>
        <v>46.207251221393676</v>
      </c>
      <c r="Y17">
        <f>IF(nazione[[#This Row],[casi_testati]]=0,nazione[[#This Row],[tamponi]]-P16,IF(Q16=0,nazione[[#This Row],[casi_testati]]-Y16,nazione[[#This Row],[casi_testati]]-Q16))</f>
        <v>3889</v>
      </c>
      <c r="Z17" s="4">
        <f>IF(Q17=0,(nazione[[#This Row],[test_per_giorno]]/AG$3)*100,(nazione[[#This Row],[test_per_giorno]]/AG$3)*100)</f>
        <v>6.4553461761136955E-3</v>
      </c>
      <c r="AA17" s="4">
        <f>(nazione[[#This Row],[ricoverati_con_sintomi]]/nazione[[#This Row],[totale_attualmente_positivi]])*100</f>
        <v>54.051346274264247</v>
      </c>
      <c r="AB17" s="4">
        <f>(nazione[[#This Row],[terapia_intensiva]]/nazione[[#This Row],[totale_attualmente_positivi]])*100</f>
        <v>9.1797119599248589</v>
      </c>
      <c r="AC17" s="4">
        <f>((nazione[[#This Row],[totale_attualmente_positivi]]-(nazione[[#This Row],[totale_ospedalizzati]]))/nazione[[#This Row],[totale_attualmente_positivi]])*100</f>
        <v>36.768941765810901</v>
      </c>
      <c r="AD17" s="8">
        <f>(nazione[[#This Row],[Deceaded by day]]/nazione[[#This Row],[totale_attualmente_positivi]])*100</f>
        <v>1.2147777082028803</v>
      </c>
      <c r="AE17" s="8">
        <f>(nazione[[#This Row],[Deceaded by day]]/morti_per_regione!D$2) *100</f>
        <v>1.5320635632639587E-2</v>
      </c>
    </row>
    <row r="18" spans="1:32" x14ac:dyDescent="0.2">
      <c r="A18">
        <v>16</v>
      </c>
      <c r="B18" s="6">
        <v>43900.75</v>
      </c>
      <c r="C18" s="1" t="s">
        <v>42</v>
      </c>
      <c r="D18">
        <v>5038</v>
      </c>
      <c r="E18">
        <v>877</v>
      </c>
      <c r="F18">
        <v>5915</v>
      </c>
      <c r="G18">
        <v>2599</v>
      </c>
      <c r="H18">
        <v>8514</v>
      </c>
      <c r="I18">
        <v>529</v>
      </c>
      <c r="J18">
        <v>977</v>
      </c>
      <c r="K18">
        <v>1004</v>
      </c>
      <c r="L18">
        <v>631</v>
      </c>
      <c r="O18">
        <v>10149</v>
      </c>
      <c r="P18">
        <v>60761</v>
      </c>
      <c r="R18" s="1" t="s">
        <v>87</v>
      </c>
      <c r="S18" s="1">
        <f t="shared" si="2"/>
        <v>866</v>
      </c>
      <c r="T18" s="1">
        <f t="shared" si="3"/>
        <v>144</v>
      </c>
      <c r="U18">
        <f t="shared" si="4"/>
        <v>168</v>
      </c>
      <c r="V18">
        <f t="shared" si="5"/>
        <v>280</v>
      </c>
      <c r="W18" s="8">
        <f t="shared" si="1"/>
        <v>6.6249217282404516E-2</v>
      </c>
      <c r="X18" s="1">
        <f>IF(Q18=0,(nazione[[#This Row],[nuovi_attualmente_positivi]]/nazione[[#This Row],[test_per_giorno]])*100,(nazione[[#This Row],[nuovi_attualmente_positivi]]/nazione[[#This Row],[test_per_giorno]])*100)</f>
        <v>14.087959625090122</v>
      </c>
      <c r="Y18">
        <f>IF(nazione[[#This Row],[casi_testati]]=0,nazione[[#This Row],[tamponi]]-P17,IF(Q17=0,nazione[[#This Row],[casi_testati]]-Y17,nazione[[#This Row],[casi_testati]]-Q17))</f>
        <v>6935</v>
      </c>
      <c r="Z18" s="4">
        <f>IF(Q18=0,(nazione[[#This Row],[test_per_giorno]]/AG$3)*100,(nazione[[#This Row],[test_per_giorno]]/AG$3)*100)</f>
        <v>1.1511397719554764E-2</v>
      </c>
      <c r="AA18" s="4">
        <f>(nazione[[#This Row],[ricoverati_con_sintomi]]/nazione[[#This Row],[totale_attualmente_positivi]])*100</f>
        <v>59.173126614987083</v>
      </c>
      <c r="AB18" s="4">
        <f>(nazione[[#This Row],[terapia_intensiva]]/nazione[[#This Row],[totale_attualmente_positivi]])*100</f>
        <v>10.300681230913789</v>
      </c>
      <c r="AC18" s="4">
        <f>((nazione[[#This Row],[totale_attualmente_positivi]]-(nazione[[#This Row],[totale_ospedalizzati]]))/nazione[[#This Row],[totale_attualmente_positivi]])*100</f>
        <v>30.526192154099128</v>
      </c>
      <c r="AD18" s="8">
        <f>(nazione[[#This Row],[Deceaded by day]]/nazione[[#This Row],[totale_attualmente_positivi]])*100</f>
        <v>1.9732205778717407</v>
      </c>
      <c r="AE18" s="8">
        <f>(nazione[[#This Row],[Deceaded by day]]/morti_per_regione!D$2) *100</f>
        <v>2.6534709136942791E-2</v>
      </c>
    </row>
    <row r="19" spans="1:32" x14ac:dyDescent="0.2">
      <c r="A19">
        <v>17</v>
      </c>
      <c r="B19" s="6">
        <v>43901.708333333336</v>
      </c>
      <c r="C19" s="1" t="s">
        <v>42</v>
      </c>
      <c r="D19">
        <v>5838</v>
      </c>
      <c r="E19">
        <v>1028</v>
      </c>
      <c r="F19">
        <v>6866</v>
      </c>
      <c r="G19">
        <v>3724</v>
      </c>
      <c r="H19">
        <v>10590</v>
      </c>
      <c r="I19">
        <v>2076</v>
      </c>
      <c r="J19">
        <v>2313</v>
      </c>
      <c r="K19">
        <v>1045</v>
      </c>
      <c r="L19">
        <v>827</v>
      </c>
      <c r="O19">
        <v>12462</v>
      </c>
      <c r="P19">
        <v>73154</v>
      </c>
      <c r="R19" s="1" t="s">
        <v>88</v>
      </c>
      <c r="S19" s="1">
        <f t="shared" si="2"/>
        <v>951</v>
      </c>
      <c r="T19" s="1">
        <f t="shared" si="3"/>
        <v>151</v>
      </c>
      <c r="U19">
        <f t="shared" si="4"/>
        <v>196</v>
      </c>
      <c r="V19">
        <f t="shared" si="5"/>
        <v>41</v>
      </c>
      <c r="W19" s="8">
        <f t="shared" si="1"/>
        <v>0.24383368569415076</v>
      </c>
      <c r="X19" s="1">
        <f>IF(Q19=0,(nazione[[#This Row],[nuovi_attualmente_positivi]]/nazione[[#This Row],[test_per_giorno]])*100,(nazione[[#This Row],[nuovi_attualmente_positivi]]/nazione[[#This Row],[test_per_giorno]])*100)</f>
        <v>18.663761801016705</v>
      </c>
      <c r="Y19">
        <f>IF(nazione[[#This Row],[casi_testati]]=0,nazione[[#This Row],[tamponi]]-P18,IF(Q18=0,nazione[[#This Row],[casi_testati]]-Y18,nazione[[#This Row],[casi_testati]]-Q18))</f>
        <v>12393</v>
      </c>
      <c r="Z19" s="4">
        <f>IF(Q19=0,(nazione[[#This Row],[test_per_giorno]]/AG$3)*100,(nazione[[#This Row],[test_per_giorno]]/AG$3)*100)</f>
        <v>2.0571125009148115E-2</v>
      </c>
      <c r="AA19" s="4">
        <f>(nazione[[#This Row],[ricoverati_con_sintomi]]/nazione[[#This Row],[totale_attualmente_positivi]])*100</f>
        <v>55.127478753541084</v>
      </c>
      <c r="AB19" s="4">
        <f>(nazione[[#This Row],[terapia_intensiva]]/nazione[[#This Row],[totale_attualmente_positivi]])*100</f>
        <v>9.7072710103871565</v>
      </c>
      <c r="AC19" s="4">
        <f>((nazione[[#This Row],[totale_attualmente_positivi]]-(nazione[[#This Row],[totale_ospedalizzati]]))/nazione[[#This Row],[totale_attualmente_positivi]])*100</f>
        <v>35.165250236071763</v>
      </c>
      <c r="AD19" s="8">
        <f>(nazione[[#This Row],[Deceaded by day]]/nazione[[#This Row],[totale_attualmente_positivi]])*100</f>
        <v>1.850802644003777</v>
      </c>
      <c r="AE19" s="8">
        <f>(nazione[[#This Row],[Deceaded by day]]/morti_per_regione!D$2) *100</f>
        <v>3.095716065976659E-2</v>
      </c>
    </row>
    <row r="20" spans="1:32" x14ac:dyDescent="0.2">
      <c r="A20">
        <v>18</v>
      </c>
      <c r="B20" s="6">
        <v>43902.708333333336</v>
      </c>
      <c r="C20" s="1" t="s">
        <v>42</v>
      </c>
      <c r="D20">
        <v>6650</v>
      </c>
      <c r="E20">
        <v>1153</v>
      </c>
      <c r="F20">
        <v>7803</v>
      </c>
      <c r="G20">
        <v>5036</v>
      </c>
      <c r="H20">
        <v>12839</v>
      </c>
      <c r="I20">
        <v>2249</v>
      </c>
      <c r="J20">
        <v>2651</v>
      </c>
      <c r="K20">
        <v>1258</v>
      </c>
      <c r="L20">
        <v>1016</v>
      </c>
      <c r="O20">
        <v>15113</v>
      </c>
      <c r="P20">
        <v>86011</v>
      </c>
      <c r="R20" s="1" t="s">
        <v>82</v>
      </c>
      <c r="S20" s="1">
        <f t="shared" si="2"/>
        <v>937</v>
      </c>
      <c r="T20" s="1">
        <f t="shared" si="3"/>
        <v>125</v>
      </c>
      <c r="U20">
        <f t="shared" si="4"/>
        <v>189</v>
      </c>
      <c r="V20">
        <f t="shared" si="5"/>
        <v>213</v>
      </c>
      <c r="W20" s="8">
        <f t="shared" si="1"/>
        <v>0.21237016052880064</v>
      </c>
      <c r="X20" s="1">
        <f>IF(Q20=0,(nazione[[#This Row],[nuovi_attualmente_positivi]]/nazione[[#This Row],[test_per_giorno]])*100,(nazione[[#This Row],[nuovi_attualmente_positivi]]/nazione[[#This Row],[test_per_giorno]])*100)</f>
        <v>20.619117990199893</v>
      </c>
      <c r="Y20">
        <f>IF(nazione[[#This Row],[casi_testati]]=0,nazione[[#This Row],[tamponi]]-P19,IF(Q19=0,nazione[[#This Row],[casi_testati]]-Y19,nazione[[#This Row],[casi_testati]]-Q19))</f>
        <v>12857</v>
      </c>
      <c r="Z20" s="4">
        <f>IF(Q20=0,(nazione[[#This Row],[test_per_giorno]]/AG$3)*100,(nazione[[#This Row],[test_per_giorno]]/AG$3)*100)</f>
        <v>2.1341318021674924E-2</v>
      </c>
      <c r="AA20" s="4">
        <f>(nazione[[#This Row],[ricoverati_con_sintomi]]/nazione[[#This Row],[totale_attualmente_positivi]])*100</f>
        <v>51.795311161305399</v>
      </c>
      <c r="AB20" s="4">
        <f>(nazione[[#This Row],[terapia_intensiva]]/nazione[[#This Row],[totale_attualmente_positivi]])*100</f>
        <v>8.9804501908248309</v>
      </c>
      <c r="AC20" s="4">
        <f>((nazione[[#This Row],[totale_attualmente_positivi]]-(nazione[[#This Row],[totale_ospedalizzati]]))/nazione[[#This Row],[totale_attualmente_positivi]])*100</f>
        <v>39.224238647869768</v>
      </c>
      <c r="AD20" s="8">
        <f>(nazione[[#This Row],[Deceaded by day]]/nazione[[#This Row],[totale_attualmente_positivi]])*100</f>
        <v>1.4720772645844693</v>
      </c>
      <c r="AE20" s="8">
        <f>(nazione[[#This Row],[Deceaded by day]]/morti_per_regione!D$2) *100</f>
        <v>2.9851547779060641E-2</v>
      </c>
    </row>
    <row r="21" spans="1:32" x14ac:dyDescent="0.2">
      <c r="A21">
        <v>19</v>
      </c>
      <c r="B21" s="6">
        <v>43903.708333333336</v>
      </c>
      <c r="C21" s="1" t="s">
        <v>42</v>
      </c>
      <c r="D21">
        <v>7426</v>
      </c>
      <c r="E21">
        <v>1328</v>
      </c>
      <c r="F21">
        <v>8754</v>
      </c>
      <c r="G21">
        <v>6201</v>
      </c>
      <c r="H21">
        <v>14955</v>
      </c>
      <c r="I21">
        <v>2116</v>
      </c>
      <c r="J21">
        <v>2547</v>
      </c>
      <c r="K21">
        <v>1439</v>
      </c>
      <c r="L21">
        <v>1266</v>
      </c>
      <c r="O21">
        <v>17660</v>
      </c>
      <c r="P21">
        <v>97488</v>
      </c>
      <c r="R21" s="1" t="s">
        <v>82</v>
      </c>
      <c r="S21" s="1">
        <f t="shared" si="2"/>
        <v>951</v>
      </c>
      <c r="T21" s="1">
        <f t="shared" si="3"/>
        <v>175</v>
      </c>
      <c r="U21">
        <f t="shared" si="4"/>
        <v>250</v>
      </c>
      <c r="V21">
        <f t="shared" si="5"/>
        <v>181</v>
      </c>
      <c r="W21" s="8">
        <f t="shared" si="1"/>
        <v>0.16481034348469503</v>
      </c>
      <c r="X21" s="1">
        <f>IF(Q21=0,(nazione[[#This Row],[nuovi_attualmente_positivi]]/nazione[[#This Row],[test_per_giorno]])*100,(nazione[[#This Row],[nuovi_attualmente_positivi]]/nazione[[#This Row],[test_per_giorno]])*100)</f>
        <v>22.192210507972469</v>
      </c>
      <c r="Y21">
        <f>IF(nazione[[#This Row],[casi_testati]]=0,nazione[[#This Row],[tamponi]]-P20,IF(Q20=0,nazione[[#This Row],[casi_testati]]-Y20,nazione[[#This Row],[casi_testati]]-Q20))</f>
        <v>11477</v>
      </c>
      <c r="Z21" s="4">
        <f>IF(Q21=0,(nazione[[#This Row],[test_per_giorno]]/AG$3)*100,(nazione[[#This Row],[test_per_giorno]]/AG$3)*100)</f>
        <v>1.9050657768901229E-2</v>
      </c>
      <c r="AA21" s="4">
        <f>(nazione[[#This Row],[ricoverati_con_sintomi]]/nazione[[#This Row],[totale_attualmente_positivi]])*100</f>
        <v>49.655633567368774</v>
      </c>
      <c r="AB21" s="4">
        <f>(nazione[[#This Row],[terapia_intensiva]]/nazione[[#This Row],[totale_attualmente_positivi]])*100</f>
        <v>8.8799732530926114</v>
      </c>
      <c r="AC21" s="4">
        <f>((nazione[[#This Row],[totale_attualmente_positivi]]-(nazione[[#This Row],[totale_ospedalizzati]]))/nazione[[#This Row],[totale_attualmente_positivi]])*100</f>
        <v>41.464393179538618</v>
      </c>
      <c r="AD21" s="8">
        <f>(nazione[[#This Row],[Deceaded by day]]/nazione[[#This Row],[totale_attualmente_positivi]])*100</f>
        <v>1.671681711802073</v>
      </c>
      <c r="AE21" s="8">
        <f>(nazione[[#This Row],[Deceaded by day]]/morti_per_regione!D$2) *100</f>
        <v>3.9486174310926776E-2</v>
      </c>
    </row>
    <row r="22" spans="1:32" x14ac:dyDescent="0.2">
      <c r="A22">
        <v>20</v>
      </c>
      <c r="B22" s="6">
        <v>43904.708333333336</v>
      </c>
      <c r="C22" s="1" t="s">
        <v>42</v>
      </c>
      <c r="D22">
        <v>8372</v>
      </c>
      <c r="E22">
        <v>1518</v>
      </c>
      <c r="F22">
        <v>9890</v>
      </c>
      <c r="G22">
        <v>7860</v>
      </c>
      <c r="H22">
        <v>17750</v>
      </c>
      <c r="I22">
        <v>2795</v>
      </c>
      <c r="J22">
        <v>3497</v>
      </c>
      <c r="K22">
        <v>1966</v>
      </c>
      <c r="L22">
        <v>1441</v>
      </c>
      <c r="O22">
        <v>21157</v>
      </c>
      <c r="P22">
        <v>109170</v>
      </c>
      <c r="R22" s="1" t="s">
        <v>82</v>
      </c>
      <c r="S22" s="1">
        <f t="shared" si="2"/>
        <v>1136</v>
      </c>
      <c r="T22" s="1">
        <f t="shared" si="3"/>
        <v>190</v>
      </c>
      <c r="U22">
        <f t="shared" si="4"/>
        <v>175</v>
      </c>
      <c r="V22">
        <f t="shared" si="5"/>
        <v>527</v>
      </c>
      <c r="W22" s="8">
        <f t="shared" si="1"/>
        <v>0.18689401537947181</v>
      </c>
      <c r="X22" s="1">
        <f>IF(Q22=0,(nazione[[#This Row],[nuovi_attualmente_positivi]]/nazione[[#This Row],[test_per_giorno]])*100,(nazione[[#This Row],[nuovi_attualmente_positivi]]/nazione[[#This Row],[test_per_giorno]])*100)</f>
        <v>29.934942646807055</v>
      </c>
      <c r="Y22">
        <f>IF(nazione[[#This Row],[casi_testati]]=0,nazione[[#This Row],[tamponi]]-P21,IF(Q21=0,nazione[[#This Row],[casi_testati]]-Y21,nazione[[#This Row],[casi_testati]]-Q21))</f>
        <v>11682</v>
      </c>
      <c r="Z22" s="4">
        <f>IF(Q22=0,(nazione[[#This Row],[test_per_giorno]]/AG$3)*100,(nazione[[#This Row],[test_per_giorno]]/AG$3)*100)</f>
        <v>1.9390937009349497E-2</v>
      </c>
      <c r="AA22" s="4">
        <f>(nazione[[#This Row],[ricoverati_con_sintomi]]/nazione[[#This Row],[totale_attualmente_positivi]])*100</f>
        <v>47.166197183098589</v>
      </c>
      <c r="AB22" s="4">
        <f>(nazione[[#This Row],[terapia_intensiva]]/nazione[[#This Row],[totale_attualmente_positivi]])*100</f>
        <v>8.5521126760563373</v>
      </c>
      <c r="AC22" s="4">
        <f>((nazione[[#This Row],[totale_attualmente_positivi]]-(nazione[[#This Row],[totale_ospedalizzati]]))/nazione[[#This Row],[totale_attualmente_positivi]])*100</f>
        <v>44.281690140845072</v>
      </c>
      <c r="AD22" s="8">
        <f>(nazione[[#This Row],[Deceaded by day]]/nazione[[#This Row],[totale_attualmente_positivi]])*100</f>
        <v>0.9859154929577465</v>
      </c>
      <c r="AE22" s="8">
        <f>(nazione[[#This Row],[Deceaded by day]]/morti_per_regione!D$2) *100</f>
        <v>2.7640322017648739E-2</v>
      </c>
    </row>
    <row r="23" spans="1:32" x14ac:dyDescent="0.2">
      <c r="A23">
        <v>21</v>
      </c>
      <c r="B23" s="6">
        <v>43905.708333333336</v>
      </c>
      <c r="C23" s="1" t="s">
        <v>42</v>
      </c>
      <c r="D23">
        <v>9663</v>
      </c>
      <c r="E23">
        <v>1672</v>
      </c>
      <c r="F23">
        <v>11335</v>
      </c>
      <c r="G23">
        <v>9268</v>
      </c>
      <c r="H23">
        <v>20603</v>
      </c>
      <c r="I23">
        <v>2853</v>
      </c>
      <c r="J23">
        <v>3590</v>
      </c>
      <c r="K23">
        <v>2335</v>
      </c>
      <c r="L23">
        <v>1809</v>
      </c>
      <c r="O23">
        <v>24747</v>
      </c>
      <c r="P23">
        <v>124899</v>
      </c>
      <c r="R23" s="1" t="s">
        <v>82</v>
      </c>
      <c r="S23" s="1">
        <f t="shared" si="2"/>
        <v>1445</v>
      </c>
      <c r="T23" s="1">
        <f t="shared" si="3"/>
        <v>154</v>
      </c>
      <c r="U23">
        <f t="shared" si="4"/>
        <v>368</v>
      </c>
      <c r="V23">
        <f t="shared" si="5"/>
        <v>369</v>
      </c>
      <c r="W23" s="8">
        <f t="shared" si="1"/>
        <v>0.16073239436619713</v>
      </c>
      <c r="X23" s="1">
        <f>IF(Q23=0,(nazione[[#This Row],[nuovi_attualmente_positivi]]/nazione[[#This Row],[test_per_giorno]])*100,(nazione[[#This Row],[nuovi_attualmente_positivi]]/nazione[[#This Row],[test_per_giorno]])*100)</f>
        <v>22.824082904189712</v>
      </c>
      <c r="Y23">
        <f>IF(nazione[[#This Row],[casi_testati]]=0,nazione[[#This Row],[tamponi]]-P22,IF(Q22=0,nazione[[#This Row],[casi_testati]]-Y22,nazione[[#This Row],[casi_testati]]-Q22))</f>
        <v>15729</v>
      </c>
      <c r="Z23" s="4">
        <f>IF(Q23=0,(nazione[[#This Row],[test_per_giorno]]/AG$3)*100,(nazione[[#This Row],[test_per_giorno]]/AG$3)*100)</f>
        <v>2.610854718541844E-2</v>
      </c>
      <c r="AA23" s="4">
        <f>(nazione[[#This Row],[ricoverati_con_sintomi]]/nazione[[#This Row],[totale_attualmente_positivi]])*100</f>
        <v>46.90093675678299</v>
      </c>
      <c r="AB23" s="4">
        <f>(nazione[[#This Row],[terapia_intensiva]]/nazione[[#This Row],[totale_attualmente_positivi]])*100</f>
        <v>8.1153230112119594</v>
      </c>
      <c r="AC23" s="4">
        <f>((nazione[[#This Row],[totale_attualmente_positivi]]-(nazione[[#This Row],[totale_ospedalizzati]]))/nazione[[#This Row],[totale_attualmente_positivi]])*100</f>
        <v>44.983740232005047</v>
      </c>
      <c r="AD23" s="8">
        <f>(nazione[[#This Row],[Deceaded by day]]/nazione[[#This Row],[totale_attualmente_positivi]])*100</f>
        <v>1.7861476484007182</v>
      </c>
      <c r="AE23" s="8">
        <f>(nazione[[#This Row],[Deceaded by day]]/morti_per_regione!D$2) *100</f>
        <v>5.8123648585684209E-2</v>
      </c>
    </row>
    <row r="24" spans="1:32" x14ac:dyDescent="0.2">
      <c r="A24">
        <v>22</v>
      </c>
      <c r="B24" s="6">
        <v>43906.708333333336</v>
      </c>
      <c r="C24" s="1" t="s">
        <v>42</v>
      </c>
      <c r="D24">
        <v>11025</v>
      </c>
      <c r="E24">
        <v>1851</v>
      </c>
      <c r="F24">
        <v>12876</v>
      </c>
      <c r="G24">
        <v>10197</v>
      </c>
      <c r="H24">
        <v>23073</v>
      </c>
      <c r="I24">
        <v>2470</v>
      </c>
      <c r="J24">
        <v>3233</v>
      </c>
      <c r="K24">
        <v>2749</v>
      </c>
      <c r="L24">
        <v>2158</v>
      </c>
      <c r="O24">
        <v>27980</v>
      </c>
      <c r="P24">
        <v>137962</v>
      </c>
      <c r="R24" s="1" t="s">
        <v>89</v>
      </c>
      <c r="S24" s="1">
        <f t="shared" si="2"/>
        <v>1541</v>
      </c>
      <c r="T24" s="1">
        <f t="shared" si="3"/>
        <v>179</v>
      </c>
      <c r="U24">
        <f t="shared" si="4"/>
        <v>349</v>
      </c>
      <c r="V24">
        <f t="shared" si="5"/>
        <v>414</v>
      </c>
      <c r="W24" s="8">
        <f t="shared" si="1"/>
        <v>0.11988545357472202</v>
      </c>
      <c r="X24" s="1">
        <f>IF(Q24=0,(nazione[[#This Row],[nuovi_attualmente_positivi]]/nazione[[#This Row],[test_per_giorno]])*100,(nazione[[#This Row],[nuovi_attualmente_positivi]]/nazione[[#This Row],[test_per_giorno]])*100)</f>
        <v>24.749291893133275</v>
      </c>
      <c r="Y24">
        <f>IF(nazione[[#This Row],[casi_testati]]=0,nazione[[#This Row],[tamponi]]-P23,IF(Q23=0,nazione[[#This Row],[casi_testati]]-Y23,nazione[[#This Row],[casi_testati]]-Q23))</f>
        <v>13063</v>
      </c>
      <c r="Z24" s="4">
        <f>IF(Q24=0,(nazione[[#This Row],[test_per_giorno]]/AG$3)*100,(nazione[[#This Row],[test_per_giorno]]/AG$3)*100)</f>
        <v>2.1683257160857086E-2</v>
      </c>
      <c r="AA24" s="4">
        <f>(nazione[[#This Row],[ricoverati_con_sintomi]]/nazione[[#This Row],[totale_attualmente_positivi]])*100</f>
        <v>47.78312313093226</v>
      </c>
      <c r="AB24" s="4">
        <f>(nazione[[#This Row],[terapia_intensiva]]/nazione[[#This Row],[totale_attualmente_positivi]])*100</f>
        <v>8.0223638018463141</v>
      </c>
      <c r="AC24" s="4">
        <f>((nazione[[#This Row],[totale_attualmente_positivi]]-(nazione[[#This Row],[totale_ospedalizzati]]))/nazione[[#This Row],[totale_attualmente_positivi]])*100</f>
        <v>44.194513067221429</v>
      </c>
      <c r="AD24" s="8">
        <f>(nazione[[#This Row],[Deceaded by day]]/nazione[[#This Row],[totale_attualmente_positivi]])*100</f>
        <v>1.5125904737138647</v>
      </c>
      <c r="AE24" s="8">
        <f>(nazione[[#This Row],[Deceaded by day]]/morti_per_regione!D$2) *100</f>
        <v>5.512269933805377E-2</v>
      </c>
    </row>
    <row r="25" spans="1:32" x14ac:dyDescent="0.2">
      <c r="A25">
        <v>23</v>
      </c>
      <c r="B25" s="6">
        <v>43907.708333333336</v>
      </c>
      <c r="C25" s="1" t="s">
        <v>42</v>
      </c>
      <c r="D25">
        <v>12894</v>
      </c>
      <c r="E25">
        <v>2060</v>
      </c>
      <c r="F25">
        <v>14954</v>
      </c>
      <c r="G25">
        <v>11108</v>
      </c>
      <c r="H25">
        <v>26062</v>
      </c>
      <c r="I25">
        <v>2989</v>
      </c>
      <c r="J25">
        <v>3526</v>
      </c>
      <c r="K25">
        <v>2941</v>
      </c>
      <c r="L25">
        <v>2503</v>
      </c>
      <c r="O25">
        <v>31506</v>
      </c>
      <c r="P25">
        <v>148657</v>
      </c>
      <c r="R25" s="1" t="s">
        <v>90</v>
      </c>
      <c r="S25" s="1">
        <f t="shared" si="2"/>
        <v>2078</v>
      </c>
      <c r="T25" s="1">
        <f t="shared" si="3"/>
        <v>209</v>
      </c>
      <c r="U25">
        <f t="shared" ref="U25:U42" si="6">L25-L24</f>
        <v>345</v>
      </c>
      <c r="V25">
        <f t="shared" ref="V25:V42" si="7">K25-K24</f>
        <v>192</v>
      </c>
      <c r="W25" s="8">
        <f t="shared" si="1"/>
        <v>0.12954535604386086</v>
      </c>
      <c r="X25" s="1">
        <f>IF(Q25=0,(nazione[[#This Row],[nuovi_attualmente_positivi]]/nazione[[#This Row],[test_per_giorno]])*100,(nazione[[#This Row],[nuovi_attualmente_positivi]]/nazione[[#This Row],[test_per_giorno]])*100)</f>
        <v>32.96867695184666</v>
      </c>
      <c r="Y25">
        <f>IF(nazione[[#This Row],[casi_testati]]=0,nazione[[#This Row],[tamponi]]-P24,IF(Q24=0,nazione[[#This Row],[casi_testati]]-Y24,nazione[[#This Row],[casi_testati]]-Q24))</f>
        <v>10695</v>
      </c>
      <c r="Z25" s="4">
        <f>IF(Q25=0,(nazione[[#This Row],[test_per_giorno]]/AG$3)*100,(nazione[[#This Row],[test_per_giorno]]/AG$3)*100)</f>
        <v>1.7752616958996135E-2</v>
      </c>
      <c r="AA25" s="4">
        <f>(nazione[[#This Row],[ricoverati_con_sintomi]]/nazione[[#This Row],[totale_attualmente_positivi]])*100</f>
        <v>49.474330442790269</v>
      </c>
      <c r="AB25" s="4">
        <f>(nazione[[#This Row],[terapia_intensiva]]/nazione[[#This Row],[totale_attualmente_positivi]])*100</f>
        <v>7.904228378482081</v>
      </c>
      <c r="AC25" s="4">
        <f>((nazione[[#This Row],[totale_attualmente_positivi]]-(nazione[[#This Row],[totale_ospedalizzati]]))/nazione[[#This Row],[totale_attualmente_positivi]])*100</f>
        <v>42.62144117872765</v>
      </c>
      <c r="AD25" s="8">
        <f>(nazione[[#This Row],[Deceaded by day]]/nazione[[#This Row],[totale_attualmente_positivi]])*100</f>
        <v>1.3237664031923875</v>
      </c>
      <c r="AE25" s="8">
        <f>(nazione[[#This Row],[Deceaded by day]]/morti_per_regione!D$2) *100</f>
        <v>5.449092054907894E-2</v>
      </c>
    </row>
    <row r="26" spans="1:32" x14ac:dyDescent="0.2">
      <c r="A26">
        <v>24</v>
      </c>
      <c r="B26" s="6">
        <v>43908.708333333336</v>
      </c>
      <c r="C26" s="1" t="s">
        <v>42</v>
      </c>
      <c r="D26">
        <v>14363</v>
      </c>
      <c r="E26">
        <v>2257</v>
      </c>
      <c r="F26">
        <v>16620</v>
      </c>
      <c r="G26">
        <v>12090</v>
      </c>
      <c r="H26">
        <v>28710</v>
      </c>
      <c r="I26">
        <v>2648</v>
      </c>
      <c r="J26">
        <v>4207</v>
      </c>
      <c r="K26">
        <v>4025</v>
      </c>
      <c r="L26">
        <v>2978</v>
      </c>
      <c r="O26">
        <v>35713</v>
      </c>
      <c r="P26">
        <v>165541</v>
      </c>
      <c r="R26" s="1" t="s">
        <v>91</v>
      </c>
      <c r="S26" s="1">
        <f t="shared" si="2"/>
        <v>1666</v>
      </c>
      <c r="T26" s="1">
        <f t="shared" si="3"/>
        <v>197</v>
      </c>
      <c r="U26">
        <f t="shared" si="6"/>
        <v>475</v>
      </c>
      <c r="V26">
        <f t="shared" si="7"/>
        <v>1084</v>
      </c>
      <c r="W26" s="8">
        <f t="shared" si="1"/>
        <v>0.10160386770009966</v>
      </c>
      <c r="X26" s="1">
        <f>IF(Q26=0,(nazione[[#This Row],[nuovi_attualmente_positivi]]/nazione[[#This Row],[test_per_giorno]])*100,(nazione[[#This Row],[nuovi_attualmente_positivi]]/nazione[[#This Row],[test_per_giorno]])*100)</f>
        <v>24.917081260364842</v>
      </c>
      <c r="Y26">
        <f>IF(nazione[[#This Row],[casi_testati]]=0,nazione[[#This Row],[tamponi]]-P25,IF(Q25=0,nazione[[#This Row],[casi_testati]]-Y25,nazione[[#This Row],[casi_testati]]-Q25))</f>
        <v>16884</v>
      </c>
      <c r="Z26" s="4">
        <f>IF(Q26=0,(nazione[[#This Row],[test_per_giorno]]/AG$3)*100,(nazione[[#This Row],[test_per_giorno]]/AG$3)*100)</f>
        <v>2.8025730223065988E-2</v>
      </c>
      <c r="AA26" s="4">
        <f>(nazione[[#This Row],[ricoverati_con_sintomi]]/nazione[[#This Row],[totale_attualmente_positivi]])*100</f>
        <v>50.027864855451064</v>
      </c>
      <c r="AB26" s="4">
        <f>(nazione[[#This Row],[terapia_intensiva]]/nazione[[#This Row],[totale_attualmente_positivi]])*100</f>
        <v>7.8613723441309649</v>
      </c>
      <c r="AC26" s="4">
        <f>((nazione[[#This Row],[totale_attualmente_positivi]]-(nazione[[#This Row],[totale_ospedalizzati]]))/nazione[[#This Row],[totale_attualmente_positivi]])*100</f>
        <v>42.110762800417973</v>
      </c>
      <c r="AD26" s="8">
        <f>(nazione[[#This Row],[Deceaded by day]]/nazione[[#This Row],[totale_attualmente_positivi]])*100</f>
        <v>1.654475792406827</v>
      </c>
      <c r="AE26" s="8">
        <f>(nazione[[#This Row],[Deceaded by day]]/morti_per_regione!D$2) *100</f>
        <v>7.5023731190760862E-2</v>
      </c>
    </row>
    <row r="27" spans="1:32" x14ac:dyDescent="0.2">
      <c r="A27">
        <v>25</v>
      </c>
      <c r="B27" s="6">
        <v>43909.708333333336</v>
      </c>
      <c r="C27" s="1" t="s">
        <v>42</v>
      </c>
      <c r="D27">
        <v>15757</v>
      </c>
      <c r="E27">
        <v>2498</v>
      </c>
      <c r="F27">
        <v>18255</v>
      </c>
      <c r="G27">
        <v>14935</v>
      </c>
      <c r="H27">
        <v>33190</v>
      </c>
      <c r="I27">
        <v>4480</v>
      </c>
      <c r="J27">
        <v>5322</v>
      </c>
      <c r="K27">
        <v>4440</v>
      </c>
      <c r="L27">
        <v>3405</v>
      </c>
      <c r="O27">
        <v>41035</v>
      </c>
      <c r="P27">
        <v>182777</v>
      </c>
      <c r="R27" s="1" t="s">
        <v>82</v>
      </c>
      <c r="S27" s="1">
        <f t="shared" si="2"/>
        <v>1635</v>
      </c>
      <c r="T27" s="1">
        <f t="shared" si="3"/>
        <v>241</v>
      </c>
      <c r="U27">
        <f t="shared" si="6"/>
        <v>427</v>
      </c>
      <c r="V27">
        <f t="shared" si="7"/>
        <v>415</v>
      </c>
      <c r="W27" s="8">
        <f t="shared" si="1"/>
        <v>0.15604319052594917</v>
      </c>
      <c r="X27" s="1">
        <f>IF(Q27=0,(nazione[[#This Row],[nuovi_attualmente_positivi]]/nazione[[#This Row],[test_per_giorno]])*100,(nazione[[#This Row],[nuovi_attualmente_positivi]]/nazione[[#This Row],[test_per_giorno]])*100)</f>
        <v>30.877233696913436</v>
      </c>
      <c r="Y27">
        <f>IF(nazione[[#This Row],[casi_testati]]=0,nazione[[#This Row],[tamponi]]-P26,IF(Q26=0,nazione[[#This Row],[casi_testati]]-Y26,nazione[[#This Row],[casi_testati]]-Q26))</f>
        <v>17236</v>
      </c>
      <c r="Z27" s="4">
        <f>IF(Q27=0,(nazione[[#This Row],[test_per_giorno]]/AG$3)*100,(nazione[[#This Row],[test_per_giorno]]/AG$3)*100)</f>
        <v>2.8610014577396668E-2</v>
      </c>
      <c r="AA27" s="4">
        <f>(nazione[[#This Row],[ricoverati_con_sintomi]]/nazione[[#This Row],[totale_attualmente_positivi]])*100</f>
        <v>47.4751431153962</v>
      </c>
      <c r="AB27" s="4">
        <f>(nazione[[#This Row],[terapia_intensiva]]/nazione[[#This Row],[totale_attualmente_positivi]])*100</f>
        <v>7.5263633624585715</v>
      </c>
      <c r="AC27" s="4">
        <f>((nazione[[#This Row],[totale_attualmente_positivi]]-(nazione[[#This Row],[totale_ospedalizzati]]))/nazione[[#This Row],[totale_attualmente_positivi]])*100</f>
        <v>44.998493522145225</v>
      </c>
      <c r="AD27" s="8">
        <f>(nazione[[#This Row],[Deceaded by day]]/nazione[[#This Row],[totale_attualmente_positivi]])*100</f>
        <v>1.2865320879783066</v>
      </c>
      <c r="AE27" s="8">
        <f>(nazione[[#This Row],[Deceaded by day]]/morti_per_regione!D$2) *100</f>
        <v>6.7442385723062936E-2</v>
      </c>
    </row>
    <row r="28" spans="1:32" s="14" customFormat="1" x14ac:dyDescent="0.2">
      <c r="A28" s="14">
        <v>26</v>
      </c>
      <c r="B28" s="15">
        <v>43910.708333333336</v>
      </c>
      <c r="C28" s="16" t="s">
        <v>42</v>
      </c>
      <c r="D28" s="14">
        <v>16020</v>
      </c>
      <c r="E28" s="14">
        <v>2655</v>
      </c>
      <c r="F28" s="14">
        <v>18675</v>
      </c>
      <c r="G28" s="14">
        <v>19185</v>
      </c>
      <c r="H28" s="14">
        <v>37860</v>
      </c>
      <c r="I28">
        <v>4670</v>
      </c>
      <c r="J28" s="14">
        <v>5986</v>
      </c>
      <c r="K28" s="14">
        <v>5129</v>
      </c>
      <c r="L28" s="14">
        <v>4032</v>
      </c>
      <c r="M28"/>
      <c r="N28"/>
      <c r="O28" s="14">
        <v>47021</v>
      </c>
      <c r="P28" s="14">
        <v>206886</v>
      </c>
      <c r="Q28"/>
      <c r="R28" s="16" t="s">
        <v>82</v>
      </c>
      <c r="S28" s="1">
        <f t="shared" si="2"/>
        <v>420</v>
      </c>
      <c r="T28" s="1">
        <f t="shared" si="3"/>
        <v>157</v>
      </c>
      <c r="U28" s="14">
        <f t="shared" si="6"/>
        <v>627</v>
      </c>
      <c r="V28" s="14">
        <f t="shared" si="7"/>
        <v>689</v>
      </c>
      <c r="W28" s="17">
        <f t="shared" si="1"/>
        <v>0.14070503163603498</v>
      </c>
      <c r="X28" s="1">
        <f>IF(Q28=0,(nazione[[#This Row],[nuovi_attualmente_positivi]]/nazione[[#This Row],[test_per_giorno]])*100,(nazione[[#This Row],[nuovi_attualmente_positivi]]/nazione[[#This Row],[test_per_giorno]])*100)</f>
        <v>24.828902069766478</v>
      </c>
      <c r="Y28">
        <f>IF(nazione[[#This Row],[casi_testati]]=0,nazione[[#This Row],[tamponi]]-P27,IF(Q27=0,nazione[[#This Row],[casi_testati]]-Y27,nazione[[#This Row],[casi_testati]]-Q27))</f>
        <v>24109</v>
      </c>
      <c r="Z28" s="4">
        <f>IF(Q28=0,(nazione[[#This Row],[test_per_giorno]]/AG$3)*100,(nazione[[#This Row],[test_per_giorno]]/AG$3)*100)</f>
        <v>4.0018498575450007E-2</v>
      </c>
      <c r="AA28" s="4">
        <f>(nazione[[#This Row],[ricoverati_con_sintomi]]/nazione[[#This Row],[totale_attualmente_positivi]])*100</f>
        <v>42.313787638668785</v>
      </c>
      <c r="AB28" s="4">
        <f>(nazione[[#This Row],[terapia_intensiva]]/nazione[[#This Row],[totale_attualmente_positivi]])*100</f>
        <v>7.0126782884310623</v>
      </c>
      <c r="AC28" s="4">
        <f>((nazione[[#This Row],[totale_attualmente_positivi]]-(nazione[[#This Row],[totale_ospedalizzati]]))/nazione[[#This Row],[totale_attualmente_positivi]])*100</f>
        <v>50.673534072900161</v>
      </c>
      <c r="AD28" s="8">
        <f>(nazione[[#This Row],[Deceaded by day]]/nazione[[#This Row],[totale_attualmente_positivi]])*100</f>
        <v>1.6561014263074485</v>
      </c>
      <c r="AE28" s="8">
        <f>(nazione[[#This Row],[Deceaded by day]]/morti_per_regione!D$2) *100</f>
        <v>9.9031325171804338E-2</v>
      </c>
      <c r="AF28"/>
    </row>
    <row r="29" spans="1:32" x14ac:dyDescent="0.2">
      <c r="A29">
        <v>27</v>
      </c>
      <c r="B29" s="6">
        <v>43911.708333333336</v>
      </c>
      <c r="C29" s="1" t="s">
        <v>42</v>
      </c>
      <c r="D29">
        <v>17708</v>
      </c>
      <c r="E29">
        <v>2857</v>
      </c>
      <c r="F29">
        <v>20565</v>
      </c>
      <c r="G29">
        <v>22116</v>
      </c>
      <c r="H29">
        <v>42681</v>
      </c>
      <c r="I29">
        <v>4821</v>
      </c>
      <c r="J29">
        <v>6557</v>
      </c>
      <c r="K29">
        <v>6072</v>
      </c>
      <c r="L29">
        <v>4825</v>
      </c>
      <c r="O29">
        <v>53578</v>
      </c>
      <c r="P29">
        <v>233222</v>
      </c>
      <c r="R29" s="1" t="s">
        <v>82</v>
      </c>
      <c r="S29" s="1">
        <f t="shared" si="2"/>
        <v>1890</v>
      </c>
      <c r="T29" s="1">
        <f t="shared" si="3"/>
        <v>202</v>
      </c>
      <c r="U29">
        <f t="shared" si="6"/>
        <v>793</v>
      </c>
      <c r="V29">
        <f t="shared" si="7"/>
        <v>943</v>
      </c>
      <c r="W29" s="8">
        <f t="shared" si="1"/>
        <v>0.127337559429477</v>
      </c>
      <c r="X29" s="1">
        <f>IF(Q29=0,(nazione[[#This Row],[nuovi_attualmente_positivi]]/nazione[[#This Row],[test_per_giorno]])*100,(nazione[[#This Row],[nuovi_attualmente_positivi]]/nazione[[#This Row],[test_per_giorno]])*100)</f>
        <v>24.897478736330498</v>
      </c>
      <c r="Y29">
        <f>IF(nazione[[#This Row],[casi_testati]]=0,nazione[[#This Row],[tamponi]]-P28,IF(Q28=0,nazione[[#This Row],[casi_testati]]-Y28,nazione[[#This Row],[casi_testati]]-Q28))</f>
        <v>26336</v>
      </c>
      <c r="Z29" s="4">
        <f>IF(Q29=0,(nazione[[#This Row],[test_per_giorno]]/AG$3)*100,(nazione[[#This Row],[test_per_giorno]]/AG$3)*100)</f>
        <v>4.3715093055831905E-2</v>
      </c>
      <c r="AA29" s="4">
        <f>(nazione[[#This Row],[ricoverati_con_sintomi]]/nazione[[#This Row],[totale_attualmente_positivi]])*100</f>
        <v>41.489187226166209</v>
      </c>
      <c r="AB29" s="4">
        <f>(nazione[[#This Row],[terapia_intensiva]]/nazione[[#This Row],[totale_attualmente_positivi]])*100</f>
        <v>6.693845036433073</v>
      </c>
      <c r="AC29" s="4">
        <f>((nazione[[#This Row],[totale_attualmente_positivi]]-(nazione[[#This Row],[totale_ospedalizzati]]))/nazione[[#This Row],[totale_attualmente_positivi]])*100</f>
        <v>51.816967737400724</v>
      </c>
      <c r="AD29" s="8">
        <f>(nazione[[#This Row],[Deceaded by day]]/nazione[[#This Row],[totale_attualmente_positivi]])*100</f>
        <v>1.8579695883414165</v>
      </c>
      <c r="AE29" s="8">
        <f>(nazione[[#This Row],[Deceaded by day]]/morti_per_regione!D$2) *100</f>
        <v>0.12525014491425973</v>
      </c>
    </row>
    <row r="30" spans="1:32" x14ac:dyDescent="0.2">
      <c r="A30">
        <v>28</v>
      </c>
      <c r="B30" s="6">
        <v>43912.708333333336</v>
      </c>
      <c r="C30" s="1" t="s">
        <v>42</v>
      </c>
      <c r="D30">
        <v>19846</v>
      </c>
      <c r="E30">
        <v>3009</v>
      </c>
      <c r="F30">
        <v>22855</v>
      </c>
      <c r="G30">
        <v>23783</v>
      </c>
      <c r="H30">
        <v>46638</v>
      </c>
      <c r="I30">
        <v>3957</v>
      </c>
      <c r="J30">
        <v>5560</v>
      </c>
      <c r="K30">
        <v>7024</v>
      </c>
      <c r="L30">
        <v>5476</v>
      </c>
      <c r="O30">
        <v>59138</v>
      </c>
      <c r="P30">
        <v>258402</v>
      </c>
      <c r="R30" s="1" t="s">
        <v>82</v>
      </c>
      <c r="S30" s="1">
        <f t="shared" si="2"/>
        <v>2290</v>
      </c>
      <c r="T30" s="1">
        <f t="shared" si="3"/>
        <v>152</v>
      </c>
      <c r="U30">
        <f t="shared" si="6"/>
        <v>651</v>
      </c>
      <c r="V30">
        <f t="shared" si="7"/>
        <v>952</v>
      </c>
      <c r="W30" s="8">
        <f t="shared" si="1"/>
        <v>9.2711042384199027E-2</v>
      </c>
      <c r="X30" s="1">
        <f>IF(Q30=0,(nazione[[#This Row],[nuovi_attualmente_positivi]]/nazione[[#This Row],[test_per_giorno]])*100,(nazione[[#This Row],[nuovi_attualmente_positivi]]/nazione[[#This Row],[test_per_giorno]])*100)</f>
        <v>22.081016679904685</v>
      </c>
      <c r="Y30">
        <f>IF(nazione[[#This Row],[casi_testati]]=0,nazione[[#This Row],[tamponi]]-P29,IF(Q29=0,nazione[[#This Row],[casi_testati]]-Y29,nazione[[#This Row],[casi_testati]]-Q29))</f>
        <v>25180</v>
      </c>
      <c r="Z30" s="4">
        <f>IF(Q30=0,(nazione[[#This Row],[test_per_giorno]]/AG$3)*100,(nazione[[#This Row],[test_per_giorno]]/AG$3)*100)</f>
        <v>4.1796250119450463E-2</v>
      </c>
      <c r="AA30" s="4">
        <f>(nazione[[#This Row],[ricoverati_con_sintomi]]/nazione[[#This Row],[totale_attualmente_positivi]])*100</f>
        <v>42.553282730820364</v>
      </c>
      <c r="AB30" s="4">
        <f>(nazione[[#This Row],[terapia_intensiva]]/nazione[[#This Row],[totale_attualmente_positivi]])*100</f>
        <v>6.4518204039624338</v>
      </c>
      <c r="AC30" s="4">
        <f>((nazione[[#This Row],[totale_attualmente_positivi]]-(nazione[[#This Row],[totale_ospedalizzati]]))/nazione[[#This Row],[totale_attualmente_positivi]])*100</f>
        <v>50.994896865217207</v>
      </c>
      <c r="AD30" s="8">
        <f>(nazione[[#This Row],[Deceaded by day]]/nazione[[#This Row],[totale_attualmente_positivi]])*100</f>
        <v>1.3958574552939662</v>
      </c>
      <c r="AE30" s="8">
        <f>(nazione[[#This Row],[Deceaded by day]]/morti_per_regione!D$2) *100</f>
        <v>0.10282199790565333</v>
      </c>
    </row>
    <row r="31" spans="1:32" x14ac:dyDescent="0.2">
      <c r="A31">
        <v>29</v>
      </c>
      <c r="B31" s="6">
        <v>43913.708333333336</v>
      </c>
      <c r="C31" s="1" t="s">
        <v>42</v>
      </c>
      <c r="D31">
        <v>20692</v>
      </c>
      <c r="E31">
        <v>3204</v>
      </c>
      <c r="F31">
        <v>23896</v>
      </c>
      <c r="G31">
        <v>26522</v>
      </c>
      <c r="H31">
        <v>50418</v>
      </c>
      <c r="I31">
        <v>3780</v>
      </c>
      <c r="J31">
        <v>4789</v>
      </c>
      <c r="K31">
        <v>7432</v>
      </c>
      <c r="L31">
        <v>6077</v>
      </c>
      <c r="O31">
        <v>63927</v>
      </c>
      <c r="P31">
        <v>275468</v>
      </c>
      <c r="R31" s="1" t="s">
        <v>82</v>
      </c>
      <c r="S31" s="1">
        <f t="shared" si="2"/>
        <v>1041</v>
      </c>
      <c r="T31" s="1">
        <f t="shared" si="3"/>
        <v>195</v>
      </c>
      <c r="U31">
        <f t="shared" si="6"/>
        <v>601</v>
      </c>
      <c r="V31">
        <f t="shared" si="7"/>
        <v>408</v>
      </c>
      <c r="W31" s="8">
        <f t="shared" si="1"/>
        <v>8.1049787726746425E-2</v>
      </c>
      <c r="X31" s="1">
        <f>IF(Q31=0,(nazione[[#This Row],[nuovi_attualmente_positivi]]/nazione[[#This Row],[test_per_giorno]])*100,(nazione[[#This Row],[nuovi_attualmente_positivi]]/nazione[[#This Row],[test_per_giorno]])*100)</f>
        <v>28.061643032930974</v>
      </c>
      <c r="Y31">
        <f>IF(nazione[[#This Row],[casi_testati]]=0,nazione[[#This Row],[tamponi]]-P30,IF(Q30=0,nazione[[#This Row],[casi_testati]]-Y30,nazione[[#This Row],[casi_testati]]-Q30))</f>
        <v>17066</v>
      </c>
      <c r="Z31" s="4">
        <f>IF(Q31=0,(nazione[[#This Row],[test_per_giorno]]/AG$3)*100,(nazione[[#This Row],[test_per_giorno]]/AG$3)*100)</f>
        <v>2.8327831792634695E-2</v>
      </c>
      <c r="AA31" s="4">
        <f>(nazione[[#This Row],[ricoverati_con_sintomi]]/nazione[[#This Row],[totale_attualmente_positivi]])*100</f>
        <v>41.040898091951291</v>
      </c>
      <c r="AB31" s="4">
        <f>(nazione[[#This Row],[terapia_intensiva]]/nazione[[#This Row],[totale_attualmente_positivi]])*100</f>
        <v>6.3548732595501605</v>
      </c>
      <c r="AC31" s="4">
        <f>((nazione[[#This Row],[totale_attualmente_positivi]]-(nazione[[#This Row],[totale_ospedalizzati]]))/nazione[[#This Row],[totale_attualmente_positivi]])*100</f>
        <v>52.604228648498555</v>
      </c>
      <c r="AD31" s="8">
        <f>(nazione[[#This Row],[Deceaded by day]]/nazione[[#This Row],[totale_attualmente_positivi]])*100</f>
        <v>1.1920345908207386</v>
      </c>
      <c r="AE31" s="8">
        <f>(nazione[[#This Row],[Deceaded by day]]/morti_per_regione!D$2) *100</f>
        <v>9.4924763043467961E-2</v>
      </c>
    </row>
    <row r="32" spans="1:32" x14ac:dyDescent="0.2">
      <c r="A32">
        <v>30</v>
      </c>
      <c r="B32" s="6">
        <v>43914.708333333336</v>
      </c>
      <c r="C32" s="1" t="s">
        <v>42</v>
      </c>
      <c r="D32">
        <v>21937</v>
      </c>
      <c r="E32">
        <v>3396</v>
      </c>
      <c r="F32">
        <v>25333</v>
      </c>
      <c r="G32">
        <v>28697</v>
      </c>
      <c r="H32">
        <v>54030</v>
      </c>
      <c r="I32">
        <v>3612</v>
      </c>
      <c r="J32">
        <v>5249</v>
      </c>
      <c r="K32">
        <v>8326</v>
      </c>
      <c r="L32">
        <v>6820</v>
      </c>
      <c r="O32">
        <v>69176</v>
      </c>
      <c r="P32">
        <v>296964</v>
      </c>
      <c r="R32" s="1" t="s">
        <v>82</v>
      </c>
      <c r="S32" s="1">
        <f t="shared" si="2"/>
        <v>1437</v>
      </c>
      <c r="T32" s="1">
        <f t="shared" si="3"/>
        <v>192</v>
      </c>
      <c r="U32">
        <f t="shared" si="6"/>
        <v>743</v>
      </c>
      <c r="V32">
        <f t="shared" si="7"/>
        <v>894</v>
      </c>
      <c r="W32" s="8">
        <f t="shared" si="1"/>
        <v>7.1641080566464455E-2</v>
      </c>
      <c r="X32" s="1">
        <f>IF(Q32=0,(nazione[[#This Row],[nuovi_attualmente_positivi]]/nazione[[#This Row],[test_per_giorno]])*100,(nazione[[#This Row],[nuovi_attualmente_positivi]]/nazione[[#This Row],[test_per_giorno]])*100)</f>
        <v>24.418496464458503</v>
      </c>
      <c r="Y32">
        <f>IF(nazione[[#This Row],[casi_testati]]=0,nazione[[#This Row],[tamponi]]-P31,IF(Q31=0,nazione[[#This Row],[casi_testati]]-Y31,nazione[[#This Row],[casi_testati]]-Q31))</f>
        <v>21496</v>
      </c>
      <c r="Z32" s="4">
        <f>IF(Q32=0,(nazione[[#This Row],[test_per_giorno]]/AG$3)*100,(nazione[[#This Row],[test_per_giorno]]/AG$3)*100)</f>
        <v>3.5681183183785034E-2</v>
      </c>
      <c r="AA32" s="4">
        <f>(nazione[[#This Row],[ricoverati_con_sintomi]]/nazione[[#This Row],[totale_attualmente_positivi]])*100</f>
        <v>40.601517675365542</v>
      </c>
      <c r="AB32" s="4">
        <f>(nazione[[#This Row],[terapia_intensiva]]/nazione[[#This Row],[totale_attualmente_positivi]])*100</f>
        <v>6.285397001665741</v>
      </c>
      <c r="AC32" s="4">
        <f>((nazione[[#This Row],[totale_attualmente_positivi]]-(nazione[[#This Row],[totale_ospedalizzati]]))/nazione[[#This Row],[totale_attualmente_positivi]])*100</f>
        <v>53.113085322968722</v>
      </c>
      <c r="AD32" s="8">
        <f>(nazione[[#This Row],[Deceaded by day]]/nazione[[#This Row],[totale_attualmente_positivi]])*100</f>
        <v>1.3751619470664447</v>
      </c>
      <c r="AE32" s="8">
        <f>(nazione[[#This Row],[Deceaded by day]]/morti_per_regione!D$2) *100</f>
        <v>0.11735291005207436</v>
      </c>
    </row>
    <row r="33" spans="1:32" x14ac:dyDescent="0.2">
      <c r="A33">
        <v>31</v>
      </c>
      <c r="B33" s="6">
        <v>43915.708333333336</v>
      </c>
      <c r="C33" s="1" t="s">
        <v>42</v>
      </c>
      <c r="D33">
        <v>23112</v>
      </c>
      <c r="E33">
        <v>3489</v>
      </c>
      <c r="F33">
        <v>26601</v>
      </c>
      <c r="G33">
        <v>30920</v>
      </c>
      <c r="H33">
        <v>57521</v>
      </c>
      <c r="I33">
        <v>3491</v>
      </c>
      <c r="J33">
        <v>5210</v>
      </c>
      <c r="K33">
        <v>9362</v>
      </c>
      <c r="L33">
        <v>7503</v>
      </c>
      <c r="O33">
        <v>74386</v>
      </c>
      <c r="P33">
        <v>324445</v>
      </c>
      <c r="R33" s="1" t="s">
        <v>82</v>
      </c>
      <c r="S33" s="1">
        <f t="shared" si="2"/>
        <v>1268</v>
      </c>
      <c r="T33" s="1">
        <f t="shared" si="3"/>
        <v>93</v>
      </c>
      <c r="U33">
        <f t="shared" si="6"/>
        <v>683</v>
      </c>
      <c r="V33">
        <f t="shared" si="7"/>
        <v>1036</v>
      </c>
      <c r="W33" s="8">
        <f t="shared" si="1"/>
        <v>6.4612252452341368E-2</v>
      </c>
      <c r="X33" s="1">
        <f>IF(Q33=0,(nazione[[#This Row],[nuovi_attualmente_positivi]]/nazione[[#This Row],[test_per_giorno]])*100,(nazione[[#This Row],[nuovi_attualmente_positivi]]/nazione[[#This Row],[test_per_giorno]])*100)</f>
        <v>18.95855318219861</v>
      </c>
      <c r="Y33">
        <f>IF(nazione[[#This Row],[casi_testati]]=0,nazione[[#This Row],[tamponi]]-P32,IF(Q32=0,nazione[[#This Row],[casi_testati]]-Y32,nazione[[#This Row],[casi_testati]]-Q32))</f>
        <v>27481</v>
      </c>
      <c r="Z33" s="4">
        <f>IF(Q33=0,(nazione[[#This Row],[test_per_giorno]]/AG$3)*100,(nazione[[#This Row],[test_per_giorno]]/AG$3)*100)</f>
        <v>4.5615677106140513E-2</v>
      </c>
      <c r="AA33" s="4">
        <f>(nazione[[#This Row],[ricoverati_con_sintomi]]/nazione[[#This Row],[totale_attualmente_positivi]])*100</f>
        <v>40.180108134420472</v>
      </c>
      <c r="AB33" s="4">
        <f>(nazione[[#This Row],[terapia_intensiva]]/nazione[[#This Row],[totale_attualmente_positivi]])*100</f>
        <v>6.0656108203960297</v>
      </c>
      <c r="AC33" s="4">
        <f>((nazione[[#This Row],[totale_attualmente_positivi]]-(nazione[[#This Row],[totale_ospedalizzati]]))/nazione[[#This Row],[totale_attualmente_positivi]])*100</f>
        <v>53.754281045183497</v>
      </c>
      <c r="AD33" s="8">
        <f>(nazione[[#This Row],[Deceaded by day]]/nazione[[#This Row],[totale_attualmente_positivi]])*100</f>
        <v>1.187392430590567</v>
      </c>
      <c r="AE33" s="8">
        <f>(nazione[[#This Row],[Deceaded by day]]/morti_per_regione!D$2) *100</f>
        <v>0.10787622821745195</v>
      </c>
    </row>
    <row r="34" spans="1:32" x14ac:dyDescent="0.2">
      <c r="A34">
        <v>32</v>
      </c>
      <c r="B34" s="6">
        <v>43916.708333333336</v>
      </c>
      <c r="C34" s="1" t="s">
        <v>42</v>
      </c>
      <c r="D34">
        <v>24753</v>
      </c>
      <c r="E34">
        <v>3612</v>
      </c>
      <c r="F34">
        <v>28365</v>
      </c>
      <c r="G34">
        <v>33648</v>
      </c>
      <c r="H34">
        <v>62013</v>
      </c>
      <c r="I34">
        <v>4492</v>
      </c>
      <c r="J34">
        <v>6153</v>
      </c>
      <c r="K34">
        <v>10361</v>
      </c>
      <c r="L34">
        <v>8165</v>
      </c>
      <c r="O34">
        <v>80539</v>
      </c>
      <c r="P34">
        <v>361060</v>
      </c>
      <c r="R34" s="1" t="s">
        <v>92</v>
      </c>
      <c r="S34" s="1">
        <f t="shared" si="2"/>
        <v>1764</v>
      </c>
      <c r="T34" s="1">
        <f t="shared" si="3"/>
        <v>123</v>
      </c>
      <c r="U34">
        <f t="shared" si="6"/>
        <v>662</v>
      </c>
      <c r="V34">
        <f t="shared" si="7"/>
        <v>999</v>
      </c>
      <c r="W34" s="8">
        <f t="shared" si="1"/>
        <v>7.8093218129031028E-2</v>
      </c>
      <c r="X34" s="1">
        <f>IF(Q34=0,(nazione[[#This Row],[nuovi_attualmente_positivi]]/nazione[[#This Row],[test_per_giorno]])*100,(nazione[[#This Row],[nuovi_attualmente_positivi]]/nazione[[#This Row],[test_per_giorno]])*100)</f>
        <v>16.804588283490375</v>
      </c>
      <c r="Y34">
        <f>IF(nazione[[#This Row],[casi_testati]]=0,nazione[[#This Row],[tamponi]]-P33,IF(Q33=0,nazione[[#This Row],[casi_testati]]-Y33,nazione[[#This Row],[casi_testati]]-Q33))</f>
        <v>36615</v>
      </c>
      <c r="Z34" s="4">
        <f>IF(Q34=0,(nazione[[#This Row],[test_per_giorno]]/AG$3)*100,(nazione[[#This Row],[test_per_giorno]]/AG$3)*100)</f>
        <v>6.0777192141528144E-2</v>
      </c>
      <c r="AA34" s="4">
        <f>(nazione[[#This Row],[ricoverati_con_sintomi]]/nazione[[#This Row],[totale_attualmente_positivi]])*100</f>
        <v>39.915824101398094</v>
      </c>
      <c r="AB34" s="4">
        <f>(nazione[[#This Row],[terapia_intensiva]]/nazione[[#This Row],[totale_attualmente_positivi]])*100</f>
        <v>5.8245851676261431</v>
      </c>
      <c r="AC34" s="4">
        <f>((nazione[[#This Row],[totale_attualmente_positivi]]-(nazione[[#This Row],[totale_ospedalizzati]]))/nazione[[#This Row],[totale_attualmente_positivi]])*100</f>
        <v>54.259590730975759</v>
      </c>
      <c r="AD34" s="8">
        <f>(nazione[[#This Row],[Deceaded by day]]/nazione[[#This Row],[totale_attualmente_positivi]])*100</f>
        <v>1.0675181010433294</v>
      </c>
      <c r="AE34" s="8">
        <f>(nazione[[#This Row],[Deceaded by day]]/morti_per_regione!D$2) *100</f>
        <v>0.10455938957533409</v>
      </c>
    </row>
    <row r="35" spans="1:32" x14ac:dyDescent="0.2">
      <c r="A35">
        <v>33</v>
      </c>
      <c r="B35" s="6">
        <v>43917.708333333336</v>
      </c>
      <c r="C35" s="1" t="s">
        <v>42</v>
      </c>
      <c r="D35">
        <v>26029</v>
      </c>
      <c r="E35">
        <v>3732</v>
      </c>
      <c r="F35">
        <v>29761</v>
      </c>
      <c r="G35">
        <v>36653</v>
      </c>
      <c r="H35">
        <v>66414</v>
      </c>
      <c r="I35">
        <v>4401</v>
      </c>
      <c r="J35">
        <v>5959</v>
      </c>
      <c r="K35">
        <v>10950</v>
      </c>
      <c r="L35">
        <v>9134</v>
      </c>
      <c r="O35">
        <v>86498</v>
      </c>
      <c r="P35">
        <v>394079</v>
      </c>
      <c r="R35" s="1" t="s">
        <v>82</v>
      </c>
      <c r="S35" s="1">
        <f t="shared" si="2"/>
        <v>1396</v>
      </c>
      <c r="T35" s="1">
        <f t="shared" si="3"/>
        <v>120</v>
      </c>
      <c r="U35">
        <f t="shared" si="6"/>
        <v>969</v>
      </c>
      <c r="V35">
        <f t="shared" si="7"/>
        <v>589</v>
      </c>
      <c r="W35" s="8">
        <f t="shared" si="1"/>
        <v>7.0968990372986207E-2</v>
      </c>
      <c r="X35" s="1">
        <f>IF(Q35=0,(nazione[[#This Row],[nuovi_attualmente_positivi]]/nazione[[#This Row],[test_per_giorno]])*100,(nazione[[#This Row],[nuovi_attualmente_positivi]]/nazione[[#This Row],[test_per_giorno]])*100)</f>
        <v>18.047184954117327</v>
      </c>
      <c r="Y35">
        <f>IF(nazione[[#This Row],[casi_testati]]=0,nazione[[#This Row],[tamponi]]-P34,IF(Q34=0,nazione[[#This Row],[casi_testati]]-Y34,nazione[[#This Row],[casi_testati]]-Q34))</f>
        <v>33019</v>
      </c>
      <c r="Z35" s="4">
        <f>IF(Q35=0,(nazione[[#This Row],[test_per_giorno]]/AG$3)*100,(nazione[[#This Row],[test_per_giorno]]/AG$3)*100)</f>
        <v>5.4808196294445381E-2</v>
      </c>
      <c r="AA35" s="4">
        <f>(nazione[[#This Row],[ricoverati_con_sintomi]]/nazione[[#This Row],[totale_attualmente_positivi]])*100</f>
        <v>39.192037823350503</v>
      </c>
      <c r="AB35" s="4">
        <f>(nazione[[#This Row],[terapia_intensiva]]/nazione[[#This Row],[totale_attualmente_positivi]])*100</f>
        <v>5.6192971361459936</v>
      </c>
      <c r="AC35" s="4">
        <f>((nazione[[#This Row],[totale_attualmente_positivi]]-(nazione[[#This Row],[totale_ospedalizzati]]))/nazione[[#This Row],[totale_attualmente_positivi]])*100</f>
        <v>55.188665040503501</v>
      </c>
      <c r="AD35" s="8">
        <f>(nazione[[#This Row],[Deceaded by day]]/nazione[[#This Row],[totale_attualmente_positivi]])*100</f>
        <v>1.4590297226488391</v>
      </c>
      <c r="AE35" s="8">
        <f>(nazione[[#This Row],[Deceaded by day]]/morti_per_regione!D$2) *100</f>
        <v>0.15304841162915217</v>
      </c>
    </row>
    <row r="36" spans="1:32" x14ac:dyDescent="0.2">
      <c r="A36">
        <v>34</v>
      </c>
      <c r="B36" s="6">
        <v>43918.708333333336</v>
      </c>
      <c r="C36" s="1" t="s">
        <v>42</v>
      </c>
      <c r="D36">
        <v>26676</v>
      </c>
      <c r="E36">
        <v>3856</v>
      </c>
      <c r="F36">
        <v>30532</v>
      </c>
      <c r="G36">
        <v>39533</v>
      </c>
      <c r="H36">
        <v>70065</v>
      </c>
      <c r="I36">
        <v>3651</v>
      </c>
      <c r="J36">
        <v>5974</v>
      </c>
      <c r="K36">
        <v>12384</v>
      </c>
      <c r="L36">
        <v>10023</v>
      </c>
      <c r="O36">
        <v>92472</v>
      </c>
      <c r="P36">
        <v>429526</v>
      </c>
      <c r="R36" s="1" t="s">
        <v>82</v>
      </c>
      <c r="S36" s="1">
        <f t="shared" si="2"/>
        <v>771</v>
      </c>
      <c r="T36" s="1">
        <f t="shared" si="3"/>
        <v>124</v>
      </c>
      <c r="U36">
        <f t="shared" si="6"/>
        <v>889</v>
      </c>
      <c r="V36">
        <f t="shared" si="7"/>
        <v>1434</v>
      </c>
      <c r="W36" s="8">
        <f t="shared" si="1"/>
        <v>5.4973348992682247E-2</v>
      </c>
      <c r="X36" s="1">
        <f>IF(Q36=0,(nazione[[#This Row],[nuovi_attualmente_positivi]]/nazione[[#This Row],[test_per_giorno]])*100,(nazione[[#This Row],[nuovi_attualmente_positivi]]/nazione[[#This Row],[test_per_giorno]])*100)</f>
        <v>16.853330324145908</v>
      </c>
      <c r="Y36">
        <f>IF(nazione[[#This Row],[casi_testati]]=0,nazione[[#This Row],[tamponi]]-P35,IF(Q35=0,nazione[[#This Row],[casi_testati]]-Y35,nazione[[#This Row],[casi_testati]]-Q35))</f>
        <v>35447</v>
      </c>
      <c r="Z36" s="4">
        <f>IF(Q36=0,(nazione[[#This Row],[test_per_giorno]]/AG$3)*100,(nazione[[#This Row],[test_per_giorno]]/AG$3)*100)</f>
        <v>5.8838430420339975E-2</v>
      </c>
      <c r="AA36" s="4">
        <f>(nazione[[#This Row],[ricoverati_con_sintomi]]/nazione[[#This Row],[totale_attualmente_positivi]])*100</f>
        <v>38.073217726396919</v>
      </c>
      <c r="AB36" s="4">
        <f>(nazione[[#This Row],[terapia_intensiva]]/nazione[[#This Row],[totale_attualmente_positivi]])*100</f>
        <v>5.5034610718618424</v>
      </c>
      <c r="AC36" s="4">
        <f>((nazione[[#This Row],[totale_attualmente_positivi]]-(nazione[[#This Row],[totale_ospedalizzati]]))/nazione[[#This Row],[totale_attualmente_positivi]])*100</f>
        <v>56.423321201741238</v>
      </c>
      <c r="AD36" s="8">
        <f>(nazione[[#This Row],[Deceaded by day]]/nazione[[#This Row],[totale_attualmente_positivi]])*100</f>
        <v>1.2688218083208449</v>
      </c>
      <c r="AE36" s="8">
        <f>(nazione[[#This Row],[Deceaded by day]]/morti_per_regione!D$2) *100</f>
        <v>0.14041283584965558</v>
      </c>
    </row>
    <row r="37" spans="1:32" x14ac:dyDescent="0.2">
      <c r="A37">
        <v>35</v>
      </c>
      <c r="B37" s="6">
        <v>43919.708333333336</v>
      </c>
      <c r="C37" s="1" t="s">
        <v>42</v>
      </c>
      <c r="D37">
        <v>27386</v>
      </c>
      <c r="E37">
        <v>3906</v>
      </c>
      <c r="F37">
        <v>31292</v>
      </c>
      <c r="G37">
        <v>42588</v>
      </c>
      <c r="H37">
        <v>73880</v>
      </c>
      <c r="I37">
        <v>3815</v>
      </c>
      <c r="J37">
        <v>5217</v>
      </c>
      <c r="K37">
        <v>13030</v>
      </c>
      <c r="L37">
        <v>10779</v>
      </c>
      <c r="O37">
        <v>97689</v>
      </c>
      <c r="P37">
        <v>454030</v>
      </c>
      <c r="R37" s="1" t="s">
        <v>93</v>
      </c>
      <c r="S37" s="1">
        <f t="shared" si="2"/>
        <v>760</v>
      </c>
      <c r="T37" s="1">
        <f t="shared" si="3"/>
        <v>50</v>
      </c>
      <c r="U37">
        <f t="shared" si="6"/>
        <v>756</v>
      </c>
      <c r="V37">
        <f t="shared" si="7"/>
        <v>646</v>
      </c>
      <c r="W37" s="8">
        <f t="shared" si="1"/>
        <v>5.4449439805894562E-2</v>
      </c>
      <c r="X37" s="1">
        <f>IF(Q37=0,(nazione[[#This Row],[nuovi_attualmente_positivi]]/nazione[[#This Row],[test_per_giorno]])*100,(nazione[[#This Row],[nuovi_attualmente_positivi]]/nazione[[#This Row],[test_per_giorno]])*100)</f>
        <v>21.290401567091088</v>
      </c>
      <c r="Y37">
        <f>IF(nazione[[#This Row],[casi_testati]]=0,nazione[[#This Row],[tamponi]]-P36,IF(Q36=0,nazione[[#This Row],[casi_testati]]-Y36,nazione[[#This Row],[casi_testati]]-Q36))</f>
        <v>24504</v>
      </c>
      <c r="Z37" s="4">
        <f>IF(Q37=0,(nazione[[#This Row],[test_per_giorno]]/AG$3)*100,(nazione[[#This Row],[test_per_giorno]]/AG$3)*100)</f>
        <v>4.0674158575338133E-2</v>
      </c>
      <c r="AA37" s="4">
        <f>(nazione[[#This Row],[ricoverati_con_sintomi]]/nazione[[#This Row],[totale_attualmente_positivi]])*100</f>
        <v>37.06821873308067</v>
      </c>
      <c r="AB37" s="4">
        <f>(nazione[[#This Row],[terapia_intensiva]]/nazione[[#This Row],[totale_attualmente_positivi]])*100</f>
        <v>5.2869518137520304</v>
      </c>
      <c r="AC37" s="4">
        <f>((nazione[[#This Row],[totale_attualmente_positivi]]-(nazione[[#This Row],[totale_ospedalizzati]]))/nazione[[#This Row],[totale_attualmente_positivi]])*100</f>
        <v>57.644829453167304</v>
      </c>
      <c r="AD37" s="8">
        <f>(nazione[[#This Row],[Deceaded by day]]/nazione[[#This Row],[totale_attualmente_positivi]])*100</f>
        <v>1.0232809962100704</v>
      </c>
      <c r="AE37" s="8">
        <f>(nazione[[#This Row],[Deceaded by day]]/morti_per_regione!D$2) *100</f>
        <v>0.11940619111624257</v>
      </c>
    </row>
    <row r="38" spans="1:32" x14ac:dyDescent="0.2">
      <c r="A38">
        <v>36</v>
      </c>
      <c r="B38" s="6">
        <v>43920.708333333336</v>
      </c>
      <c r="C38" s="1" t="s">
        <v>42</v>
      </c>
      <c r="D38">
        <v>27795</v>
      </c>
      <c r="E38">
        <v>3981</v>
      </c>
      <c r="F38">
        <v>31776</v>
      </c>
      <c r="G38">
        <v>43752</v>
      </c>
      <c r="H38">
        <v>75528</v>
      </c>
      <c r="I38">
        <v>1648</v>
      </c>
      <c r="J38">
        <v>4050</v>
      </c>
      <c r="K38">
        <v>14620</v>
      </c>
      <c r="L38">
        <v>11591</v>
      </c>
      <c r="O38">
        <v>101739</v>
      </c>
      <c r="P38">
        <v>477359</v>
      </c>
      <c r="R38" s="1" t="s">
        <v>82</v>
      </c>
      <c r="S38" s="1">
        <f t="shared" si="2"/>
        <v>484</v>
      </c>
      <c r="T38" s="1">
        <f t="shared" si="3"/>
        <v>75</v>
      </c>
      <c r="U38">
        <f t="shared" si="6"/>
        <v>812</v>
      </c>
      <c r="V38">
        <f t="shared" si="7"/>
        <v>1590</v>
      </c>
      <c r="W38" s="8">
        <f t="shared" si="1"/>
        <v>2.2306442880346555E-2</v>
      </c>
      <c r="X38" s="1">
        <f>IF(Q38=0,(nazione[[#This Row],[nuovi_attualmente_positivi]]/nazione[[#This Row],[test_per_giorno]])*100,(nazione[[#This Row],[nuovi_attualmente_positivi]]/nazione[[#This Row],[test_per_giorno]])*100)</f>
        <v>17.360366925286126</v>
      </c>
      <c r="Y38">
        <f>IF(nazione[[#This Row],[casi_testati]]=0,nazione[[#This Row],[tamponi]]-P37,IF(Q37=0,nazione[[#This Row],[casi_testati]]-Y37,nazione[[#This Row],[casi_testati]]-Q37))</f>
        <v>23329</v>
      </c>
      <c r="Z38" s="4">
        <f>IF(Q38=0,(nazione[[#This Row],[test_per_giorno]]/AG$3)*100,(nazione[[#This Row],[test_per_giorno]]/AG$3)*100)</f>
        <v>3.8723777563012707E-2</v>
      </c>
      <c r="AA38" s="4">
        <f>(nazione[[#This Row],[ricoverati_con_sintomi]]/nazione[[#This Row],[totale_attualmente_positivi]])*100</f>
        <v>36.800921512551639</v>
      </c>
      <c r="AB38" s="4">
        <f>(nazione[[#This Row],[terapia_intensiva]]/nazione[[#This Row],[totale_attualmente_positivi]])*100</f>
        <v>5.2708929138862413</v>
      </c>
      <c r="AC38" s="4">
        <f>((nazione[[#This Row],[totale_attualmente_positivi]]-(nazione[[#This Row],[totale_ospedalizzati]]))/nazione[[#This Row],[totale_attualmente_positivi]])*100</f>
        <v>57.928185573562118</v>
      </c>
      <c r="AD38" s="8">
        <f>(nazione[[#This Row],[Deceaded by day]]/nazione[[#This Row],[totale_attualmente_positivi]])*100</f>
        <v>1.0750979769092257</v>
      </c>
      <c r="AE38" s="8">
        <f>(nazione[[#This Row],[Deceaded by day]]/morti_per_regione!D$2) *100</f>
        <v>0.12825109416189015</v>
      </c>
    </row>
    <row r="39" spans="1:32" x14ac:dyDescent="0.2">
      <c r="A39">
        <v>37</v>
      </c>
      <c r="B39" s="6">
        <v>43921.708333333336</v>
      </c>
      <c r="C39" s="1" t="s">
        <v>42</v>
      </c>
      <c r="D39">
        <v>28192</v>
      </c>
      <c r="E39">
        <v>4023</v>
      </c>
      <c r="F39">
        <v>32215</v>
      </c>
      <c r="G39">
        <v>45420</v>
      </c>
      <c r="H39">
        <v>77635</v>
      </c>
      <c r="I39">
        <v>2107</v>
      </c>
      <c r="J39">
        <v>4053</v>
      </c>
      <c r="K39">
        <v>15729</v>
      </c>
      <c r="L39">
        <v>12428</v>
      </c>
      <c r="O39">
        <v>105792</v>
      </c>
      <c r="P39">
        <v>506968</v>
      </c>
      <c r="R39" s="1" t="s">
        <v>82</v>
      </c>
      <c r="S39" s="1">
        <f t="shared" si="2"/>
        <v>439</v>
      </c>
      <c r="T39" s="1">
        <f t="shared" si="3"/>
        <v>42</v>
      </c>
      <c r="U39">
        <f t="shared" si="6"/>
        <v>837</v>
      </c>
      <c r="V39">
        <f t="shared" si="7"/>
        <v>1109</v>
      </c>
      <c r="W39" s="8">
        <f t="shared" si="1"/>
        <v>2.7896938883592792E-2</v>
      </c>
      <c r="X39" s="1">
        <f>IF(Q39=0,(nazione[[#This Row],[nuovi_attualmente_positivi]]/nazione[[#This Row],[test_per_giorno]])*100,(nazione[[#This Row],[nuovi_attualmente_positivi]]/nazione[[#This Row],[test_per_giorno]])*100)</f>
        <v>13.688405552365834</v>
      </c>
      <c r="Y39">
        <f>IF(nazione[[#This Row],[casi_testati]]=0,nazione[[#This Row],[tamponi]]-P38,IF(Q38=0,nazione[[#This Row],[casi_testati]]-Y38,nazione[[#This Row],[casi_testati]]-Q38))</f>
        <v>29609</v>
      </c>
      <c r="Z39" s="4">
        <f>IF(Q39=0,(nazione[[#This Row],[test_per_giorno]]/AG$3)*100,(nazione[[#This Row],[test_per_giorno]]/AG$3)*100)</f>
        <v>4.9147941611866912E-2</v>
      </c>
      <c r="AA39" s="4">
        <f>(nazione[[#This Row],[ricoverati_con_sintomi]]/nazione[[#This Row],[totale_attualmente_positivi]])*100</f>
        <v>36.313518387325303</v>
      </c>
      <c r="AB39" s="4">
        <f>(nazione[[#This Row],[terapia_intensiva]]/nazione[[#This Row],[totale_attualmente_positivi]])*100</f>
        <v>5.1819411347974498</v>
      </c>
      <c r="AC39" s="4">
        <f>((nazione[[#This Row],[totale_attualmente_positivi]]-(nazione[[#This Row],[totale_ospedalizzati]]))/nazione[[#This Row],[totale_attualmente_positivi]])*100</f>
        <v>58.504540477877242</v>
      </c>
      <c r="AD39" s="8">
        <f>(nazione[[#This Row],[Deceaded by day]]/nazione[[#This Row],[totale_attualmente_positivi]])*100</f>
        <v>1.0781219810652412</v>
      </c>
      <c r="AE39" s="8">
        <f>(nazione[[#This Row],[Deceaded by day]]/morti_per_regione!D$2) *100</f>
        <v>0.13219971159298283</v>
      </c>
    </row>
    <row r="40" spans="1:32" x14ac:dyDescent="0.2">
      <c r="A40">
        <v>38</v>
      </c>
      <c r="B40" s="6">
        <v>43922.708333333336</v>
      </c>
      <c r="C40" s="1" t="s">
        <v>42</v>
      </c>
      <c r="D40">
        <v>28403</v>
      </c>
      <c r="E40">
        <v>4035</v>
      </c>
      <c r="F40">
        <v>32438</v>
      </c>
      <c r="G40">
        <v>48134</v>
      </c>
      <c r="H40">
        <v>80572</v>
      </c>
      <c r="I40">
        <v>2937</v>
      </c>
      <c r="J40">
        <v>4782</v>
      </c>
      <c r="K40">
        <v>16847</v>
      </c>
      <c r="L40">
        <v>13155</v>
      </c>
      <c r="O40">
        <v>110574</v>
      </c>
      <c r="P40">
        <v>541423</v>
      </c>
      <c r="R40" s="1" t="s">
        <v>82</v>
      </c>
      <c r="S40" s="1">
        <f t="shared" si="2"/>
        <v>223</v>
      </c>
      <c r="T40" s="1">
        <f t="shared" si="3"/>
        <v>12</v>
      </c>
      <c r="U40">
        <f t="shared" si="6"/>
        <v>727</v>
      </c>
      <c r="V40">
        <f t="shared" si="7"/>
        <v>1118</v>
      </c>
      <c r="W40" s="8">
        <f t="shared" si="1"/>
        <v>3.7830875249565299E-2</v>
      </c>
      <c r="X40" s="1">
        <f>IF(Q40=0,(nazione[[#This Row],[nuovi_attualmente_positivi]]/nazione[[#This Row],[test_per_giorno]])*100,(nazione[[#This Row],[nuovi_attualmente_positivi]]/nazione[[#This Row],[test_per_giorno]])*100)</f>
        <v>13.878972572921203</v>
      </c>
      <c r="Y40">
        <f>IF(nazione[[#This Row],[casi_testati]]=0,nazione[[#This Row],[tamponi]]-P39,IF(Q39=0,nazione[[#This Row],[casi_testati]]-Y39,nazione[[#This Row],[casi_testati]]-Q39))</f>
        <v>34455</v>
      </c>
      <c r="Z40" s="4">
        <f>IF(Q40=0,(nazione[[#This Row],[test_per_giorno]]/AG$3)*100,(nazione[[#This Row],[test_per_giorno]]/AG$3)*100)</f>
        <v>5.7191810876317146E-2</v>
      </c>
      <c r="AA40" s="4">
        <f>(nazione[[#This Row],[ricoverati_con_sintomi]]/nazione[[#This Row],[totale_attualmente_positivi]])*100</f>
        <v>35.251700342550762</v>
      </c>
      <c r="AB40" s="4">
        <f>(nazione[[#This Row],[terapia_intensiva]]/nazione[[#This Row],[totale_attualmente_positivi]])*100</f>
        <v>5.0079432060765523</v>
      </c>
      <c r="AC40" s="4">
        <f>((nazione[[#This Row],[totale_attualmente_positivi]]-(nazione[[#This Row],[totale_ospedalizzati]]))/nazione[[#This Row],[totale_attualmente_positivi]])*100</f>
        <v>59.740356451372691</v>
      </c>
      <c r="AD40" s="8">
        <f>(nazione[[#This Row],[Deceaded by day]]/nazione[[#This Row],[totale_attualmente_positivi]])*100</f>
        <v>0.90229856525840235</v>
      </c>
      <c r="AE40" s="8">
        <f>(nazione[[#This Row],[Deceaded by day]]/morti_per_regione!D$2) *100</f>
        <v>0.11482579489617505</v>
      </c>
    </row>
    <row r="41" spans="1:32" x14ac:dyDescent="0.2">
      <c r="A41">
        <v>39</v>
      </c>
      <c r="B41" s="6">
        <v>43923.708333333336</v>
      </c>
      <c r="C41" s="1" t="s">
        <v>42</v>
      </c>
      <c r="D41">
        <v>28540</v>
      </c>
      <c r="E41">
        <v>4053</v>
      </c>
      <c r="F41">
        <v>32593</v>
      </c>
      <c r="G41">
        <v>50456</v>
      </c>
      <c r="H41">
        <v>83049</v>
      </c>
      <c r="I41">
        <v>2477</v>
      </c>
      <c r="J41">
        <v>4668</v>
      </c>
      <c r="K41">
        <v>18278</v>
      </c>
      <c r="L41">
        <v>13915</v>
      </c>
      <c r="O41">
        <v>115242</v>
      </c>
      <c r="P41">
        <v>581232</v>
      </c>
      <c r="R41" s="1" t="s">
        <v>82</v>
      </c>
      <c r="S41" s="1">
        <f t="shared" si="2"/>
        <v>155</v>
      </c>
      <c r="T41" s="1">
        <f t="shared" si="3"/>
        <v>18</v>
      </c>
      <c r="U41">
        <f t="shared" si="6"/>
        <v>760</v>
      </c>
      <c r="V41">
        <f t="shared" si="7"/>
        <v>1431</v>
      </c>
      <c r="W41" s="8">
        <f t="shared" si="1"/>
        <v>3.0742689768157749E-2</v>
      </c>
      <c r="X41" s="1">
        <f>IF(Q41=0,(nazione[[#This Row],[nuovi_attualmente_positivi]]/nazione[[#This Row],[test_per_giorno]])*100,(nazione[[#This Row],[nuovi_attualmente_positivi]]/nazione[[#This Row],[test_per_giorno]])*100)</f>
        <v>11.725991609937452</v>
      </c>
      <c r="Y41">
        <f>IF(nazione[[#This Row],[casi_testati]]=0,nazione[[#This Row],[tamponi]]-P40,IF(Q40=0,nazione[[#This Row],[casi_testati]]-Y40,nazione[[#This Row],[casi_testati]]-Q40))</f>
        <v>39809</v>
      </c>
      <c r="Z41" s="4">
        <f>IF(Q41=0,(nazione[[#This Row],[test_per_giorno]]/AG$3)*100,(nazione[[#This Row],[test_per_giorno]]/AG$3)*100)</f>
        <v>6.6078908697585523E-2</v>
      </c>
      <c r="AA41" s="4">
        <f>(nazione[[#This Row],[ricoverati_con_sintomi]]/nazione[[#This Row],[totale_attualmente_positivi]])*100</f>
        <v>34.365254247492445</v>
      </c>
      <c r="AB41" s="4">
        <f>(nazione[[#This Row],[terapia_intensiva]]/nazione[[#This Row],[totale_attualmente_positivi]])*100</f>
        <v>4.8802514178376626</v>
      </c>
      <c r="AC41" s="4">
        <f>((nazione[[#This Row],[totale_attualmente_positivi]]-(nazione[[#This Row],[totale_ospedalizzati]]))/nazione[[#This Row],[totale_attualmente_positivi]])*100</f>
        <v>60.754494334669893</v>
      </c>
      <c r="AD41" s="8">
        <f>(nazione[[#This Row],[Deceaded by day]]/nazione[[#This Row],[totale_attualmente_positivi]])*100</f>
        <v>0.91512239762068182</v>
      </c>
      <c r="AE41" s="8">
        <f>(nazione[[#This Row],[Deceaded by day]]/morti_per_regione!D$2) *100</f>
        <v>0.1200379699052174</v>
      </c>
    </row>
    <row r="42" spans="1:32" x14ac:dyDescent="0.2">
      <c r="A42">
        <v>40</v>
      </c>
      <c r="B42" s="6">
        <v>43924.708333333336</v>
      </c>
      <c r="C42" s="1" t="s">
        <v>42</v>
      </c>
      <c r="D42">
        <v>28741</v>
      </c>
      <c r="E42">
        <v>4068</v>
      </c>
      <c r="F42">
        <v>32809</v>
      </c>
      <c r="G42">
        <v>52579</v>
      </c>
      <c r="H42">
        <v>85388</v>
      </c>
      <c r="I42">
        <v>2339</v>
      </c>
      <c r="J42">
        <v>4585</v>
      </c>
      <c r="K42">
        <v>19758</v>
      </c>
      <c r="L42">
        <v>14681</v>
      </c>
      <c r="O42">
        <v>119827</v>
      </c>
      <c r="P42">
        <v>619849</v>
      </c>
      <c r="R42" s="1" t="s">
        <v>82</v>
      </c>
      <c r="S42" s="1">
        <f t="shared" si="2"/>
        <v>216</v>
      </c>
      <c r="T42" s="1">
        <f t="shared" si="3"/>
        <v>15</v>
      </c>
      <c r="U42">
        <f t="shared" si="6"/>
        <v>766</v>
      </c>
      <c r="V42">
        <f t="shared" si="7"/>
        <v>1480</v>
      </c>
      <c r="W42" s="8">
        <f t="shared" si="1"/>
        <v>2.8164095895194308E-2</v>
      </c>
      <c r="X42" s="1">
        <f>IF(Q42=0,(nazione[[#This Row],[nuovi_attualmente_positivi]]/nazione[[#This Row],[test_per_giorno]])*100,(nazione[[#This Row],[nuovi_attualmente_positivi]]/nazione[[#This Row],[test_per_giorno]])*100)</f>
        <v>11.873009296423854</v>
      </c>
      <c r="Y42">
        <f>IF(nazione[[#This Row],[casi_testati]]=0,nazione[[#This Row],[tamponi]]-P41,IF(Q41=0,nazione[[#This Row],[casi_testati]]-Y41,nazione[[#This Row],[casi_testati]]-Q41))</f>
        <v>38617</v>
      </c>
      <c r="Z42" s="4">
        <f>IF(Q42=0,(nazione[[#This Row],[test_per_giorno]]/AG$3)*100,(nazione[[#This Row],[test_per_giorno]]/AG$3)*100)</f>
        <v>6.4100309406783892E-2</v>
      </c>
      <c r="AA42" s="4">
        <f>(nazione[[#This Row],[ricoverati_con_sintomi]]/nazione[[#This Row],[totale_attualmente_positivi]])*100</f>
        <v>33.659296388251278</v>
      </c>
      <c r="AB42" s="4">
        <f>(nazione[[#This Row],[terapia_intensiva]]/nazione[[#This Row],[totale_attualmente_positivi]])*100</f>
        <v>4.7641354757108729</v>
      </c>
      <c r="AC42" s="4">
        <f>((nazione[[#This Row],[totale_attualmente_positivi]]-(nazione[[#This Row],[totale_ospedalizzati]]))/nazione[[#This Row],[totale_attualmente_positivi]])*100</f>
        <v>61.576568136037849</v>
      </c>
      <c r="AD42" s="8">
        <f>(nazione[[#This Row],[Deceaded by day]]/nazione[[#This Row],[totale_attualmente_positivi]])*100</f>
        <v>0.89708155712746529</v>
      </c>
      <c r="AE42" s="8">
        <f>(nazione[[#This Row],[Deceaded by day]]/morti_per_regione!D$2) *100</f>
        <v>0.12098563808867963</v>
      </c>
    </row>
    <row r="43" spans="1:32" x14ac:dyDescent="0.2">
      <c r="A43">
        <v>41</v>
      </c>
      <c r="B43" s="6">
        <v>43925.708333333336</v>
      </c>
      <c r="C43" s="1" t="s">
        <v>42</v>
      </c>
      <c r="D43">
        <v>29010</v>
      </c>
      <c r="E43">
        <v>3994</v>
      </c>
      <c r="F43">
        <v>33004</v>
      </c>
      <c r="G43">
        <v>55270</v>
      </c>
      <c r="H43">
        <v>88274</v>
      </c>
      <c r="I43">
        <v>2886</v>
      </c>
      <c r="J43">
        <v>4805</v>
      </c>
      <c r="K43">
        <v>20996</v>
      </c>
      <c r="L43">
        <v>15362</v>
      </c>
      <c r="O43">
        <v>124632</v>
      </c>
      <c r="P43">
        <v>657224</v>
      </c>
      <c r="R43" s="1" t="s">
        <v>82</v>
      </c>
      <c r="S43" s="1">
        <f t="shared" si="2"/>
        <v>195</v>
      </c>
      <c r="T43" s="1">
        <f t="shared" si="3"/>
        <v>-74</v>
      </c>
      <c r="U43">
        <f t="shared" ref="U43:U106" si="8">L43-L42</f>
        <v>681</v>
      </c>
      <c r="V43">
        <f t="shared" ref="V43:V106" si="9">K43-K42</f>
        <v>1238</v>
      </c>
      <c r="W43" s="8">
        <f t="shared" si="1"/>
        <v>3.3798660233288036E-2</v>
      </c>
      <c r="X43" s="1">
        <f>IF(Q43=0,(nazione[[#This Row],[nuovi_attualmente_positivi]]/nazione[[#This Row],[test_per_giorno]])*100,(nazione[[#This Row],[nuovi_attualmente_positivi]]/nazione[[#This Row],[test_per_giorno]])*100)</f>
        <v>12.856187290969901</v>
      </c>
      <c r="Y43">
        <f>IF(nazione[[#This Row],[casi_testati]]=0,nazione[[#This Row],[tamponi]]-P42,IF(Q42=0,nazione[[#This Row],[casi_testati]]-Y42,nazione[[#This Row],[casi_testati]]-Q42))</f>
        <v>37375</v>
      </c>
      <c r="Z43" s="4">
        <f>IF(Q43=0,(nazione[[#This Row],[test_per_giorno]]/AG$3)*100,(nazione[[#This Row],[test_per_giorno]]/AG$3)*100)</f>
        <v>6.2038715179287572E-2</v>
      </c>
      <c r="AA43" s="4">
        <f>(nazione[[#This Row],[ricoverati_con_sintomi]]/nazione[[#This Row],[totale_attualmente_positivi]])*100</f>
        <v>32.863583841221647</v>
      </c>
      <c r="AB43" s="4">
        <f>(nazione[[#This Row],[terapia_intensiva]]/nazione[[#This Row],[totale_attualmente_positivi]])*100</f>
        <v>4.5245485646962864</v>
      </c>
      <c r="AC43" s="4">
        <f>((nazione[[#This Row],[totale_attualmente_positivi]]-(nazione[[#This Row],[totale_ospedalizzati]]))/nazione[[#This Row],[totale_attualmente_positivi]])*100</f>
        <v>62.611867594082057</v>
      </c>
      <c r="AD43" s="8">
        <f>(nazione[[#This Row],[Deceaded by day]]/nazione[[#This Row],[totale_attualmente_positivi]])*100</f>
        <v>0.77146158551781951</v>
      </c>
      <c r="AE43" s="8">
        <f>(nazione[[#This Row],[Deceaded by day]]/morti_per_regione!D$2) *100</f>
        <v>0.10756033882296454</v>
      </c>
    </row>
    <row r="44" spans="1:32" x14ac:dyDescent="0.2">
      <c r="A44">
        <v>42</v>
      </c>
      <c r="B44" s="6">
        <v>43926.708333333336</v>
      </c>
      <c r="C44" s="1" t="s">
        <v>42</v>
      </c>
      <c r="D44">
        <v>28949</v>
      </c>
      <c r="E44">
        <v>3977</v>
      </c>
      <c r="F44">
        <v>32926</v>
      </c>
      <c r="G44">
        <v>58320</v>
      </c>
      <c r="H44">
        <v>91246</v>
      </c>
      <c r="I44">
        <v>2972</v>
      </c>
      <c r="J44">
        <v>4316</v>
      </c>
      <c r="K44">
        <v>21815</v>
      </c>
      <c r="L44">
        <v>15887</v>
      </c>
      <c r="O44">
        <v>128948</v>
      </c>
      <c r="P44">
        <v>691461</v>
      </c>
      <c r="R44" s="1" t="s">
        <v>82</v>
      </c>
      <c r="S44" s="1">
        <f t="shared" si="2"/>
        <v>-78</v>
      </c>
      <c r="T44" s="1">
        <f t="shared" si="3"/>
        <v>-17</v>
      </c>
      <c r="U44">
        <f t="shared" si="8"/>
        <v>525</v>
      </c>
      <c r="V44">
        <f t="shared" si="9"/>
        <v>819</v>
      </c>
      <c r="W44" s="8">
        <f t="shared" si="1"/>
        <v>3.3667897682216674E-2</v>
      </c>
      <c r="X44" s="1">
        <f>IF(Q44=0,(nazione[[#This Row],[nuovi_attualmente_positivi]]/nazione[[#This Row],[test_per_giorno]])*100,(nazione[[#This Row],[nuovi_attualmente_positivi]]/nazione[[#This Row],[test_per_giorno]])*100)</f>
        <v>12.606244706019803</v>
      </c>
      <c r="Y44">
        <f>IF(nazione[[#This Row],[casi_testati]]=0,nazione[[#This Row],[tamponi]]-P43,IF(Q43=0,nazione[[#This Row],[casi_testati]]-Y43,nazione[[#This Row],[casi_testati]]-Q43))</f>
        <v>34237</v>
      </c>
      <c r="Z44" s="4">
        <f>IF(Q44=0,(nazione[[#This Row],[test_per_giorno]]/AG$3)*100,(nazione[[#This Row],[test_per_giorno]]/AG$3)*100)</f>
        <v>5.6829952952328254E-2</v>
      </c>
      <c r="AA44" s="4">
        <f>(nazione[[#This Row],[ricoverati_con_sintomi]]/nazione[[#This Row],[totale_attualmente_positivi]])*100</f>
        <v>31.726322249742456</v>
      </c>
      <c r="AB44" s="4">
        <f>(nazione[[#This Row],[terapia_intensiva]]/nazione[[#This Row],[totale_attualmente_positivi]])*100</f>
        <v>4.3585472239879008</v>
      </c>
      <c r="AC44" s="4">
        <f>((nazione[[#This Row],[totale_attualmente_positivi]]-(nazione[[#This Row],[totale_ospedalizzati]]))/nazione[[#This Row],[totale_attualmente_positivi]])*100</f>
        <v>63.91513052626965</v>
      </c>
      <c r="AD44" s="8">
        <f>(nazione[[#This Row],[Deceaded by day]]/nazione[[#This Row],[totale_attualmente_positivi]])*100</f>
        <v>0.57536768735067834</v>
      </c>
      <c r="AE44" s="8">
        <f>(nazione[[#This Row],[Deceaded by day]]/morti_per_regione!D$2) *100</f>
        <v>8.2920966052946216E-2</v>
      </c>
    </row>
    <row r="45" spans="1:32" x14ac:dyDescent="0.2">
      <c r="A45">
        <v>43</v>
      </c>
      <c r="B45" s="6">
        <v>43927.708333333336</v>
      </c>
      <c r="C45" s="1" t="s">
        <v>42</v>
      </c>
      <c r="D45">
        <v>28976</v>
      </c>
      <c r="E45">
        <v>3898</v>
      </c>
      <c r="F45">
        <v>32874</v>
      </c>
      <c r="G45">
        <v>60313</v>
      </c>
      <c r="H45">
        <v>93187</v>
      </c>
      <c r="I45">
        <v>1941</v>
      </c>
      <c r="J45">
        <v>3599</v>
      </c>
      <c r="K45">
        <v>22837</v>
      </c>
      <c r="L45">
        <v>16523</v>
      </c>
      <c r="O45">
        <v>132547</v>
      </c>
      <c r="P45">
        <v>721732</v>
      </c>
      <c r="R45" s="1" t="s">
        <v>82</v>
      </c>
      <c r="S45" s="1">
        <f t="shared" si="2"/>
        <v>-52</v>
      </c>
      <c r="T45" s="1">
        <f t="shared" si="3"/>
        <v>-79</v>
      </c>
      <c r="U45">
        <f t="shared" si="8"/>
        <v>636</v>
      </c>
      <c r="V45">
        <f t="shared" si="9"/>
        <v>1022</v>
      </c>
      <c r="W45" s="8">
        <f t="shared" si="1"/>
        <v>2.1272165355193717E-2</v>
      </c>
      <c r="X45" s="1">
        <f>IF(Q45=0,(nazione[[#This Row],[nuovi_attualmente_positivi]]/nazione[[#This Row],[test_per_giorno]])*100,(nazione[[#This Row],[nuovi_attualmente_positivi]]/nazione[[#This Row],[test_per_giorno]])*100)</f>
        <v>11.889266955171616</v>
      </c>
      <c r="Y45">
        <f>IF(nazione[[#This Row],[casi_testati]]=0,nazione[[#This Row],[tamponi]]-P44,IF(Q44=0,nazione[[#This Row],[casi_testati]]-Y44,nazione[[#This Row],[casi_testati]]-Q44))</f>
        <v>30271</v>
      </c>
      <c r="Z45" s="4">
        <f>IF(Q45=0,(nazione[[#This Row],[test_per_giorno]]/AG$3)*100,(nazione[[#This Row],[test_per_giorno]]/AG$3)*100)</f>
        <v>5.024679457370472E-2</v>
      </c>
      <c r="AA45" s="4">
        <f>(nazione[[#This Row],[ricoverati_con_sintomi]]/nazione[[#This Row],[totale_attualmente_positivi]])*100</f>
        <v>31.094465966282854</v>
      </c>
      <c r="AB45" s="4">
        <f>(nazione[[#This Row],[terapia_intensiva]]/nazione[[#This Row],[totale_attualmente_positivi]])*100</f>
        <v>4.1829868973140032</v>
      </c>
      <c r="AC45" s="4">
        <f>((nazione[[#This Row],[totale_attualmente_positivi]]-(nazione[[#This Row],[totale_ospedalizzati]]))/nazione[[#This Row],[totale_attualmente_positivi]])*100</f>
        <v>64.722547136403136</v>
      </c>
      <c r="AD45" s="8">
        <f>(nazione[[#This Row],[Deceaded by day]]/nazione[[#This Row],[totale_attualmente_positivi]])*100</f>
        <v>0.6824986317834032</v>
      </c>
      <c r="AE45" s="8">
        <f>(nazione[[#This Row],[Deceaded by day]]/morti_per_regione!D$2) *100</f>
        <v>0.10045282744699771</v>
      </c>
    </row>
    <row r="46" spans="1:32" x14ac:dyDescent="0.2">
      <c r="A46">
        <v>44</v>
      </c>
      <c r="B46" s="6">
        <v>43928.708333333336</v>
      </c>
      <c r="C46" s="1" t="s">
        <v>42</v>
      </c>
      <c r="D46">
        <v>28718</v>
      </c>
      <c r="E46">
        <v>3792</v>
      </c>
      <c r="F46">
        <v>32510</v>
      </c>
      <c r="G46">
        <v>61557</v>
      </c>
      <c r="H46">
        <v>94067</v>
      </c>
      <c r="I46">
        <v>880</v>
      </c>
      <c r="J46">
        <v>3039</v>
      </c>
      <c r="K46">
        <v>24392</v>
      </c>
      <c r="L46">
        <v>17127</v>
      </c>
      <c r="O46">
        <v>135586</v>
      </c>
      <c r="P46">
        <v>755445</v>
      </c>
      <c r="R46" s="1" t="s">
        <v>82</v>
      </c>
      <c r="S46" s="1">
        <f t="shared" si="2"/>
        <v>-364</v>
      </c>
      <c r="T46" s="1">
        <f t="shared" si="3"/>
        <v>-106</v>
      </c>
      <c r="U46">
        <f t="shared" si="8"/>
        <v>604</v>
      </c>
      <c r="V46">
        <f t="shared" si="9"/>
        <v>1555</v>
      </c>
      <c r="W46" s="8">
        <f t="shared" si="1"/>
        <v>9.4433772951163508E-3</v>
      </c>
      <c r="X46" s="1">
        <f>IF(Q46=0,(nazione[[#This Row],[nuovi_attualmente_positivi]]/nazione[[#This Row],[test_per_giorno]])*100,(nazione[[#This Row],[nuovi_attualmente_positivi]]/nazione[[#This Row],[test_per_giorno]])*100)</f>
        <v>9.0143268175481275</v>
      </c>
      <c r="Y46">
        <f>IF(nazione[[#This Row],[casi_testati]]=0,nazione[[#This Row],[tamponi]]-P45,IF(Q45=0,nazione[[#This Row],[casi_testati]]-Y45,nazione[[#This Row],[casi_testati]]-Q45))</f>
        <v>33713</v>
      </c>
      <c r="Z46" s="4">
        <f>IF(Q46=0,(nazione[[#This Row],[test_per_giorno]]/AG$3)*100,(nazione[[#This Row],[test_per_giorno]]/AG$3)*100)</f>
        <v>5.5960166015767802E-2</v>
      </c>
      <c r="AA46" s="4">
        <f>(nazione[[#This Row],[ricoverati_con_sintomi]]/nazione[[#This Row],[totale_attualmente_positivi]])*100</f>
        <v>30.529303581489792</v>
      </c>
      <c r="AB46" s="4">
        <f>(nazione[[#This Row],[terapia_intensiva]]/nazione[[#This Row],[totale_attualmente_positivi]])*100</f>
        <v>4.0311692729650144</v>
      </c>
      <c r="AC46" s="4">
        <f>((nazione[[#This Row],[totale_attualmente_positivi]]-(nazione[[#This Row],[totale_ospedalizzati]]))/nazione[[#This Row],[totale_attualmente_positivi]])*100</f>
        <v>65.439527145545199</v>
      </c>
      <c r="AD46" s="8">
        <f>(nazione[[#This Row],[Deceaded by day]]/nazione[[#This Row],[totale_attualmente_positivi]])*100</f>
        <v>0.64209552765581979</v>
      </c>
      <c r="AE46" s="8">
        <f>(nazione[[#This Row],[Deceaded by day]]/morti_per_regione!D$2) *100</f>
        <v>9.5398597135199076E-2</v>
      </c>
      <c r="AF46" s="22">
        <f>pop_by_region!D2</f>
        <v>60244639</v>
      </c>
    </row>
    <row r="47" spans="1:32" x14ac:dyDescent="0.2">
      <c r="A47">
        <v>45</v>
      </c>
      <c r="B47" s="6">
        <v>43929.708333333336</v>
      </c>
      <c r="C47" s="1" t="s">
        <v>42</v>
      </c>
      <c r="D47">
        <v>28485</v>
      </c>
      <c r="E47">
        <v>3693</v>
      </c>
      <c r="F47">
        <v>32178</v>
      </c>
      <c r="G47">
        <v>63084</v>
      </c>
      <c r="H47">
        <v>95262</v>
      </c>
      <c r="I47">
        <v>1195</v>
      </c>
      <c r="J47">
        <v>3836</v>
      </c>
      <c r="K47">
        <v>26491</v>
      </c>
      <c r="L47">
        <v>17669</v>
      </c>
      <c r="O47">
        <v>139422</v>
      </c>
      <c r="P47">
        <v>807125</v>
      </c>
      <c r="R47" s="1" t="s">
        <v>82</v>
      </c>
      <c r="S47" s="1">
        <f t="shared" si="2"/>
        <v>-332</v>
      </c>
      <c r="T47" s="1">
        <f t="shared" si="3"/>
        <v>-99</v>
      </c>
      <c r="U47">
        <f t="shared" si="8"/>
        <v>542</v>
      </c>
      <c r="V47">
        <f t="shared" si="9"/>
        <v>2099</v>
      </c>
      <c r="W47" s="8">
        <f t="shared" si="1"/>
        <v>1.2703711184581135E-2</v>
      </c>
      <c r="X47" s="1">
        <f>IF(Q47=0,(nazione[[#This Row],[nuovi_attualmente_positivi]]/nazione[[#This Row],[test_per_giorno]])*100,(nazione[[#This Row],[nuovi_attualmente_positivi]]/nazione[[#This Row],[test_per_giorno]])*100)</f>
        <v>7.4226006191950464</v>
      </c>
      <c r="Y47">
        <f>IF(nazione[[#This Row],[casi_testati]]=0,nazione[[#This Row],[tamponi]]-P46,IF(Q46=0,nazione[[#This Row],[casi_testati]]-Y46,nazione[[#This Row],[casi_testati]]-Q46))</f>
        <v>51680</v>
      </c>
      <c r="Z47" s="4">
        <f>IF(Q47=0,(nazione[[#This Row],[test_per_giorno]]/AG$3)*100,(nazione[[#This Row],[test_per_giorno]]/AG$3)*100)</f>
        <v>8.5783566567640981E-2</v>
      </c>
      <c r="AA47" s="4">
        <f>(nazione[[#This Row],[ricoverati_con_sintomi]]/nazione[[#This Row],[totale_attualmente_positivi]])*100</f>
        <v>29.901744662089811</v>
      </c>
      <c r="AB47" s="4">
        <f>(nazione[[#This Row],[terapia_intensiva]]/nazione[[#This Row],[totale_attualmente_positivi]])*100</f>
        <v>3.876676954084525</v>
      </c>
      <c r="AC47" s="4">
        <f>((nazione[[#This Row],[totale_attualmente_positivi]]-(nazione[[#This Row],[totale_ospedalizzati]]))/nazione[[#This Row],[totale_attualmente_positivi]])*100</f>
        <v>66.221578383825658</v>
      </c>
      <c r="AD47" s="8">
        <f>(nazione[[#This Row],[Deceaded by day]]/nazione[[#This Row],[totale_attualmente_positivi]])*100</f>
        <v>0.56895719174487203</v>
      </c>
      <c r="AE47" s="8">
        <f>(nazione[[#This Row],[Deceaded by day]]/morti_per_regione!D$2) *100</f>
        <v>8.5606025906089234E-2</v>
      </c>
    </row>
    <row r="48" spans="1:32" x14ac:dyDescent="0.2">
      <c r="A48">
        <v>46</v>
      </c>
      <c r="B48" s="6">
        <v>43930.708333333336</v>
      </c>
      <c r="C48" s="1" t="s">
        <v>42</v>
      </c>
      <c r="D48">
        <v>28399</v>
      </c>
      <c r="E48">
        <v>3605</v>
      </c>
      <c r="F48">
        <v>32004</v>
      </c>
      <c r="G48">
        <v>64873</v>
      </c>
      <c r="H48">
        <v>96877</v>
      </c>
      <c r="I48">
        <v>1615</v>
      </c>
      <c r="J48">
        <v>4204</v>
      </c>
      <c r="K48">
        <v>28470</v>
      </c>
      <c r="L48">
        <v>18279</v>
      </c>
      <c r="O48">
        <v>143626</v>
      </c>
      <c r="P48">
        <v>853369</v>
      </c>
      <c r="R48" s="1" t="s">
        <v>82</v>
      </c>
      <c r="S48" s="1">
        <f t="shared" si="2"/>
        <v>-174</v>
      </c>
      <c r="T48" s="1">
        <f t="shared" si="3"/>
        <v>-88</v>
      </c>
      <c r="U48">
        <f t="shared" si="8"/>
        <v>610</v>
      </c>
      <c r="V48">
        <f t="shared" si="9"/>
        <v>1979</v>
      </c>
      <c r="W48" s="8">
        <f t="shared" si="1"/>
        <v>1.695324473557136E-2</v>
      </c>
      <c r="X48" s="1">
        <f>IF(Q48=0,(nazione[[#This Row],[nuovi_attualmente_positivi]]/nazione[[#This Row],[test_per_giorno]])*100,(nazione[[#This Row],[nuovi_attualmente_positivi]]/nazione[[#This Row],[test_per_giorno]])*100)</f>
        <v>9.0909090909090917</v>
      </c>
      <c r="Y48">
        <f>IF(nazione[[#This Row],[casi_testati]]=0,nazione[[#This Row],[tamponi]]-P47,IF(Q47=0,nazione[[#This Row],[casi_testati]]-Y47,nazione[[#This Row],[casi_testati]]-Q47))</f>
        <v>46244</v>
      </c>
      <c r="Z48" s="4">
        <f>IF(Q48=0,(nazione[[#This Row],[test_per_giorno]]/AG$3)*100,(nazione[[#This Row],[test_per_giorno]]/AG$3)*100)</f>
        <v>7.6760357050193295E-2</v>
      </c>
      <c r="AA48" s="4">
        <f>(nazione[[#This Row],[ricoverati_con_sintomi]]/nazione[[#This Row],[totale_attualmente_positivi]])*100</f>
        <v>29.314491571786906</v>
      </c>
      <c r="AB48" s="4">
        <f>(nazione[[#This Row],[terapia_intensiva]]/nazione[[#This Row],[totale_attualmente_positivi]])*100</f>
        <v>3.7212134975277928</v>
      </c>
      <c r="AC48" s="4">
        <f>((nazione[[#This Row],[totale_attualmente_positivi]]-(nazione[[#This Row],[totale_ospedalizzati]]))/nazione[[#This Row],[totale_attualmente_positivi]])*100</f>
        <v>66.964294930685298</v>
      </c>
      <c r="AD48" s="8">
        <f>(nazione[[#This Row],[Deceaded by day]]/nazione[[#This Row],[totale_attualmente_positivi]])*100</f>
        <v>0.62966441983133259</v>
      </c>
      <c r="AE48" s="8">
        <f>(nazione[[#This Row],[Deceaded by day]]/morti_per_regione!D$2) *100</f>
        <v>9.634626531866132E-2</v>
      </c>
    </row>
    <row r="49" spans="1:33" x14ac:dyDescent="0.2">
      <c r="A49">
        <v>47</v>
      </c>
      <c r="B49" s="6">
        <v>43931.708333333336</v>
      </c>
      <c r="C49" s="1" t="s">
        <v>42</v>
      </c>
      <c r="D49">
        <v>28242</v>
      </c>
      <c r="E49">
        <v>3497</v>
      </c>
      <c r="F49">
        <v>31739</v>
      </c>
      <c r="G49">
        <v>66534</v>
      </c>
      <c r="H49">
        <v>98273</v>
      </c>
      <c r="I49">
        <v>1396</v>
      </c>
      <c r="J49">
        <v>3951</v>
      </c>
      <c r="K49">
        <v>30455</v>
      </c>
      <c r="L49">
        <v>18849</v>
      </c>
      <c r="O49">
        <v>147577</v>
      </c>
      <c r="P49">
        <v>906864</v>
      </c>
      <c r="R49" s="1" t="s">
        <v>94</v>
      </c>
      <c r="S49" s="1">
        <f t="shared" si="2"/>
        <v>-265</v>
      </c>
      <c r="T49" s="1">
        <f t="shared" si="3"/>
        <v>-108</v>
      </c>
      <c r="U49">
        <f t="shared" si="8"/>
        <v>570</v>
      </c>
      <c r="V49">
        <f t="shared" si="9"/>
        <v>1985</v>
      </c>
      <c r="W49" s="8">
        <f t="shared" si="1"/>
        <v>1.4410025083353206E-2</v>
      </c>
      <c r="X49" s="1">
        <f>IF(Q49=0,(nazione[[#This Row],[nuovi_attualmente_positivi]]/nazione[[#This Row],[test_per_giorno]])*100,(nazione[[#This Row],[nuovi_attualmente_positivi]]/nazione[[#This Row],[test_per_giorno]])*100)</f>
        <v>7.3857369847649315</v>
      </c>
      <c r="Y49">
        <f>IF(nazione[[#This Row],[casi_testati]]=0,nazione[[#This Row],[tamponi]]-P48,IF(Q48=0,nazione[[#This Row],[casi_testati]]-Y48,nazione[[#This Row],[casi_testati]]-Q48))</f>
        <v>53495</v>
      </c>
      <c r="Z49" s="4">
        <f>IF(Q49=0,(nazione[[#This Row],[test_per_giorno]]/AG$3)*100,(nazione[[#This Row],[test_per_giorno]]/AG$3)*100)</f>
        <v>8.8796282769658563E-2</v>
      </c>
      <c r="AA49" s="4">
        <f>(nazione[[#This Row],[ricoverati_con_sintomi]]/nazione[[#This Row],[totale_attualmente_positivi]])*100</f>
        <v>28.738310624484853</v>
      </c>
      <c r="AB49" s="4">
        <f>(nazione[[#This Row],[terapia_intensiva]]/nazione[[#This Row],[totale_attualmente_positivi]])*100</f>
        <v>3.5584545093769395</v>
      </c>
      <c r="AC49" s="4">
        <f>((nazione[[#This Row],[totale_attualmente_positivi]]-(nazione[[#This Row],[totale_ospedalizzati]]))/nazione[[#This Row],[totale_attualmente_positivi]])*100</f>
        <v>67.703234866138203</v>
      </c>
      <c r="AD49" s="8">
        <f>(nazione[[#This Row],[Deceaded by day]]/nazione[[#This Row],[totale_attualmente_positivi]])*100</f>
        <v>0.58001689172000448</v>
      </c>
      <c r="AE49" s="8">
        <f>(nazione[[#This Row],[Deceaded by day]]/morti_per_regione!D$2) *100</f>
        <v>9.002847742891304E-2</v>
      </c>
    </row>
    <row r="50" spans="1:33" x14ac:dyDescent="0.2">
      <c r="A50">
        <v>48</v>
      </c>
      <c r="B50" s="6">
        <v>43932.708333333336</v>
      </c>
      <c r="C50" s="1" t="s">
        <v>42</v>
      </c>
      <c r="D50">
        <v>28144</v>
      </c>
      <c r="E50">
        <v>3381</v>
      </c>
      <c r="F50">
        <v>31525</v>
      </c>
      <c r="G50">
        <v>68744</v>
      </c>
      <c r="H50">
        <v>100269</v>
      </c>
      <c r="I50">
        <v>1996</v>
      </c>
      <c r="J50">
        <v>4694</v>
      </c>
      <c r="K50">
        <v>32534</v>
      </c>
      <c r="L50">
        <v>19468</v>
      </c>
      <c r="O50">
        <v>152271</v>
      </c>
      <c r="P50">
        <v>963473</v>
      </c>
      <c r="R50" s="1" t="s">
        <v>82</v>
      </c>
      <c r="S50" s="1">
        <f t="shared" si="2"/>
        <v>-214</v>
      </c>
      <c r="T50" s="1">
        <f t="shared" si="3"/>
        <v>-116</v>
      </c>
      <c r="U50">
        <f t="shared" si="8"/>
        <v>619</v>
      </c>
      <c r="V50">
        <f t="shared" si="9"/>
        <v>2079</v>
      </c>
      <c r="W50" s="8">
        <f t="shared" si="1"/>
        <v>2.0310766945142555E-2</v>
      </c>
      <c r="X50" s="1">
        <f>IF(Q50=0,(nazione[[#This Row],[nuovi_attualmente_positivi]]/nazione[[#This Row],[test_per_giorno]])*100,(nazione[[#This Row],[nuovi_attualmente_positivi]]/nazione[[#This Row],[test_per_giorno]])*100)</f>
        <v>8.2919677083149317</v>
      </c>
      <c r="Y50">
        <f>IF(nazione[[#This Row],[casi_testati]]=0,nazione[[#This Row],[tamponi]]-P49,IF(Q49=0,nazione[[#This Row],[casi_testati]]-Y49,nazione[[#This Row],[casi_testati]]-Q49))</f>
        <v>56609</v>
      </c>
      <c r="Z50" s="4">
        <f>IF(Q50=0,(nazione[[#This Row],[test_per_giorno]]/AG$3)*100,(nazione[[#This Row],[test_per_giorno]]/AG$3)*100)</f>
        <v>9.3965207427004413E-2</v>
      </c>
      <c r="AA50" s="4">
        <f>(nazione[[#This Row],[ricoverati_con_sintomi]]/nazione[[#This Row],[totale_attualmente_positivi]])*100</f>
        <v>28.068495746442068</v>
      </c>
      <c r="AB50" s="4">
        <f>(nazione[[#This Row],[terapia_intensiva]]/nazione[[#This Row],[totale_attualmente_positivi]])*100</f>
        <v>3.3719295096191244</v>
      </c>
      <c r="AC50" s="4">
        <f>((nazione[[#This Row],[totale_attualmente_positivi]]-(nazione[[#This Row],[totale_ospedalizzati]]))/nazione[[#This Row],[totale_attualmente_positivi]])*100</f>
        <v>68.559574743938796</v>
      </c>
      <c r="AD50" s="8">
        <f>(nazione[[#This Row],[Deceaded by day]]/nazione[[#This Row],[totale_attualmente_positivi]])*100</f>
        <v>0.61733935712932209</v>
      </c>
      <c r="AE50" s="8">
        <f>(nazione[[#This Row],[Deceaded by day]]/morti_per_regione!D$2) *100</f>
        <v>9.7767767593854679E-2</v>
      </c>
      <c r="AG50" s="22">
        <f>AF46*0.12</f>
        <v>7229356.6799999997</v>
      </c>
    </row>
    <row r="51" spans="1:33" x14ac:dyDescent="0.2">
      <c r="A51">
        <v>49</v>
      </c>
      <c r="B51" s="6">
        <v>43933.708333333336</v>
      </c>
      <c r="C51" s="1" t="s">
        <v>42</v>
      </c>
      <c r="D51">
        <v>27847</v>
      </c>
      <c r="E51">
        <v>3343</v>
      </c>
      <c r="F51">
        <v>31190</v>
      </c>
      <c r="G51">
        <v>71063</v>
      </c>
      <c r="H51">
        <v>102253</v>
      </c>
      <c r="I51">
        <v>1984</v>
      </c>
      <c r="J51">
        <v>4092</v>
      </c>
      <c r="K51">
        <v>34211</v>
      </c>
      <c r="L51">
        <v>19899</v>
      </c>
      <c r="O51">
        <v>156363</v>
      </c>
      <c r="P51">
        <v>1010193</v>
      </c>
      <c r="R51" s="1" t="s">
        <v>95</v>
      </c>
      <c r="S51" s="1">
        <f t="shared" si="2"/>
        <v>-335</v>
      </c>
      <c r="T51" s="1">
        <f t="shared" si="3"/>
        <v>-38</v>
      </c>
      <c r="U51">
        <f t="shared" si="8"/>
        <v>431</v>
      </c>
      <c r="V51">
        <f t="shared" si="9"/>
        <v>1677</v>
      </c>
      <c r="W51" s="8">
        <f t="shared" si="1"/>
        <v>1.9786773579072214E-2</v>
      </c>
      <c r="X51" s="1">
        <f>IF(Q51=0,(nazione[[#This Row],[nuovi_attualmente_positivi]]/nazione[[#This Row],[test_per_giorno]])*100,(nazione[[#This Row],[nuovi_attualmente_positivi]]/nazione[[#This Row],[test_per_giorno]])*100)</f>
        <v>8.7585616438356162</v>
      </c>
      <c r="Y51">
        <f>IF(nazione[[#This Row],[casi_testati]]=0,nazione[[#This Row],[tamponi]]-P50,IF(Q50=0,nazione[[#This Row],[casi_testati]]-Y50,nazione[[#This Row],[casi_testati]]-Q50))</f>
        <v>46720</v>
      </c>
      <c r="Z51" s="4">
        <f>IF(Q51=0,(nazione[[#This Row],[test_per_giorno]]/AG$3)*100,(nazione[[#This Row],[test_per_giorno]]/AG$3)*100)</f>
        <v>7.7550468847526838E-2</v>
      </c>
      <c r="AA51" s="4">
        <f>(nazione[[#This Row],[ricoverati_con_sintomi]]/nazione[[#This Row],[totale_attualmente_positivi]])*100</f>
        <v>27.233430803986192</v>
      </c>
      <c r="AB51" s="4">
        <f>(nazione[[#This Row],[terapia_intensiva]]/nazione[[#This Row],[totale_attualmente_positivi]])*100</f>
        <v>3.2693417308049644</v>
      </c>
      <c r="AC51" s="4">
        <f>((nazione[[#This Row],[totale_attualmente_positivi]]-(nazione[[#This Row],[totale_ospedalizzati]]))/nazione[[#This Row],[totale_attualmente_positivi]])*100</f>
        <v>69.497227465208837</v>
      </c>
      <c r="AD51" s="8">
        <f>(nazione[[#This Row],[Deceaded by day]]/nazione[[#This Row],[totale_attualmente_positivi]])*100</f>
        <v>0.42150352556893195</v>
      </c>
      <c r="AE51" s="8">
        <f>(nazione[[#This Row],[Deceaded by day]]/morti_per_regione!D$2) *100</f>
        <v>6.8074164512037766E-2</v>
      </c>
      <c r="AG51" s="24">
        <f>AG50*0.23</f>
        <v>1662752.0364000001</v>
      </c>
    </row>
    <row r="52" spans="1:33" x14ac:dyDescent="0.2">
      <c r="A52">
        <v>50</v>
      </c>
      <c r="B52" s="6">
        <v>43934.708333333336</v>
      </c>
      <c r="C52" s="1" t="s">
        <v>42</v>
      </c>
      <c r="D52">
        <v>28023</v>
      </c>
      <c r="E52">
        <v>3260</v>
      </c>
      <c r="F52">
        <v>31283</v>
      </c>
      <c r="G52">
        <v>72333</v>
      </c>
      <c r="H52">
        <v>103616</v>
      </c>
      <c r="I52">
        <v>1363</v>
      </c>
      <c r="J52">
        <v>3153</v>
      </c>
      <c r="K52">
        <v>35435</v>
      </c>
      <c r="L52">
        <v>20465</v>
      </c>
      <c r="O52">
        <v>159516</v>
      </c>
      <c r="P52">
        <v>1046910</v>
      </c>
      <c r="R52" s="1" t="s">
        <v>82</v>
      </c>
      <c r="S52" s="1">
        <f t="shared" si="2"/>
        <v>93</v>
      </c>
      <c r="T52" s="1">
        <f t="shared" si="3"/>
        <v>-83</v>
      </c>
      <c r="U52">
        <f t="shared" si="8"/>
        <v>566</v>
      </c>
      <c r="V52">
        <f t="shared" si="9"/>
        <v>1224</v>
      </c>
      <c r="W52" s="8">
        <f t="shared" si="1"/>
        <v>1.3329682258711228E-2</v>
      </c>
      <c r="X52" s="1">
        <f>IF(Q52=0,(nazione[[#This Row],[nuovi_attualmente_positivi]]/nazione[[#This Row],[test_per_giorno]])*100,(nazione[[#This Row],[nuovi_attualmente_positivi]]/nazione[[#This Row],[test_per_giorno]])*100)</f>
        <v>8.5873028842225665</v>
      </c>
      <c r="Y52">
        <f>IF(nazione[[#This Row],[casi_testati]]=0,nazione[[#This Row],[tamponi]]-P51,IF(Q51=0,nazione[[#This Row],[casi_testati]]-Y51,nazione[[#This Row],[casi_testati]]-Q51))</f>
        <v>36717</v>
      </c>
      <c r="Z52" s="4">
        <f>IF(Q52=0,(nazione[[#This Row],[test_per_giorno]]/AG$3)*100,(nazione[[#This Row],[test_per_giorno]]/AG$3)*100)</f>
        <v>6.0946501812385333E-2</v>
      </c>
      <c r="AA52" s="4">
        <f>(nazione[[#This Row],[ricoverati_con_sintomi]]/nazione[[#This Row],[totale_attualmente_positivi]])*100</f>
        <v>27.0450509573811</v>
      </c>
      <c r="AB52" s="4">
        <f>(nazione[[#This Row],[terapia_intensiva]]/nazione[[#This Row],[totale_attualmente_positivi]])*100</f>
        <v>3.1462322421247682</v>
      </c>
      <c r="AC52" s="4">
        <f>((nazione[[#This Row],[totale_attualmente_positivi]]-(nazione[[#This Row],[totale_ospedalizzati]]))/nazione[[#This Row],[totale_attualmente_positivi]])*100</f>
        <v>69.808716800494125</v>
      </c>
      <c r="AD52" s="8">
        <f>(nazione[[#This Row],[Deceaded by day]]/nazione[[#This Row],[totale_attualmente_positivi]])*100</f>
        <v>0.54624768375540456</v>
      </c>
      <c r="AE52" s="8">
        <f>(nazione[[#This Row],[Deceaded by day]]/morti_per_regione!D$2) *100</f>
        <v>8.939669863993821E-2</v>
      </c>
    </row>
    <row r="53" spans="1:33" x14ac:dyDescent="0.2">
      <c r="A53">
        <v>51</v>
      </c>
      <c r="B53" s="6">
        <v>43935.708333333336</v>
      </c>
      <c r="C53" s="1" t="s">
        <v>42</v>
      </c>
      <c r="D53">
        <v>28011</v>
      </c>
      <c r="E53">
        <v>3186</v>
      </c>
      <c r="F53">
        <v>31197</v>
      </c>
      <c r="G53">
        <v>73094</v>
      </c>
      <c r="H53">
        <v>104291</v>
      </c>
      <c r="I53">
        <v>675</v>
      </c>
      <c r="J53">
        <v>2972</v>
      </c>
      <c r="K53">
        <v>37130</v>
      </c>
      <c r="L53">
        <v>21067</v>
      </c>
      <c r="O53">
        <v>162488</v>
      </c>
      <c r="P53">
        <v>1073689</v>
      </c>
      <c r="R53" s="1" t="s">
        <v>82</v>
      </c>
      <c r="S53" s="1">
        <f t="shared" si="2"/>
        <v>-86</v>
      </c>
      <c r="T53" s="1">
        <f t="shared" si="3"/>
        <v>-74</v>
      </c>
      <c r="U53">
        <f t="shared" si="8"/>
        <v>602</v>
      </c>
      <c r="V53">
        <f t="shared" si="9"/>
        <v>1695</v>
      </c>
      <c r="W53" s="8">
        <f t="shared" si="1"/>
        <v>6.5144379246449002E-3</v>
      </c>
      <c r="X53" s="1">
        <f>IF(Q53=0,(nazione[[#This Row],[nuovi_attualmente_positivi]]/nazione[[#This Row],[test_per_giorno]])*100,(nazione[[#This Row],[nuovi_attualmente_positivi]]/nazione[[#This Row],[test_per_giorno]])*100)</f>
        <v>11.098248627655998</v>
      </c>
      <c r="Y53">
        <f>IF(nazione[[#This Row],[casi_testati]]=0,nazione[[#This Row],[tamponi]]-P52,IF(Q52=0,nazione[[#This Row],[casi_testati]]-Y52,nazione[[#This Row],[casi_testati]]-Q52))</f>
        <v>26779</v>
      </c>
      <c r="Z53" s="4">
        <f>IF(Q53=0,(nazione[[#This Row],[test_per_giorno]]/AG$3)*100,(nazione[[#This Row],[test_per_giorno]]/AG$3)*100)</f>
        <v>4.4450428194946941E-2</v>
      </c>
      <c r="AA53" s="4">
        <f>(nazione[[#This Row],[ricoverati_con_sintomi]]/nazione[[#This Row],[totale_attualmente_positivi]])*100</f>
        <v>26.858501692379978</v>
      </c>
      <c r="AB53" s="4">
        <f>(nazione[[#This Row],[terapia_intensiva]]/nazione[[#This Row],[totale_attualmente_positivi]])*100</f>
        <v>3.054913655061319</v>
      </c>
      <c r="AC53" s="4">
        <f>((nazione[[#This Row],[totale_attualmente_positivi]]-(nazione[[#This Row],[totale_ospedalizzati]]))/nazione[[#This Row],[totale_attualmente_positivi]])*100</f>
        <v>70.086584652558699</v>
      </c>
      <c r="AD53" s="8">
        <f>(nazione[[#This Row],[Deceaded by day]]/nazione[[#This Row],[totale_attualmente_positivi]])*100</f>
        <v>0.57723101705803959</v>
      </c>
      <c r="AE53" s="8">
        <f>(nazione[[#This Row],[Deceaded by day]]/morti_per_regione!D$2) *100</f>
        <v>9.5082707740711661E-2</v>
      </c>
    </row>
    <row r="54" spans="1:33" x14ac:dyDescent="0.2">
      <c r="A54">
        <v>52</v>
      </c>
      <c r="B54" s="6">
        <v>43936.708333333336</v>
      </c>
      <c r="C54" s="1" t="s">
        <v>42</v>
      </c>
      <c r="D54">
        <v>27643</v>
      </c>
      <c r="E54">
        <v>3079</v>
      </c>
      <c r="F54">
        <v>30722</v>
      </c>
      <c r="G54">
        <v>74696</v>
      </c>
      <c r="H54">
        <v>105418</v>
      </c>
      <c r="I54">
        <v>1127</v>
      </c>
      <c r="J54">
        <v>2667</v>
      </c>
      <c r="K54">
        <v>38092</v>
      </c>
      <c r="L54">
        <v>21645</v>
      </c>
      <c r="O54">
        <v>165155</v>
      </c>
      <c r="P54">
        <v>1117404</v>
      </c>
      <c r="R54" s="1" t="s">
        <v>96</v>
      </c>
      <c r="S54" s="1">
        <f t="shared" si="2"/>
        <v>-475</v>
      </c>
      <c r="T54" s="1">
        <f t="shared" si="3"/>
        <v>-107</v>
      </c>
      <c r="U54">
        <f t="shared" si="8"/>
        <v>578</v>
      </c>
      <c r="V54">
        <f t="shared" si="9"/>
        <v>962</v>
      </c>
      <c r="W54" s="8">
        <f t="shared" si="1"/>
        <v>1.0806301598412116E-2</v>
      </c>
      <c r="X54" s="1">
        <f>IF(Q54=0,(nazione[[#This Row],[nuovi_attualmente_positivi]]/nazione[[#This Row],[test_per_giorno]])*100,(nazione[[#This Row],[nuovi_attualmente_positivi]]/nazione[[#This Row],[test_per_giorno]])*100)</f>
        <v>6.1008807045636511</v>
      </c>
      <c r="Y54">
        <f>IF(nazione[[#This Row],[casi_testati]]=0,nazione[[#This Row],[tamponi]]-P53,IF(Q53=0,nazione[[#This Row],[casi_testati]]-Y53,nazione[[#This Row],[casi_testati]]-Q53))</f>
        <v>43715</v>
      </c>
      <c r="Z54" s="4">
        <f>IF(Q54=0,(nazione[[#This Row],[test_per_giorno]]/AG$3)*100,(nazione[[#This Row],[test_per_giorno]]/AG$3)*100)</f>
        <v>7.2562473152175427E-2</v>
      </c>
      <c r="AA54" s="4">
        <f>(nazione[[#This Row],[ricoverati_con_sintomi]]/nazione[[#This Row],[totale_attualmente_positivi]])*100</f>
        <v>26.222277030488151</v>
      </c>
      <c r="AB54" s="4">
        <f>(nazione[[#This Row],[terapia_intensiva]]/nazione[[#This Row],[totale_attualmente_positivi]])*100</f>
        <v>2.9207535714963289</v>
      </c>
      <c r="AC54" s="4">
        <f>((nazione[[#This Row],[totale_attualmente_positivi]]-(nazione[[#This Row],[totale_ospedalizzati]]))/nazione[[#This Row],[totale_attualmente_positivi]])*100</f>
        <v>70.856969398015522</v>
      </c>
      <c r="AD54" s="8">
        <f>(nazione[[#This Row],[Deceaded by day]]/nazione[[#This Row],[totale_attualmente_positivi]])*100</f>
        <v>0.54829346031986947</v>
      </c>
      <c r="AE54" s="8">
        <f>(nazione[[#This Row],[Deceaded by day]]/morti_per_regione!D$2) *100</f>
        <v>9.1292035006862698E-2</v>
      </c>
    </row>
    <row r="55" spans="1:33" x14ac:dyDescent="0.2">
      <c r="A55">
        <v>53</v>
      </c>
      <c r="B55" s="6">
        <v>43937.708333333336</v>
      </c>
      <c r="C55" s="1" t="s">
        <v>42</v>
      </c>
      <c r="D55">
        <v>26893</v>
      </c>
      <c r="E55">
        <v>2936</v>
      </c>
      <c r="F55">
        <v>29829</v>
      </c>
      <c r="G55">
        <v>76778</v>
      </c>
      <c r="H55">
        <v>106607</v>
      </c>
      <c r="I55">
        <v>1189</v>
      </c>
      <c r="J55">
        <v>3786</v>
      </c>
      <c r="K55">
        <v>40164</v>
      </c>
      <c r="L55">
        <v>22170</v>
      </c>
      <c r="O55">
        <v>168941</v>
      </c>
      <c r="P55">
        <v>1178403</v>
      </c>
      <c r="R55" s="1" t="s">
        <v>82</v>
      </c>
      <c r="S55" s="1">
        <f t="shared" si="2"/>
        <v>-893</v>
      </c>
      <c r="T55" s="1">
        <f t="shared" si="3"/>
        <v>-143</v>
      </c>
      <c r="U55">
        <f t="shared" si="8"/>
        <v>525</v>
      </c>
      <c r="V55">
        <f t="shared" si="9"/>
        <v>2072</v>
      </c>
      <c r="W55" s="8">
        <f t="shared" si="1"/>
        <v>1.1278908725265158E-2</v>
      </c>
      <c r="X55" s="1">
        <f>IF(Q55=0,(nazione[[#This Row],[nuovi_attualmente_positivi]]/nazione[[#This Row],[test_per_giorno]])*100,(nazione[[#This Row],[nuovi_attualmente_positivi]]/nazione[[#This Row],[test_per_giorno]])*100)</f>
        <v>6.2066591255594359</v>
      </c>
      <c r="Y55">
        <f>IF(nazione[[#This Row],[casi_testati]]=0,nazione[[#This Row],[tamponi]]-P54,IF(Q54=0,nazione[[#This Row],[casi_testati]]-Y54,nazione[[#This Row],[casi_testati]]-Q54))</f>
        <v>60999</v>
      </c>
      <c r="Z55" s="4">
        <f>IF(Q55=0,(nazione[[#This Row],[test_per_giorno]]/AG$3)*100,(nazione[[#This Row],[test_per_giorno]]/AG$3)*100)</f>
        <v>0.10125216286879901</v>
      </c>
      <c r="AA55" s="4">
        <f>(nazione[[#This Row],[ricoverati_con_sintomi]]/nazione[[#This Row],[totale_attualmente_positivi]])*100</f>
        <v>25.226298460701457</v>
      </c>
      <c r="AB55" s="4">
        <f>(nazione[[#This Row],[terapia_intensiva]]/nazione[[#This Row],[totale_attualmente_positivi]])*100</f>
        <v>2.754040541427861</v>
      </c>
      <c r="AC55" s="4">
        <f>((nazione[[#This Row],[totale_attualmente_positivi]]-(nazione[[#This Row],[totale_ospedalizzati]]))/nazione[[#This Row],[totale_attualmente_positivi]])*100</f>
        <v>72.019660997870687</v>
      </c>
      <c r="AD55" s="8">
        <f>(nazione[[#This Row],[Deceaded by day]]/nazione[[#This Row],[totale_attualmente_positivi]])*100</f>
        <v>0.49246297147466861</v>
      </c>
      <c r="AE55" s="8">
        <f>(nazione[[#This Row],[Deceaded by day]]/morti_per_regione!D$2) *100</f>
        <v>8.2920966052946216E-2</v>
      </c>
    </row>
    <row r="56" spans="1:33" x14ac:dyDescent="0.2">
      <c r="A56">
        <v>54</v>
      </c>
      <c r="B56" s="6">
        <v>43938.708333333336</v>
      </c>
      <c r="C56" s="1" t="s">
        <v>42</v>
      </c>
      <c r="D56">
        <v>25786</v>
      </c>
      <c r="E56">
        <v>2812</v>
      </c>
      <c r="F56">
        <v>28598</v>
      </c>
      <c r="G56">
        <v>78364</v>
      </c>
      <c r="H56">
        <v>106962</v>
      </c>
      <c r="I56">
        <v>355</v>
      </c>
      <c r="J56">
        <v>3493</v>
      </c>
      <c r="K56">
        <v>42727</v>
      </c>
      <c r="L56">
        <v>22745</v>
      </c>
      <c r="O56">
        <v>172434</v>
      </c>
      <c r="P56">
        <v>1244108</v>
      </c>
      <c r="R56" s="1" t="s">
        <v>82</v>
      </c>
      <c r="S56" s="1">
        <f t="shared" si="2"/>
        <v>-1231</v>
      </c>
      <c r="T56" s="1">
        <f t="shared" si="3"/>
        <v>-124</v>
      </c>
      <c r="U56">
        <f t="shared" si="8"/>
        <v>575</v>
      </c>
      <c r="V56">
        <f t="shared" si="9"/>
        <v>2563</v>
      </c>
      <c r="W56" s="8">
        <f t="shared" si="1"/>
        <v>3.3299877118764254E-3</v>
      </c>
      <c r="X56" s="1">
        <f>IF(Q56=0,(nazione[[#This Row],[nuovi_attualmente_positivi]]/nazione[[#This Row],[test_per_giorno]])*100,(nazione[[#This Row],[nuovi_attualmente_positivi]]/nazione[[#This Row],[test_per_giorno]])*100)</f>
        <v>5.316185982801918</v>
      </c>
      <c r="Y56">
        <f>IF(nazione[[#This Row],[casi_testati]]=0,nazione[[#This Row],[tamponi]]-P55,IF(Q55=0,nazione[[#This Row],[casi_testati]]-Y55,nazione[[#This Row],[casi_testati]]-Q55))</f>
        <v>65705</v>
      </c>
      <c r="Z56" s="4">
        <f>IF(Q56=0,(nazione[[#This Row],[test_per_giorno]]/AG$3)*100,(nazione[[#This Row],[test_per_giorno]]/AG$3)*100)</f>
        <v>0.10906364631050407</v>
      </c>
      <c r="AA56" s="4">
        <f>(nazione[[#This Row],[ricoverati_con_sintomi]]/nazione[[#This Row],[totale_attualmente_positivi]])*100</f>
        <v>24.107627007722368</v>
      </c>
      <c r="AB56" s="4">
        <f>(nazione[[#This Row],[terapia_intensiva]]/nazione[[#This Row],[totale_attualmente_positivi]])*100</f>
        <v>2.6289710364428487</v>
      </c>
      <c r="AC56" s="4">
        <f>((nazione[[#This Row],[totale_attualmente_positivi]]-(nazione[[#This Row],[totale_ospedalizzati]]))/nazione[[#This Row],[totale_attualmente_positivi]])*100</f>
        <v>73.26340195583478</v>
      </c>
      <c r="AD56" s="8">
        <f>(nazione[[#This Row],[Deceaded by day]]/nazione[[#This Row],[totale_attualmente_positivi]])*100</f>
        <v>0.53757409173351278</v>
      </c>
      <c r="AE56" s="8">
        <f>(nazione[[#This Row],[Deceaded by day]]/morti_per_regione!D$2) *100</f>
        <v>9.0818200915131583E-2</v>
      </c>
    </row>
    <row r="57" spans="1:33" x14ac:dyDescent="0.2">
      <c r="A57">
        <v>55</v>
      </c>
      <c r="B57" s="6">
        <v>43939.708333333336</v>
      </c>
      <c r="C57" s="1" t="s">
        <v>42</v>
      </c>
      <c r="D57">
        <v>25007</v>
      </c>
      <c r="E57">
        <v>2733</v>
      </c>
      <c r="F57">
        <v>27740</v>
      </c>
      <c r="G57">
        <v>80031</v>
      </c>
      <c r="H57">
        <v>107771</v>
      </c>
      <c r="I57">
        <v>809</v>
      </c>
      <c r="J57">
        <v>3491</v>
      </c>
      <c r="K57">
        <v>44927</v>
      </c>
      <c r="L57">
        <v>23227</v>
      </c>
      <c r="O57">
        <v>175925</v>
      </c>
      <c r="P57">
        <v>1305833</v>
      </c>
      <c r="R57" s="1" t="s">
        <v>82</v>
      </c>
      <c r="S57" s="1">
        <f t="shared" si="2"/>
        <v>-858</v>
      </c>
      <c r="T57" s="1">
        <f t="shared" si="3"/>
        <v>-79</v>
      </c>
      <c r="U57">
        <f t="shared" si="8"/>
        <v>482</v>
      </c>
      <c r="V57">
        <f t="shared" si="9"/>
        <v>2200</v>
      </c>
      <c r="W57" s="8">
        <f t="shared" si="1"/>
        <v>7.5634337428245324E-3</v>
      </c>
      <c r="X57" s="1">
        <f>IF(Q57=0,(nazione[[#This Row],[nuovi_attualmente_positivi]]/nazione[[#This Row],[test_per_giorno]])*100,(nazione[[#This Row],[nuovi_attualmente_positivi]]/nazione[[#This Row],[test_per_giorno]])*100)</f>
        <v>5.6557310652085864</v>
      </c>
      <c r="Y57">
        <f>IF(nazione[[#This Row],[casi_testati]]=0,nazione[[#This Row],[tamponi]]-P56,IF(Q56=0,nazione[[#This Row],[casi_testati]]-Y56,nazione[[#This Row],[casi_testati]]-Q56))</f>
        <v>61725</v>
      </c>
      <c r="Z57" s="4">
        <f>IF(Q57=0,(nazione[[#This Row],[test_per_giorno]]/AG$3)*100,(nazione[[#This Row],[test_per_giorno]]/AG$3)*100)</f>
        <v>0.10245724934960602</v>
      </c>
      <c r="AA57" s="4">
        <f>(nazione[[#This Row],[ricoverati_con_sintomi]]/nazione[[#This Row],[totale_attualmente_positivi]])*100</f>
        <v>23.203830343970086</v>
      </c>
      <c r="AB57" s="4">
        <f>(nazione[[#This Row],[terapia_intensiva]]/nazione[[#This Row],[totale_attualmente_positivi]])*100</f>
        <v>2.5359326720546345</v>
      </c>
      <c r="AC57" s="4">
        <f>((nazione[[#This Row],[totale_attualmente_positivi]]-(nazione[[#This Row],[totale_ospedalizzati]]))/nazione[[#This Row],[totale_attualmente_positivi]])*100</f>
        <v>74.260236983975275</v>
      </c>
      <c r="AD57" s="8">
        <f>(nazione[[#This Row],[Deceaded by day]]/nazione[[#This Row],[totale_attualmente_positivi]])*100</f>
        <v>0.44724462053799263</v>
      </c>
      <c r="AE57" s="8">
        <f>(nazione[[#This Row],[Deceaded by day]]/morti_per_regione!D$2) *100</f>
        <v>7.6129344071466806E-2</v>
      </c>
    </row>
    <row r="58" spans="1:33" x14ac:dyDescent="0.2">
      <c r="A58">
        <v>56</v>
      </c>
      <c r="B58" s="6">
        <v>43940.708333333336</v>
      </c>
      <c r="C58" s="1" t="s">
        <v>42</v>
      </c>
      <c r="D58">
        <v>25033</v>
      </c>
      <c r="E58">
        <v>2635</v>
      </c>
      <c r="F58">
        <v>27668</v>
      </c>
      <c r="G58">
        <v>80589</v>
      </c>
      <c r="H58">
        <v>108257</v>
      </c>
      <c r="I58">
        <v>486</v>
      </c>
      <c r="J58">
        <v>3047</v>
      </c>
      <c r="K58">
        <v>47055</v>
      </c>
      <c r="L58">
        <v>23660</v>
      </c>
      <c r="O58">
        <v>178972</v>
      </c>
      <c r="P58">
        <v>1356541</v>
      </c>
      <c r="Q58">
        <v>935310</v>
      </c>
      <c r="R58" s="1" t="s">
        <v>82</v>
      </c>
      <c r="S58" s="1">
        <f t="shared" si="2"/>
        <v>-72</v>
      </c>
      <c r="T58" s="1">
        <f t="shared" si="3"/>
        <v>-98</v>
      </c>
      <c r="U58">
        <f t="shared" si="8"/>
        <v>433</v>
      </c>
      <c r="V58">
        <f t="shared" si="9"/>
        <v>2128</v>
      </c>
      <c r="W58" s="8">
        <f t="shared" si="1"/>
        <v>4.5095619415240762E-3</v>
      </c>
      <c r="X58" s="1">
        <f>IF(Q58=0,(nazione[[#This Row],[nuovi_attualmente_positivi]]/nazione[[#This Row],[test_per_giorno]])*100,(nazione[[#This Row],[nuovi_attualmente_positivi]]/nazione[[#This Row],[test_per_giorno]])*100)</f>
        <v>0.34879261892088348</v>
      </c>
      <c r="Y58">
        <f>IF(nazione[[#This Row],[casi_testati]]=0,nazione[[#This Row],[tamponi]]-P57,IF(Q57=0,nazione[[#This Row],[casi_testati]]-Y57,nazione[[#This Row],[casi_testati]]-Q57))</f>
        <v>873585</v>
      </c>
      <c r="Z58" s="4">
        <f>IF(Q58=0,(nazione[[#This Row],[test_per_giorno]]/AG$3)*100,(nazione[[#This Row],[test_per_giorno]]/AG$3)*100)</f>
        <v>1.4500626354487742</v>
      </c>
      <c r="AA58" s="4">
        <f>(nazione[[#This Row],[ricoverati_con_sintomi]]/nazione[[#This Row],[totale_attualmente_positivi]])*100</f>
        <v>23.123677914592129</v>
      </c>
      <c r="AB58" s="4">
        <f>(nazione[[#This Row],[terapia_intensiva]]/nazione[[#This Row],[totale_attualmente_positivi]])*100</f>
        <v>2.4340227421783349</v>
      </c>
      <c r="AC58" s="4">
        <f>((nazione[[#This Row],[totale_attualmente_positivi]]-(nazione[[#This Row],[totale_ospedalizzati]]))/nazione[[#This Row],[totale_attualmente_positivi]])*100</f>
        <v>74.442299343229536</v>
      </c>
      <c r="AD58" s="8">
        <f>(nazione[[#This Row],[Deceaded by day]]/nazione[[#This Row],[totale_attualmente_positivi]])*100</f>
        <v>0.39997413562171497</v>
      </c>
      <c r="AE58" s="8">
        <f>(nazione[[#This Row],[Deceaded by day]]/morti_per_regione!D$2) *100</f>
        <v>6.8390053906525167E-2</v>
      </c>
    </row>
    <row r="59" spans="1:33" x14ac:dyDescent="0.2">
      <c r="A59">
        <v>57</v>
      </c>
      <c r="B59" s="6">
        <v>43941.708333333336</v>
      </c>
      <c r="C59" s="1" t="s">
        <v>42</v>
      </c>
      <c r="D59">
        <v>24906</v>
      </c>
      <c r="E59">
        <v>2573</v>
      </c>
      <c r="F59">
        <v>27479</v>
      </c>
      <c r="G59">
        <v>80758</v>
      </c>
      <c r="H59">
        <v>108237</v>
      </c>
      <c r="I59">
        <v>-20</v>
      </c>
      <c r="J59">
        <v>2256</v>
      </c>
      <c r="K59">
        <v>48877</v>
      </c>
      <c r="L59">
        <v>24114</v>
      </c>
      <c r="O59">
        <v>181228</v>
      </c>
      <c r="P59">
        <v>1398024</v>
      </c>
      <c r="Q59">
        <v>943151</v>
      </c>
      <c r="R59" s="1" t="s">
        <v>97</v>
      </c>
      <c r="S59" s="1">
        <f t="shared" si="2"/>
        <v>-189</v>
      </c>
      <c r="T59" s="1">
        <f t="shared" si="3"/>
        <v>-62</v>
      </c>
      <c r="U59">
        <f t="shared" si="8"/>
        <v>454</v>
      </c>
      <c r="V59">
        <f t="shared" si="9"/>
        <v>1822</v>
      </c>
      <c r="W59" s="8">
        <f t="shared" si="1"/>
        <v>-1.8474555917857849E-4</v>
      </c>
      <c r="X59" s="1">
        <f>IF(Q59=0,(nazione[[#This Row],[nuovi_attualmente_positivi]]/nazione[[#This Row],[test_per_giorno]])*100,(nazione[[#This Row],[nuovi_attualmente_positivi]]/nazione[[#This Row],[test_per_giorno]])*100)</f>
        <v>28.771840326488967</v>
      </c>
      <c r="Y59">
        <f>IF(nazione[[#This Row],[casi_testati]]=0,nazione[[#This Row],[tamponi]]-P58,IF(Q58=0,nazione[[#This Row],[casi_testati]]-Y58,nazione[[#This Row],[casi_testati]]-Q58))</f>
        <v>7841</v>
      </c>
      <c r="Z59" s="4">
        <f>IF(Q59=0,(nazione[[#This Row],[test_per_giorno]]/AG$3)*100,(nazione[[#This Row],[test_per_giorno]]/AG$3)*100)</f>
        <v>1.3015265972462711E-2</v>
      </c>
      <c r="AA59" s="4">
        <f>(nazione[[#This Row],[ricoverati_con_sintomi]]/nazione[[#This Row],[totale_attualmente_positivi]])*100</f>
        <v>23.01061559355858</v>
      </c>
      <c r="AB59" s="4">
        <f>(nazione[[#This Row],[terapia_intensiva]]/nazione[[#This Row],[totale_attualmente_positivi]])*100</f>
        <v>2.377190794275525</v>
      </c>
      <c r="AC59" s="4">
        <f>((nazione[[#This Row],[totale_attualmente_positivi]]-(nazione[[#This Row],[totale_ospedalizzati]]))/nazione[[#This Row],[totale_attualmente_positivi]])*100</f>
        <v>74.612193612165896</v>
      </c>
      <c r="AD59" s="8">
        <f>(nazione[[#This Row],[Deceaded by day]]/nazione[[#This Row],[totale_attualmente_positivi]])*100</f>
        <v>0.41944991084379651</v>
      </c>
      <c r="AE59" s="8">
        <f>(nazione[[#This Row],[Deceaded by day]]/morti_per_regione!D$2) *100</f>
        <v>7.1706892548643014E-2</v>
      </c>
    </row>
    <row r="60" spans="1:33" x14ac:dyDescent="0.2">
      <c r="A60">
        <v>58</v>
      </c>
      <c r="B60" s="6">
        <v>43942.708333333336</v>
      </c>
      <c r="C60" s="1" t="s">
        <v>42</v>
      </c>
      <c r="D60">
        <v>24134</v>
      </c>
      <c r="E60">
        <v>2471</v>
      </c>
      <c r="F60">
        <v>26605</v>
      </c>
      <c r="G60">
        <v>81104</v>
      </c>
      <c r="H60">
        <v>107709</v>
      </c>
      <c r="I60">
        <v>-528</v>
      </c>
      <c r="J60">
        <v>2729</v>
      </c>
      <c r="K60">
        <v>51600</v>
      </c>
      <c r="L60">
        <v>24648</v>
      </c>
      <c r="O60">
        <v>183957</v>
      </c>
      <c r="P60">
        <v>1450150</v>
      </c>
      <c r="Q60">
        <v>971246</v>
      </c>
      <c r="R60" s="1" t="s">
        <v>98</v>
      </c>
      <c r="S60" s="1">
        <f t="shared" si="2"/>
        <v>-874</v>
      </c>
      <c r="T60" s="1">
        <f t="shared" si="3"/>
        <v>-102</v>
      </c>
      <c r="U60">
        <f t="shared" si="8"/>
        <v>534</v>
      </c>
      <c r="V60">
        <f t="shared" si="9"/>
        <v>2723</v>
      </c>
      <c r="W60" s="8">
        <f t="shared" si="1"/>
        <v>-4.8781839851437248E-3</v>
      </c>
      <c r="X60" s="1">
        <f>IF(Q60=0,(nazione[[#This Row],[nuovi_attualmente_positivi]]/nazione[[#This Row],[test_per_giorno]])*100,(nazione[[#This Row],[nuovi_attualmente_positivi]]/nazione[[#This Row],[test_per_giorno]])*100)</f>
        <v>9.7134721480690516</v>
      </c>
      <c r="Y60">
        <f>IF(nazione[[#This Row],[casi_testati]]=0,nazione[[#This Row],[tamponi]]-P59,IF(Q59=0,nazione[[#This Row],[casi_testati]]-Y59,nazione[[#This Row],[casi_testati]]-Q59))</f>
        <v>28095</v>
      </c>
      <c r="Z60" s="4">
        <f>IF(Q60=0,(nazione[[#This Row],[test_per_giorno]]/AG$3)*100,(nazione[[#This Row],[test_per_giorno]]/AG$3)*100)</f>
        <v>4.6634854928751419E-2</v>
      </c>
      <c r="AA60" s="4">
        <f>(nazione[[#This Row],[ricoverati_con_sintomi]]/nazione[[#This Row],[totale_attualmente_positivi]])*100</f>
        <v>22.406669823320243</v>
      </c>
      <c r="AB60" s="4">
        <f>(nazione[[#This Row],[terapia_intensiva]]/nazione[[#This Row],[totale_attualmente_positivi]])*100</f>
        <v>2.2941444076168196</v>
      </c>
      <c r="AC60" s="4">
        <f>((nazione[[#This Row],[totale_attualmente_positivi]]-(nazione[[#This Row],[totale_ospedalizzati]]))/nazione[[#This Row],[totale_attualmente_positivi]])*100</f>
        <v>75.299185769062944</v>
      </c>
      <c r="AD60" s="8">
        <f>(nazione[[#This Row],[Deceaded by day]]/nazione[[#This Row],[totale_attualmente_positivi]])*100</f>
        <v>0.49578029691112163</v>
      </c>
      <c r="AE60" s="8">
        <f>(nazione[[#This Row],[Deceaded by day]]/morti_per_regione!D$2) *100</f>
        <v>8.4342468328139589E-2</v>
      </c>
    </row>
    <row r="61" spans="1:33" x14ac:dyDescent="0.2">
      <c r="A61">
        <v>59</v>
      </c>
      <c r="B61" s="6">
        <v>43943.708333333336</v>
      </c>
      <c r="C61" s="1" t="s">
        <v>42</v>
      </c>
      <c r="D61">
        <v>23805</v>
      </c>
      <c r="E61">
        <v>2384</v>
      </c>
      <c r="F61">
        <v>26189</v>
      </c>
      <c r="G61">
        <v>81510</v>
      </c>
      <c r="H61">
        <v>107699</v>
      </c>
      <c r="I61">
        <v>-10</v>
      </c>
      <c r="J61">
        <v>3370</v>
      </c>
      <c r="K61">
        <v>54543</v>
      </c>
      <c r="L61">
        <v>25085</v>
      </c>
      <c r="O61">
        <v>187327</v>
      </c>
      <c r="P61">
        <v>1513251</v>
      </c>
      <c r="Q61">
        <v>1015494</v>
      </c>
      <c r="R61" s="1" t="s">
        <v>82</v>
      </c>
      <c r="S61" s="1">
        <f t="shared" si="2"/>
        <v>-416</v>
      </c>
      <c r="T61" s="1">
        <f t="shared" si="3"/>
        <v>-87</v>
      </c>
      <c r="U61">
        <f t="shared" si="8"/>
        <v>437</v>
      </c>
      <c r="V61">
        <f t="shared" si="9"/>
        <v>2943</v>
      </c>
      <c r="W61" s="8">
        <f t="shared" si="1"/>
        <v>-9.2842752230537506E-5</v>
      </c>
      <c r="X61" s="1">
        <f>IF(Q61=0,(nazione[[#This Row],[nuovi_attualmente_positivi]]/nazione[[#This Row],[test_per_giorno]])*100,(nazione[[#This Row],[nuovi_attualmente_positivi]]/nazione[[#This Row],[test_per_giorno]])*100)</f>
        <v>7.616163442415476</v>
      </c>
      <c r="Y61">
        <f>IF(nazione[[#This Row],[casi_testati]]=0,nazione[[#This Row],[tamponi]]-P60,IF(Q60=0,nazione[[#This Row],[casi_testati]]-Y60,nazione[[#This Row],[casi_testati]]-Q60))</f>
        <v>44248</v>
      </c>
      <c r="Z61" s="4">
        <f>IF(Q61=0,(nazione[[#This Row],[test_per_giorno]]/AG$3)*100,(nazione[[#This Row],[test_per_giorno]]/AG$3)*100)</f>
        <v>7.3447199177340911E-2</v>
      </c>
      <c r="AA61" s="4">
        <f>(nazione[[#This Row],[ricoverati_con_sintomi]]/nazione[[#This Row],[totale_attualmente_positivi]])*100</f>
        <v>22.103269296836555</v>
      </c>
      <c r="AB61" s="4">
        <f>(nazione[[#This Row],[terapia_intensiva]]/nazione[[#This Row],[totale_attualmente_positivi]])*100</f>
        <v>2.2135767277319198</v>
      </c>
      <c r="AC61" s="4">
        <f>((nazione[[#This Row],[totale_attualmente_positivi]]-(nazione[[#This Row],[totale_ospedalizzati]]))/nazione[[#This Row],[totale_attualmente_positivi]])*100</f>
        <v>75.683153975431523</v>
      </c>
      <c r="AD61" s="8">
        <f>(nazione[[#This Row],[Deceaded by day]]/nazione[[#This Row],[totale_attualmente_positivi]])*100</f>
        <v>0.40576049916898016</v>
      </c>
      <c r="AE61" s="8">
        <f>(nazione[[#This Row],[Deceaded by day]]/morti_per_regione!D$2) *100</f>
        <v>6.9021832695499996E-2</v>
      </c>
    </row>
    <row r="62" spans="1:33" x14ac:dyDescent="0.2">
      <c r="A62">
        <v>60</v>
      </c>
      <c r="B62" s="6">
        <v>43944.708333333336</v>
      </c>
      <c r="C62" s="1" t="s">
        <v>42</v>
      </c>
      <c r="D62">
        <v>22871</v>
      </c>
      <c r="E62">
        <v>2267</v>
      </c>
      <c r="F62">
        <v>25138</v>
      </c>
      <c r="G62">
        <v>81710</v>
      </c>
      <c r="H62">
        <v>106848</v>
      </c>
      <c r="I62">
        <v>-851</v>
      </c>
      <c r="J62">
        <v>2646</v>
      </c>
      <c r="K62">
        <v>57576</v>
      </c>
      <c r="L62">
        <v>25549</v>
      </c>
      <c r="O62">
        <v>189973</v>
      </c>
      <c r="P62">
        <v>1579909</v>
      </c>
      <c r="Q62">
        <v>1052577</v>
      </c>
      <c r="R62" s="1" t="s">
        <v>99</v>
      </c>
      <c r="S62" s="1">
        <f t="shared" si="2"/>
        <v>-1051</v>
      </c>
      <c r="T62" s="1">
        <f t="shared" si="3"/>
        <v>-117</v>
      </c>
      <c r="U62">
        <f t="shared" si="8"/>
        <v>464</v>
      </c>
      <c r="V62">
        <f t="shared" si="9"/>
        <v>3033</v>
      </c>
      <c r="W62" s="8">
        <f t="shared" si="1"/>
        <v>-7.9016518259222845E-3</v>
      </c>
      <c r="X62" s="1">
        <f>IF(Q62=0,(nazione[[#This Row],[nuovi_attualmente_positivi]]/nazione[[#This Row],[test_per_giorno]])*100,(nazione[[#This Row],[nuovi_attualmente_positivi]]/nazione[[#This Row],[test_per_giorno]])*100)</f>
        <v>7.1353450368093192</v>
      </c>
      <c r="Y62">
        <f>IF(nazione[[#This Row],[casi_testati]]=0,nazione[[#This Row],[tamponi]]-P61,IF(Q61=0,nazione[[#This Row],[casi_testati]]-Y61,nazione[[#This Row],[casi_testati]]-Q61))</f>
        <v>37083</v>
      </c>
      <c r="Z62" s="4">
        <f>IF(Q62=0,(nazione[[#This Row],[test_per_giorno]]/AG$3)*100,(nazione[[#This Row],[test_per_giorno]]/AG$3)*100)</f>
        <v>6.1554024748990535E-2</v>
      </c>
      <c r="AA62" s="4">
        <f>(nazione[[#This Row],[ricoverati_con_sintomi]]/nazione[[#This Row],[totale_attualmente_positivi]])*100</f>
        <v>21.405173704702008</v>
      </c>
      <c r="AB62" s="4">
        <f>(nazione[[#This Row],[terapia_intensiva]]/nazione[[#This Row],[totale_attualmente_positivi]])*100</f>
        <v>2.1217056004791854</v>
      </c>
      <c r="AC62" s="4">
        <f>((nazione[[#This Row],[totale_attualmente_positivi]]-(nazione[[#This Row],[totale_ospedalizzati]]))/nazione[[#This Row],[totale_attualmente_positivi]])*100</f>
        <v>76.473120694818803</v>
      </c>
      <c r="AD62" s="8">
        <f>(nazione[[#This Row],[Deceaded by day]]/nazione[[#This Row],[totale_attualmente_positivi]])*100</f>
        <v>0.43426175501647202</v>
      </c>
      <c r="AE62" s="8">
        <f>(nazione[[#This Row],[Deceaded by day]]/morti_per_regione!D$2) *100</f>
        <v>7.3286339521080088E-2</v>
      </c>
    </row>
    <row r="63" spans="1:33" x14ac:dyDescent="0.2">
      <c r="A63">
        <v>61</v>
      </c>
      <c r="B63" s="6">
        <v>43945.708333333336</v>
      </c>
      <c r="C63" s="1" t="s">
        <v>42</v>
      </c>
      <c r="D63">
        <v>22068</v>
      </c>
      <c r="E63">
        <v>2173</v>
      </c>
      <c r="F63">
        <v>24241</v>
      </c>
      <c r="G63">
        <v>82286</v>
      </c>
      <c r="H63">
        <v>106527</v>
      </c>
      <c r="I63">
        <v>-321</v>
      </c>
      <c r="J63">
        <v>3021</v>
      </c>
      <c r="K63">
        <v>60498</v>
      </c>
      <c r="L63">
        <v>25969</v>
      </c>
      <c r="O63">
        <v>192994</v>
      </c>
      <c r="P63">
        <v>1642356</v>
      </c>
      <c r="Q63">
        <v>1147850</v>
      </c>
      <c r="R63" s="1" t="s">
        <v>100</v>
      </c>
      <c r="S63" s="1">
        <f t="shared" si="2"/>
        <v>-897</v>
      </c>
      <c r="T63" s="1">
        <f t="shared" si="3"/>
        <v>-94</v>
      </c>
      <c r="U63">
        <f t="shared" si="8"/>
        <v>420</v>
      </c>
      <c r="V63">
        <f t="shared" si="9"/>
        <v>2922</v>
      </c>
      <c r="W63" s="8">
        <f t="shared" si="1"/>
        <v>-3.0042677448337551E-3</v>
      </c>
      <c r="X63" s="1">
        <f>IF(Q63=0,(nazione[[#This Row],[nuovi_attualmente_positivi]]/nazione[[#This Row],[test_per_giorno]])*100,(nazione[[#This Row],[nuovi_attualmente_positivi]]/nazione[[#This Row],[test_per_giorno]])*100)</f>
        <v>3.1708878695957932</v>
      </c>
      <c r="Y63">
        <f>IF(nazione[[#This Row],[casi_testati]]=0,nazione[[#This Row],[tamponi]]-P62,IF(Q62=0,nazione[[#This Row],[casi_testati]]-Y62,nazione[[#This Row],[casi_testati]]-Q62))</f>
        <v>95273</v>
      </c>
      <c r="Z63" s="4">
        <f>IF(Q63=0,(nazione[[#This Row],[test_per_giorno]]/AG$3)*100,(nazione[[#This Row],[test_per_giorno]]/AG$3)*100)</f>
        <v>0.15814353207428133</v>
      </c>
      <c r="AA63" s="4">
        <f>(nazione[[#This Row],[ricoverati_con_sintomi]]/nazione[[#This Row],[totale_attualmente_positivi]])*100</f>
        <v>20.715874848629927</v>
      </c>
      <c r="AB63" s="4">
        <f>(nazione[[#This Row],[terapia_intensiva]]/nazione[[#This Row],[totale_attualmente_positivi]])*100</f>
        <v>2.0398584396444095</v>
      </c>
      <c r="AC63" s="4">
        <f>((nazione[[#This Row],[totale_attualmente_positivi]]-(nazione[[#This Row],[totale_ospedalizzati]]))/nazione[[#This Row],[totale_attualmente_positivi]])*100</f>
        <v>77.244266711725658</v>
      </c>
      <c r="AD63" s="8">
        <f>(nazione[[#This Row],[Deceaded by day]]/nazione[[#This Row],[totale_attualmente_positivi]])*100</f>
        <v>0.39426624236109159</v>
      </c>
      <c r="AE63" s="8">
        <f>(nazione[[#This Row],[Deceaded by day]]/morti_per_regione!D$2) *100</f>
        <v>6.6336772842356978E-2</v>
      </c>
    </row>
    <row r="64" spans="1:33" x14ac:dyDescent="0.2">
      <c r="A64">
        <v>62</v>
      </c>
      <c r="B64" s="6">
        <v>43946.708333333336</v>
      </c>
      <c r="C64" s="1" t="s">
        <v>42</v>
      </c>
      <c r="D64">
        <v>21533</v>
      </c>
      <c r="E64">
        <v>2102</v>
      </c>
      <c r="F64">
        <v>23635</v>
      </c>
      <c r="G64">
        <v>82212</v>
      </c>
      <c r="H64">
        <v>105847</v>
      </c>
      <c r="I64">
        <v>-680</v>
      </c>
      <c r="J64">
        <v>2357</v>
      </c>
      <c r="K64">
        <v>63120</v>
      </c>
      <c r="L64">
        <v>26384</v>
      </c>
      <c r="O64">
        <v>195351</v>
      </c>
      <c r="P64">
        <v>1707743</v>
      </c>
      <c r="Q64">
        <v>1186526</v>
      </c>
      <c r="R64" s="1" t="s">
        <v>82</v>
      </c>
      <c r="S64" s="1">
        <f t="shared" si="2"/>
        <v>-606</v>
      </c>
      <c r="T64" s="1">
        <f t="shared" si="3"/>
        <v>-71</v>
      </c>
      <c r="U64">
        <f t="shared" si="8"/>
        <v>415</v>
      </c>
      <c r="V64">
        <f t="shared" si="9"/>
        <v>2622</v>
      </c>
      <c r="W64" s="8">
        <f t="shared" si="1"/>
        <v>-6.3833582096557429E-3</v>
      </c>
      <c r="X64" s="1">
        <f>IF(Q64=0,(nazione[[#This Row],[nuovi_attualmente_positivi]]/nazione[[#This Row],[test_per_giorno]])*100,(nazione[[#This Row],[nuovi_attualmente_positivi]]/nazione[[#This Row],[test_per_giorno]])*100)</f>
        <v>6.0942186368807532</v>
      </c>
      <c r="Y64">
        <f>IF(nazione[[#This Row],[casi_testati]]=0,nazione[[#This Row],[tamponi]]-P63,IF(Q63=0,nazione[[#This Row],[casi_testati]]-Y63,nazione[[#This Row],[casi_testati]]-Q63))</f>
        <v>38676</v>
      </c>
      <c r="Z64" s="4">
        <f>IF(Q64=0,(nazione[[#This Row],[test_per_giorno]]/AG$3)*100,(nazione[[#This Row],[test_per_giorno]]/AG$3)*100)</f>
        <v>6.4198243432083635E-2</v>
      </c>
      <c r="AA64" s="4">
        <f>(nazione[[#This Row],[ricoverati_con_sintomi]]/nazione[[#This Row],[totale_attualmente_positivi]])*100</f>
        <v>20.34351469574008</v>
      </c>
      <c r="AB64" s="4">
        <f>(nazione[[#This Row],[terapia_intensiva]]/nazione[[#This Row],[totale_attualmente_positivi]])*100</f>
        <v>1.9858852872542445</v>
      </c>
      <c r="AC64" s="4">
        <f>((nazione[[#This Row],[totale_attualmente_positivi]]-(nazione[[#This Row],[totale_ospedalizzati]]))/nazione[[#This Row],[totale_attualmente_positivi]])*100</f>
        <v>77.670600017005683</v>
      </c>
      <c r="AD64" s="8">
        <f>(nazione[[#This Row],[Deceaded by day]]/nazione[[#This Row],[totale_attualmente_positivi]])*100</f>
        <v>0.39207535404876848</v>
      </c>
      <c r="AE64" s="8">
        <f>(nazione[[#This Row],[Deceaded by day]]/morti_per_regione!D$2) *100</f>
        <v>6.5547049356138434E-2</v>
      </c>
    </row>
    <row r="65" spans="1:35" x14ac:dyDescent="0.2">
      <c r="A65">
        <v>63</v>
      </c>
      <c r="B65" s="6">
        <v>43947.708333333336</v>
      </c>
      <c r="C65" s="1" t="s">
        <v>42</v>
      </c>
      <c r="D65">
        <v>21372</v>
      </c>
      <c r="E65">
        <v>2009</v>
      </c>
      <c r="F65">
        <v>23381</v>
      </c>
      <c r="G65">
        <v>82722</v>
      </c>
      <c r="H65">
        <v>106103</v>
      </c>
      <c r="I65">
        <v>256</v>
      </c>
      <c r="J65">
        <v>2324</v>
      </c>
      <c r="K65">
        <v>64928</v>
      </c>
      <c r="L65">
        <v>26644</v>
      </c>
      <c r="O65">
        <v>197675</v>
      </c>
      <c r="P65">
        <v>1757659</v>
      </c>
      <c r="Q65">
        <v>1210639</v>
      </c>
      <c r="R65" s="1" t="s">
        <v>101</v>
      </c>
      <c r="S65" s="1">
        <f t="shared" si="2"/>
        <v>-254</v>
      </c>
      <c r="T65" s="1">
        <f t="shared" si="3"/>
        <v>-93</v>
      </c>
      <c r="U65">
        <f t="shared" si="8"/>
        <v>260</v>
      </c>
      <c r="V65">
        <f t="shared" si="9"/>
        <v>1808</v>
      </c>
      <c r="W65" s="8">
        <f t="shared" si="1"/>
        <v>2.4185853165417104E-3</v>
      </c>
      <c r="X65" s="1">
        <f>IF(Q65=0,(nazione[[#This Row],[nuovi_attualmente_positivi]]/nazione[[#This Row],[test_per_giorno]])*100,(nazione[[#This Row],[nuovi_attualmente_positivi]]/nazione[[#This Row],[test_per_giorno]])*100)</f>
        <v>9.6379546302824206</v>
      </c>
      <c r="Y65">
        <f>IF(nazione[[#This Row],[casi_testati]]=0,nazione[[#This Row],[tamponi]]-P64,IF(Q64=0,nazione[[#This Row],[casi_testati]]-Y64,nazione[[#This Row],[casi_testati]]-Q64))</f>
        <v>24113</v>
      </c>
      <c r="Z65" s="4">
        <f>IF(Q65=0,(nazione[[#This Row],[test_per_giorno]]/AG$3)*100,(nazione[[#This Row],[test_per_giorno]]/AG$3)*100)</f>
        <v>4.0025138170385582E-2</v>
      </c>
      <c r="AA65" s="4">
        <f>(nazione[[#This Row],[ricoverati_con_sintomi]]/nazione[[#This Row],[totale_attualmente_positivi]])*100</f>
        <v>20.142691535583349</v>
      </c>
      <c r="AB65" s="4">
        <f>(nazione[[#This Row],[terapia_intensiva]]/nazione[[#This Row],[totale_attualmente_positivi]])*100</f>
        <v>1.8934431637182738</v>
      </c>
      <c r="AC65" s="4">
        <f>((nazione[[#This Row],[totale_attualmente_positivi]]-(nazione[[#This Row],[totale_ospedalizzati]]))/nazione[[#This Row],[totale_attualmente_positivi]])*100</f>
        <v>77.963865300698373</v>
      </c>
      <c r="AD65" s="8">
        <f>(nazione[[#This Row],[Deceaded by day]]/nazione[[#This Row],[totale_attualmente_positivi]])*100</f>
        <v>0.24504490919201155</v>
      </c>
      <c r="AE65" s="8">
        <f>(nazione[[#This Row],[Deceaded by day]]/morti_per_regione!D$2) *100</f>
        <v>4.1065621283363843E-2</v>
      </c>
    </row>
    <row r="66" spans="1:35" x14ac:dyDescent="0.2">
      <c r="A66">
        <v>64</v>
      </c>
      <c r="B66" s="6">
        <v>43948.708333333336</v>
      </c>
      <c r="C66" s="1" t="s">
        <v>42</v>
      </c>
      <c r="D66">
        <v>20353</v>
      </c>
      <c r="E66">
        <v>1956</v>
      </c>
      <c r="F66">
        <v>22309</v>
      </c>
      <c r="G66">
        <v>83504</v>
      </c>
      <c r="H66">
        <v>105813</v>
      </c>
      <c r="I66">
        <v>-290</v>
      </c>
      <c r="J66">
        <v>1739</v>
      </c>
      <c r="K66">
        <v>66624</v>
      </c>
      <c r="L66">
        <v>26977</v>
      </c>
      <c r="O66">
        <v>199414</v>
      </c>
      <c r="P66">
        <v>1789662</v>
      </c>
      <c r="Q66">
        <v>1237317</v>
      </c>
      <c r="R66" s="1" t="s">
        <v>82</v>
      </c>
      <c r="S66" s="1">
        <f t="shared" si="2"/>
        <v>-1072</v>
      </c>
      <c r="T66" s="1">
        <f t="shared" si="3"/>
        <v>-53</v>
      </c>
      <c r="U66">
        <f t="shared" si="8"/>
        <v>333</v>
      </c>
      <c r="V66">
        <f t="shared" si="9"/>
        <v>1696</v>
      </c>
      <c r="W66" s="8">
        <f t="shared" si="1"/>
        <v>-2.7331932179108787E-3</v>
      </c>
      <c r="X66" s="1">
        <f>IF(Q66=0,(nazione[[#This Row],[nuovi_attualmente_positivi]]/nazione[[#This Row],[test_per_giorno]])*100,(nazione[[#This Row],[nuovi_attualmente_positivi]]/nazione[[#This Row],[test_per_giorno]])*100)</f>
        <v>6.5184796461503867</v>
      </c>
      <c r="Y66">
        <f>IF(nazione[[#This Row],[casi_testati]]=0,nazione[[#This Row],[tamponi]]-P65,IF(Q65=0,nazione[[#This Row],[casi_testati]]-Y65,nazione[[#This Row],[casi_testati]]-Q65))</f>
        <v>26678</v>
      </c>
      <c r="Z66" s="4">
        <f>IF(Q66=0,(nazione[[#This Row],[test_per_giorno]]/AG$3)*100,(nazione[[#This Row],[test_per_giorno]]/AG$3)*100)</f>
        <v>4.4282778422823646E-2</v>
      </c>
      <c r="AA66" s="4">
        <f>(nazione[[#This Row],[ricoverati_con_sintomi]]/nazione[[#This Row],[totale_attualmente_positivi]])*100</f>
        <v>19.234876621965167</v>
      </c>
      <c r="AB66" s="4">
        <f>(nazione[[#This Row],[terapia_intensiva]]/nazione[[#This Row],[totale_attualmente_positivi]])*100</f>
        <v>1.8485441297383121</v>
      </c>
      <c r="AC66" s="4">
        <f>((nazione[[#This Row],[totale_attualmente_positivi]]-(nazione[[#This Row],[totale_ospedalizzati]]))/nazione[[#This Row],[totale_attualmente_positivi]])*100</f>
        <v>78.916579248296529</v>
      </c>
      <c r="AD66" s="8">
        <f>(nazione[[#This Row],[Deceaded by day]]/nazione[[#This Row],[totale_attualmente_positivi]])*100</f>
        <v>0.31470613251679852</v>
      </c>
      <c r="AE66" s="8">
        <f>(nazione[[#This Row],[Deceaded by day]]/morti_per_regione!D$2) *100</f>
        <v>5.2595584182154459E-2</v>
      </c>
    </row>
    <row r="67" spans="1:35" x14ac:dyDescent="0.2">
      <c r="A67">
        <v>65</v>
      </c>
      <c r="B67" s="6">
        <v>43949.708333333336</v>
      </c>
      <c r="C67" s="1" t="s">
        <v>42</v>
      </c>
      <c r="D67">
        <v>19723</v>
      </c>
      <c r="E67">
        <v>1863</v>
      </c>
      <c r="F67">
        <v>21586</v>
      </c>
      <c r="G67">
        <v>83619</v>
      </c>
      <c r="H67">
        <v>105205</v>
      </c>
      <c r="I67">
        <v>-608</v>
      </c>
      <c r="J67">
        <v>2091</v>
      </c>
      <c r="K67">
        <v>68941</v>
      </c>
      <c r="L67">
        <v>27359</v>
      </c>
      <c r="O67">
        <v>201505</v>
      </c>
      <c r="P67">
        <v>1846934</v>
      </c>
      <c r="Q67">
        <v>1274871</v>
      </c>
      <c r="R67" s="1" t="s">
        <v>82</v>
      </c>
      <c r="S67" s="1">
        <f t="shared" si="2"/>
        <v>-723</v>
      </c>
      <c r="T67" s="1">
        <f t="shared" si="3"/>
        <v>-93</v>
      </c>
      <c r="U67">
        <f t="shared" si="8"/>
        <v>382</v>
      </c>
      <c r="V67">
        <f t="shared" si="9"/>
        <v>2317</v>
      </c>
      <c r="W67" s="8">
        <f t="shared" ref="W67:W130" si="10">(H67/H66)-1</f>
        <v>-5.745985842949386E-3</v>
      </c>
      <c r="X67" s="1">
        <f>IF(Q67=0,(nazione[[#This Row],[nuovi_attualmente_positivi]]/nazione[[#This Row],[test_per_giorno]])*100,(nazione[[#This Row],[nuovi_attualmente_positivi]]/nazione[[#This Row],[test_per_giorno]])*100)</f>
        <v>5.5679821057676948</v>
      </c>
      <c r="Y67">
        <f>IF(nazione[[#This Row],[casi_testati]]=0,nazione[[#This Row],[tamponi]]-P66,IF(Q66=0,nazione[[#This Row],[casi_testati]]-Y66,nazione[[#This Row],[casi_testati]]-Q66))</f>
        <v>37554</v>
      </c>
      <c r="Z67" s="4">
        <f>IF(Q67=0,(nazione[[#This Row],[test_per_giorno]]/AG$3)*100,(nazione[[#This Row],[test_per_giorno]]/AG$3)*100)</f>
        <v>6.2335837052654594E-2</v>
      </c>
      <c r="AA67" s="4">
        <f>(nazione[[#This Row],[ricoverati_con_sintomi]]/nazione[[#This Row],[totale_attualmente_positivi]])*100</f>
        <v>18.747207832327362</v>
      </c>
      <c r="AB67" s="4">
        <f>(nazione[[#This Row],[terapia_intensiva]]/nazione[[#This Row],[totale_attualmente_positivi]])*100</f>
        <v>1.7708283826814313</v>
      </c>
      <c r="AC67" s="4">
        <f>((nazione[[#This Row],[totale_attualmente_positivi]]-(nazione[[#This Row],[totale_ospedalizzati]]))/nazione[[#This Row],[totale_attualmente_positivi]])*100</f>
        <v>79.481963784991208</v>
      </c>
      <c r="AD67" s="8">
        <f>(nazione[[#This Row],[Deceaded by day]]/nazione[[#This Row],[totale_attualmente_positivi]])*100</f>
        <v>0.36310061308873154</v>
      </c>
      <c r="AE67" s="8">
        <f>(nazione[[#This Row],[Deceaded by day]]/morti_per_regione!D$2) *100</f>
        <v>6.0334874347096112E-2</v>
      </c>
    </row>
    <row r="68" spans="1:35" x14ac:dyDescent="0.2">
      <c r="A68">
        <v>66</v>
      </c>
      <c r="B68" s="6">
        <v>43950.708333333336</v>
      </c>
      <c r="C68" s="1" t="s">
        <v>42</v>
      </c>
      <c r="D68">
        <v>19210</v>
      </c>
      <c r="E68">
        <v>1795</v>
      </c>
      <c r="F68">
        <v>21005</v>
      </c>
      <c r="G68">
        <v>83652</v>
      </c>
      <c r="H68">
        <v>104657</v>
      </c>
      <c r="I68">
        <v>-548</v>
      </c>
      <c r="J68">
        <v>2086</v>
      </c>
      <c r="K68">
        <v>71252</v>
      </c>
      <c r="L68">
        <v>27682</v>
      </c>
      <c r="O68">
        <v>203591</v>
      </c>
      <c r="P68">
        <v>1910761</v>
      </c>
      <c r="Q68">
        <v>1313460</v>
      </c>
      <c r="R68" s="1" t="s">
        <v>82</v>
      </c>
      <c r="S68" s="1">
        <f t="shared" si="2"/>
        <v>-581</v>
      </c>
      <c r="T68" s="1">
        <f t="shared" si="3"/>
        <v>-68</v>
      </c>
      <c r="U68">
        <f t="shared" si="8"/>
        <v>323</v>
      </c>
      <c r="V68">
        <f t="shared" si="9"/>
        <v>2311</v>
      </c>
      <c r="W68" s="8">
        <f t="shared" si="10"/>
        <v>-5.2088779050425416E-3</v>
      </c>
      <c r="X68" s="1">
        <f>IF(Q68=0,(nazione[[#This Row],[nuovi_attualmente_positivi]]/nazione[[#This Row],[test_per_giorno]])*100,(nazione[[#This Row],[nuovi_attualmente_positivi]]/nazione[[#This Row],[test_per_giorno]])*100)</f>
        <v>5.4056855580605871</v>
      </c>
      <c r="Y68">
        <f>IF(nazione[[#This Row],[casi_testati]]=0,nazione[[#This Row],[tamponi]]-P67,IF(Q67=0,nazione[[#This Row],[casi_testati]]-Y67,nazione[[#This Row],[casi_testati]]-Q67))</f>
        <v>38589</v>
      </c>
      <c r="Z68" s="4">
        <f>IF(Q68=0,(nazione[[#This Row],[test_per_giorno]]/AG$3)*100,(nazione[[#This Row],[test_per_giorno]]/AG$3)*100)</f>
        <v>6.4053832242234862E-2</v>
      </c>
      <c r="AA68" s="4">
        <f>(nazione[[#This Row],[ricoverati_con_sintomi]]/nazione[[#This Row],[totale_attualmente_positivi]])*100</f>
        <v>18.355198410044242</v>
      </c>
      <c r="AB68" s="4">
        <f>(nazione[[#This Row],[terapia_intensiva]]/nazione[[#This Row],[totale_attualmente_positivi]])*100</f>
        <v>1.7151265562743057</v>
      </c>
      <c r="AC68" s="4">
        <f>((nazione[[#This Row],[totale_attualmente_positivi]]-(nazione[[#This Row],[totale_ospedalizzati]]))/nazione[[#This Row],[totale_attualmente_positivi]])*100</f>
        <v>79.929675033681463</v>
      </c>
      <c r="AD68" s="8">
        <f>(nazione[[#This Row],[Deceaded by day]]/nazione[[#This Row],[totale_attualmente_positivi]])*100</f>
        <v>0.30862722990339875</v>
      </c>
      <c r="AE68" s="8">
        <f>(nazione[[#This Row],[Deceaded by day]]/morti_per_regione!D$2) *100</f>
        <v>5.1016137209717392E-2</v>
      </c>
    </row>
    <row r="69" spans="1:35" x14ac:dyDescent="0.2">
      <c r="A69">
        <v>67</v>
      </c>
      <c r="B69" s="6">
        <v>43951.708333333336</v>
      </c>
      <c r="C69" s="1" t="s">
        <v>42</v>
      </c>
      <c r="D69">
        <v>18149</v>
      </c>
      <c r="E69">
        <v>1694</v>
      </c>
      <c r="F69">
        <v>19843</v>
      </c>
      <c r="G69">
        <v>81708</v>
      </c>
      <c r="H69">
        <v>101551</v>
      </c>
      <c r="I69">
        <v>-3106</v>
      </c>
      <c r="J69">
        <v>1872</v>
      </c>
      <c r="K69">
        <v>75945</v>
      </c>
      <c r="L69">
        <v>27967</v>
      </c>
      <c r="O69">
        <v>205463</v>
      </c>
      <c r="P69">
        <v>1979217</v>
      </c>
      <c r="Q69">
        <v>1354901</v>
      </c>
      <c r="R69" s="1" t="s">
        <v>82</v>
      </c>
      <c r="S69" s="1">
        <f t="shared" ref="S69:S132" si="11">F69-F68</f>
        <v>-1162</v>
      </c>
      <c r="T69" s="1">
        <f t="shared" ref="T69:T132" si="12">E69-E68</f>
        <v>-101</v>
      </c>
      <c r="U69">
        <f t="shared" si="8"/>
        <v>285</v>
      </c>
      <c r="V69">
        <f t="shared" si="9"/>
        <v>4693</v>
      </c>
      <c r="W69" s="8">
        <f t="shared" si="10"/>
        <v>-2.9677900188233908E-2</v>
      </c>
      <c r="X69" s="1">
        <f>IF(Q69=0,(nazione[[#This Row],[nuovi_attualmente_positivi]]/nazione[[#This Row],[test_per_giorno]])*100,(nazione[[#This Row],[nuovi_attualmente_positivi]]/nazione[[#This Row],[test_per_giorno]])*100)</f>
        <v>4.5172655100021721</v>
      </c>
      <c r="Y69">
        <f>IF(nazione[[#This Row],[casi_testati]]=0,nazione[[#This Row],[tamponi]]-P68,IF(Q68=0,nazione[[#This Row],[casi_testati]]-Y68,nazione[[#This Row],[casi_testati]]-Q68))</f>
        <v>41441</v>
      </c>
      <c r="Z69" s="4">
        <f>IF(Q69=0,(nazione[[#This Row],[test_per_giorno]]/AG$3)*100,(nazione[[#This Row],[test_per_giorno]]/AG$3)*100)</f>
        <v>6.87878634313005E-2</v>
      </c>
      <c r="AA69" s="4">
        <f>(nazione[[#This Row],[ricoverati_con_sintomi]]/nazione[[#This Row],[totale_attualmente_positivi]])*100</f>
        <v>17.87180825398076</v>
      </c>
      <c r="AB69" s="4">
        <f>(nazione[[#This Row],[terapia_intensiva]]/nazione[[#This Row],[totale_attualmente_positivi]])*100</f>
        <v>1.6681273448808973</v>
      </c>
      <c r="AC69" s="4">
        <f>((nazione[[#This Row],[totale_attualmente_positivi]]-(nazione[[#This Row],[totale_ospedalizzati]]))/nazione[[#This Row],[totale_attualmente_positivi]])*100</f>
        <v>80.460064401138339</v>
      </c>
      <c r="AD69" s="8">
        <f>(nazione[[#This Row],[Deceaded by day]]/nazione[[#This Row],[totale_attualmente_positivi]])*100</f>
        <v>0.28064716250947797</v>
      </c>
      <c r="AE69" s="8">
        <f>(nazione[[#This Row],[Deceaded by day]]/morti_per_regione!D$2) *100</f>
        <v>4.501423871445652E-2</v>
      </c>
    </row>
    <row r="70" spans="1:35" x14ac:dyDescent="0.2">
      <c r="A70">
        <v>68</v>
      </c>
      <c r="B70" s="6">
        <v>43952.708333333336</v>
      </c>
      <c r="C70" s="1" t="s">
        <v>42</v>
      </c>
      <c r="D70">
        <v>17569</v>
      </c>
      <c r="E70">
        <v>1578</v>
      </c>
      <c r="F70">
        <v>19147</v>
      </c>
      <c r="G70">
        <v>81796</v>
      </c>
      <c r="H70">
        <v>100943</v>
      </c>
      <c r="I70">
        <v>-608</v>
      </c>
      <c r="J70">
        <v>1965</v>
      </c>
      <c r="K70">
        <v>78249</v>
      </c>
      <c r="L70">
        <v>28236</v>
      </c>
      <c r="O70">
        <v>207428</v>
      </c>
      <c r="P70">
        <v>2053425</v>
      </c>
      <c r="Q70">
        <v>1398633</v>
      </c>
      <c r="R70" s="1" t="s">
        <v>102</v>
      </c>
      <c r="S70" s="1">
        <f t="shared" si="11"/>
        <v>-696</v>
      </c>
      <c r="T70" s="1">
        <f t="shared" si="12"/>
        <v>-116</v>
      </c>
      <c r="U70">
        <f t="shared" si="8"/>
        <v>269</v>
      </c>
      <c r="V70">
        <f t="shared" si="9"/>
        <v>2304</v>
      </c>
      <c r="W70" s="8">
        <f t="shared" si="10"/>
        <v>-5.9871394668689071E-3</v>
      </c>
      <c r="X70" s="1">
        <f>IF(Q70=0,(nazione[[#This Row],[nuovi_attualmente_positivi]]/nazione[[#This Row],[test_per_giorno]])*100,(nazione[[#This Row],[nuovi_attualmente_positivi]]/nazione[[#This Row],[test_per_giorno]])*100)</f>
        <v>4.4932772340620142</v>
      </c>
      <c r="Y70">
        <f>IF(nazione[[#This Row],[casi_testati]]=0,nazione[[#This Row],[tamponi]]-P69,IF(Q69=0,nazione[[#This Row],[casi_testati]]-Y69,nazione[[#This Row],[casi_testati]]-Q69))</f>
        <v>43732</v>
      </c>
      <c r="Z70" s="4">
        <f>IF(Q70=0,(nazione[[#This Row],[test_per_giorno]]/AG$3)*100,(nazione[[#This Row],[test_per_giorno]]/AG$3)*100)</f>
        <v>7.259069143065161E-2</v>
      </c>
      <c r="AA70" s="4">
        <f>(nazione[[#This Row],[ricoverati_con_sintomi]]/nazione[[#This Row],[totale_attualmente_positivi]])*100</f>
        <v>17.404872056507138</v>
      </c>
      <c r="AB70" s="4">
        <f>(nazione[[#This Row],[terapia_intensiva]]/nazione[[#This Row],[totale_attualmente_positivi]])*100</f>
        <v>1.5632584726033505</v>
      </c>
      <c r="AC70" s="4">
        <f>((nazione[[#This Row],[totale_attualmente_positivi]]-(nazione[[#This Row],[totale_ospedalizzati]]))/nazione[[#This Row],[totale_attualmente_positivi]])*100</f>
        <v>81.031869470889518</v>
      </c>
      <c r="AD70" s="8">
        <f>(nazione[[#This Row],[Deceaded by day]]/nazione[[#This Row],[totale_attualmente_positivi]])*100</f>
        <v>0.26648702733225682</v>
      </c>
      <c r="AE70" s="8">
        <f>(nazione[[#This Row],[Deceaded by day]]/morti_per_regione!D$2) *100</f>
        <v>4.2487123558557202E-2</v>
      </c>
    </row>
    <row r="71" spans="1:35" x14ac:dyDescent="0.2">
      <c r="A71">
        <v>69</v>
      </c>
      <c r="B71" s="6">
        <v>43953.708333333336</v>
      </c>
      <c r="C71" s="1" t="s">
        <v>42</v>
      </c>
      <c r="D71">
        <v>17357</v>
      </c>
      <c r="E71">
        <v>1539</v>
      </c>
      <c r="F71">
        <v>18896</v>
      </c>
      <c r="G71">
        <v>81808</v>
      </c>
      <c r="H71">
        <v>100704</v>
      </c>
      <c r="I71">
        <v>-239</v>
      </c>
      <c r="J71">
        <v>1900</v>
      </c>
      <c r="K71">
        <v>79914</v>
      </c>
      <c r="L71">
        <v>28710</v>
      </c>
      <c r="O71">
        <v>209328</v>
      </c>
      <c r="P71">
        <v>2108837</v>
      </c>
      <c r="Q71">
        <v>1429864</v>
      </c>
      <c r="R71" s="1" t="s">
        <v>103</v>
      </c>
      <c r="S71" s="1">
        <f t="shared" si="11"/>
        <v>-251</v>
      </c>
      <c r="T71" s="1">
        <f t="shared" si="12"/>
        <v>-39</v>
      </c>
      <c r="U71">
        <f t="shared" si="8"/>
        <v>474</v>
      </c>
      <c r="V71">
        <f t="shared" si="9"/>
        <v>1665</v>
      </c>
      <c r="W71" s="8">
        <f t="shared" si="10"/>
        <v>-2.3676728450710005E-3</v>
      </c>
      <c r="X71" s="1">
        <f>IF(Q71=0,(nazione[[#This Row],[nuovi_attualmente_positivi]]/nazione[[#This Row],[test_per_giorno]])*100,(nazione[[#This Row],[nuovi_attualmente_positivi]]/nazione[[#This Row],[test_per_giorno]])*100)</f>
        <v>6.0836988889244656</v>
      </c>
      <c r="Y71">
        <f>IF(nazione[[#This Row],[casi_testati]]=0,nazione[[#This Row],[tamponi]]-P70,IF(Q70=0,nazione[[#This Row],[casi_testati]]-Y70,nazione[[#This Row],[casi_testati]]-Q70))</f>
        <v>31231</v>
      </c>
      <c r="Z71" s="4">
        <f>IF(Q71=0,(nazione[[#This Row],[test_per_giorno]]/AG$3)*100,(nazione[[#This Row],[test_per_giorno]]/AG$3)*100)</f>
        <v>5.184029735824295E-2</v>
      </c>
      <c r="AA71" s="4">
        <f>(nazione[[#This Row],[ricoverati_con_sintomi]]/nazione[[#This Row],[totale_attualmente_positivi]])*100</f>
        <v>17.235660946933589</v>
      </c>
      <c r="AB71" s="4">
        <f>(nazione[[#This Row],[terapia_intensiva]]/nazione[[#This Row],[totale_attualmente_positivi]])*100</f>
        <v>1.5282411820781696</v>
      </c>
      <c r="AC71" s="4">
        <f>((nazione[[#This Row],[totale_attualmente_positivi]]-(nazione[[#This Row],[totale_ospedalizzati]]))/nazione[[#This Row],[totale_attualmente_positivi]])*100</f>
        <v>81.236097870988246</v>
      </c>
      <c r="AD71" s="8">
        <f>(nazione[[#This Row],[Deceaded by day]]/nazione[[#This Row],[totale_attualmente_positivi]])*100</f>
        <v>0.47068636796949476</v>
      </c>
      <c r="AE71" s="8">
        <f>(nazione[[#This Row],[Deceaded by day]]/morti_per_regione!D$2) *100</f>
        <v>7.4865786493517161E-2</v>
      </c>
    </row>
    <row r="72" spans="1:35" x14ac:dyDescent="0.2">
      <c r="A72">
        <v>70</v>
      </c>
      <c r="B72" s="6">
        <v>43954.708333333336</v>
      </c>
      <c r="C72" s="1" t="s">
        <v>42</v>
      </c>
      <c r="D72">
        <v>17242</v>
      </c>
      <c r="E72">
        <v>1501</v>
      </c>
      <c r="F72">
        <v>18743</v>
      </c>
      <c r="G72">
        <v>81436</v>
      </c>
      <c r="H72">
        <v>100179</v>
      </c>
      <c r="I72">
        <v>-525</v>
      </c>
      <c r="J72">
        <v>1389</v>
      </c>
      <c r="K72">
        <v>81654</v>
      </c>
      <c r="L72">
        <v>28884</v>
      </c>
      <c r="O72">
        <v>210717</v>
      </c>
      <c r="P72">
        <v>2153772</v>
      </c>
      <c r="Q72">
        <v>1456911</v>
      </c>
      <c r="R72" s="1" t="s">
        <v>82</v>
      </c>
      <c r="S72" s="1">
        <f t="shared" si="11"/>
        <v>-153</v>
      </c>
      <c r="T72" s="1">
        <f t="shared" si="12"/>
        <v>-38</v>
      </c>
      <c r="U72">
        <f t="shared" si="8"/>
        <v>174</v>
      </c>
      <c r="V72">
        <f t="shared" si="9"/>
        <v>1740</v>
      </c>
      <c r="W72" s="8">
        <f t="shared" si="10"/>
        <v>-5.2132983794089816E-3</v>
      </c>
      <c r="X72" s="1">
        <f>IF(Q72=0,(nazione[[#This Row],[nuovi_attualmente_positivi]]/nazione[[#This Row],[test_per_giorno]])*100,(nazione[[#This Row],[nuovi_attualmente_positivi]]/nazione[[#This Row],[test_per_giorno]])*100)</f>
        <v>5.1355048619070507</v>
      </c>
      <c r="Y72">
        <f>IF(nazione[[#This Row],[casi_testati]]=0,nazione[[#This Row],[tamponi]]-P71,IF(Q71=0,nazione[[#This Row],[casi_testati]]-Y71,nazione[[#This Row],[casi_testati]]-Q71))</f>
        <v>27047</v>
      </c>
      <c r="Z72" s="4">
        <f>IF(Q72=0,(nazione[[#This Row],[test_per_giorno]]/AG$3)*100,(nazione[[#This Row],[test_per_giorno]]/AG$3)*100)</f>
        <v>4.4895281055630523E-2</v>
      </c>
      <c r="AA72" s="4">
        <f>(nazione[[#This Row],[ricoverati_con_sintomi]]/nazione[[#This Row],[totale_attualmente_positivi]])*100</f>
        <v>17.211191966380181</v>
      </c>
      <c r="AB72" s="4">
        <f>(nazione[[#This Row],[terapia_intensiva]]/nazione[[#This Row],[totale_attualmente_positivi]])*100</f>
        <v>1.4983180107607383</v>
      </c>
      <c r="AC72" s="4">
        <f>((nazione[[#This Row],[totale_attualmente_positivi]]-(nazione[[#This Row],[totale_ospedalizzati]]))/nazione[[#This Row],[totale_attualmente_positivi]])*100</f>
        <v>81.290490022859089</v>
      </c>
      <c r="AD72" s="8">
        <f>(nazione[[#This Row],[Deceaded by day]]/nazione[[#This Row],[totale_attualmente_positivi]])*100</f>
        <v>0.17368909651723413</v>
      </c>
      <c r="AE72" s="8">
        <f>(nazione[[#This Row],[Deceaded by day]]/morti_per_regione!D$2) *100</f>
        <v>2.7482377320405031E-2</v>
      </c>
    </row>
    <row r="73" spans="1:35" x14ac:dyDescent="0.2">
      <c r="A73">
        <v>71</v>
      </c>
      <c r="B73" s="6">
        <v>43955.708333333336</v>
      </c>
      <c r="C73" s="1" t="s">
        <v>42</v>
      </c>
      <c r="D73">
        <v>16823</v>
      </c>
      <c r="E73">
        <v>1479</v>
      </c>
      <c r="F73">
        <v>18302</v>
      </c>
      <c r="G73">
        <v>81678</v>
      </c>
      <c r="H73">
        <v>99980</v>
      </c>
      <c r="I73">
        <v>-199</v>
      </c>
      <c r="J73">
        <v>1221</v>
      </c>
      <c r="K73">
        <v>82879</v>
      </c>
      <c r="L73">
        <v>29079</v>
      </c>
      <c r="O73">
        <v>211938</v>
      </c>
      <c r="P73">
        <v>2191403</v>
      </c>
      <c r="Q73">
        <v>1479910</v>
      </c>
      <c r="R73" s="1" t="s">
        <v>104</v>
      </c>
      <c r="S73" s="1">
        <f t="shared" si="11"/>
        <v>-441</v>
      </c>
      <c r="T73" s="1">
        <f t="shared" si="12"/>
        <v>-22</v>
      </c>
      <c r="U73">
        <f t="shared" si="8"/>
        <v>195</v>
      </c>
      <c r="V73">
        <f t="shared" si="9"/>
        <v>1225</v>
      </c>
      <c r="W73" s="8">
        <f t="shared" si="10"/>
        <v>-1.9864442647660185E-3</v>
      </c>
      <c r="X73" s="1">
        <f>IF(Q73=0,(nazione[[#This Row],[nuovi_attualmente_positivi]]/nazione[[#This Row],[test_per_giorno]])*100,(nazione[[#This Row],[nuovi_attualmente_positivi]]/nazione[[#This Row],[test_per_giorno]])*100)</f>
        <v>5.3089264750641334</v>
      </c>
      <c r="Y73">
        <f>IF(nazione[[#This Row],[casi_testati]]=0,nazione[[#This Row],[tamponi]]-P72,IF(Q72=0,nazione[[#This Row],[casi_testati]]-Y72,nazione[[#This Row],[casi_testati]]-Q72))</f>
        <v>22999</v>
      </c>
      <c r="Z73" s="4">
        <f>IF(Q73=0,(nazione[[#This Row],[test_per_giorno]]/AG$3)*100,(nazione[[#This Row],[test_per_giorno]]/AG$3)*100)</f>
        <v>3.8176010980827686E-2</v>
      </c>
      <c r="AA73" s="4">
        <f>(nazione[[#This Row],[ricoverati_con_sintomi]]/nazione[[#This Row],[totale_attualmente_positivi]])*100</f>
        <v>16.826365273054613</v>
      </c>
      <c r="AB73" s="4">
        <f>(nazione[[#This Row],[terapia_intensiva]]/nazione[[#This Row],[totale_attualmente_positivi]])*100</f>
        <v>1.4792958591718344</v>
      </c>
      <c r="AC73" s="4">
        <f>((nazione[[#This Row],[totale_attualmente_positivi]]-(nazione[[#This Row],[totale_ospedalizzati]]))/nazione[[#This Row],[totale_attualmente_positivi]])*100</f>
        <v>81.694338867773553</v>
      </c>
      <c r="AD73" s="8">
        <f>(nazione[[#This Row],[Deceaded by day]]/nazione[[#This Row],[totale_attualmente_positivi]])*100</f>
        <v>0.1950390078015603</v>
      </c>
      <c r="AE73" s="8">
        <f>(nazione[[#This Row],[Deceaded by day]]/morti_per_regione!D$2) *100</f>
        <v>3.0799215962522882E-2</v>
      </c>
    </row>
    <row r="74" spans="1:35" x14ac:dyDescent="0.2">
      <c r="A74">
        <v>72</v>
      </c>
      <c r="B74" s="6">
        <v>43956.708333333336</v>
      </c>
      <c r="C74" s="1" t="s">
        <v>42</v>
      </c>
      <c r="D74">
        <v>16270</v>
      </c>
      <c r="E74">
        <v>1427</v>
      </c>
      <c r="F74">
        <v>17697</v>
      </c>
      <c r="G74">
        <v>80770</v>
      </c>
      <c r="H74">
        <v>98467</v>
      </c>
      <c r="I74">
        <v>-1513</v>
      </c>
      <c r="J74">
        <v>1075</v>
      </c>
      <c r="K74">
        <v>85231</v>
      </c>
      <c r="L74">
        <v>29315</v>
      </c>
      <c r="O74">
        <v>213013</v>
      </c>
      <c r="P74">
        <v>2246666</v>
      </c>
      <c r="Q74">
        <v>1512121</v>
      </c>
      <c r="R74" s="1" t="s">
        <v>82</v>
      </c>
      <c r="S74" s="1">
        <f t="shared" si="11"/>
        <v>-605</v>
      </c>
      <c r="T74" s="1">
        <f t="shared" si="12"/>
        <v>-52</v>
      </c>
      <c r="U74">
        <f t="shared" si="8"/>
        <v>236</v>
      </c>
      <c r="V74">
        <f t="shared" si="9"/>
        <v>2352</v>
      </c>
      <c r="W74" s="8">
        <f t="shared" si="10"/>
        <v>-1.5133026605321009E-2</v>
      </c>
      <c r="X74" s="1">
        <f>IF(Q74=0,(nazione[[#This Row],[nuovi_attualmente_positivi]]/nazione[[#This Row],[test_per_giorno]])*100,(nazione[[#This Row],[nuovi_attualmente_positivi]]/nazione[[#This Row],[test_per_giorno]])*100)</f>
        <v>3.3373692216944519</v>
      </c>
      <c r="Y74">
        <f>IF(nazione[[#This Row],[casi_testati]]=0,nazione[[#This Row],[tamponi]]-P73,IF(Q73=0,nazione[[#This Row],[casi_testati]]-Y73,nazione[[#This Row],[casi_testati]]-Q73))</f>
        <v>32211</v>
      </c>
      <c r="Z74" s="4">
        <f>IF(Q74=0,(nazione[[#This Row],[test_per_giorno]]/AG$3)*100,(nazione[[#This Row],[test_per_giorno]]/AG$3)*100)</f>
        <v>5.3466998117459044E-2</v>
      </c>
      <c r="AA74" s="4">
        <f>(nazione[[#This Row],[ricoverati_con_sintomi]]/nazione[[#This Row],[totale_attualmente_positivi]])*100</f>
        <v>16.523302223079813</v>
      </c>
      <c r="AB74" s="4">
        <f>(nazione[[#This Row],[terapia_intensiva]]/nazione[[#This Row],[totale_attualmente_positivi]])*100</f>
        <v>1.4492164887728884</v>
      </c>
      <c r="AC74" s="4">
        <f>((nazione[[#This Row],[totale_attualmente_positivi]]-(nazione[[#This Row],[totale_ospedalizzati]]))/nazione[[#This Row],[totale_attualmente_positivi]])*100</f>
        <v>82.0274812881473</v>
      </c>
      <c r="AD74" s="8">
        <f>(nazione[[#This Row],[Deceaded by day]]/nazione[[#This Row],[totale_attualmente_positivi]])*100</f>
        <v>0.23967420557140973</v>
      </c>
      <c r="AE74" s="8">
        <f>(nazione[[#This Row],[Deceaded by day]]/morti_per_regione!D$2) *100</f>
        <v>3.7274948549514873E-2</v>
      </c>
    </row>
    <row r="75" spans="1:35" x14ac:dyDescent="0.2">
      <c r="A75">
        <v>73</v>
      </c>
      <c r="B75" s="6">
        <v>43957.708333333336</v>
      </c>
      <c r="C75" s="1" t="s">
        <v>42</v>
      </c>
      <c r="D75">
        <v>15769</v>
      </c>
      <c r="E75">
        <v>1333</v>
      </c>
      <c r="F75">
        <v>17102</v>
      </c>
      <c r="G75">
        <v>74426</v>
      </c>
      <c r="H75">
        <v>91528</v>
      </c>
      <c r="I75">
        <v>-6939</v>
      </c>
      <c r="J75">
        <v>1444</v>
      </c>
      <c r="K75">
        <v>93245</v>
      </c>
      <c r="L75">
        <v>29684</v>
      </c>
      <c r="O75">
        <v>214457</v>
      </c>
      <c r="P75">
        <v>2310929</v>
      </c>
      <c r="Q75">
        <v>1549892</v>
      </c>
      <c r="R75" s="1" t="s">
        <v>105</v>
      </c>
      <c r="S75" s="1">
        <f t="shared" si="11"/>
        <v>-595</v>
      </c>
      <c r="T75" s="1">
        <f t="shared" si="12"/>
        <v>-94</v>
      </c>
      <c r="U75">
        <f t="shared" si="8"/>
        <v>369</v>
      </c>
      <c r="V75">
        <f t="shared" si="9"/>
        <v>8014</v>
      </c>
      <c r="W75" s="8">
        <f t="shared" si="10"/>
        <v>-7.0470309850000468E-2</v>
      </c>
      <c r="X75" s="1">
        <f>IF(Q75=0,(nazione[[#This Row],[nuovi_attualmente_positivi]]/nazione[[#This Row],[test_per_giorno]])*100,(nazione[[#This Row],[nuovi_attualmente_positivi]]/nazione[[#This Row],[test_per_giorno]])*100)</f>
        <v>3.8230388393211725</v>
      </c>
      <c r="Y75">
        <f>IF(nazione[[#This Row],[casi_testati]]=0,nazione[[#This Row],[tamponi]]-P74,IF(Q74=0,nazione[[#This Row],[casi_testati]]-Y74,nazione[[#This Row],[casi_testati]]-Q74))</f>
        <v>37771</v>
      </c>
      <c r="Z75" s="4">
        <f>IF(Q75=0,(nazione[[#This Row],[test_per_giorno]]/AG$3)*100,(nazione[[#This Row],[test_per_giorno]]/AG$3)*100)</f>
        <v>6.2696035077909579E-2</v>
      </c>
      <c r="AA75" s="4">
        <f>(nazione[[#This Row],[ricoverati_con_sintomi]]/nazione[[#This Row],[totale_attualmente_positivi]])*100</f>
        <v>17.228607639192379</v>
      </c>
      <c r="AB75" s="4">
        <f>(nazione[[#This Row],[terapia_intensiva]]/nazione[[#This Row],[totale_attualmente_positivi]])*100</f>
        <v>1.4563849313871164</v>
      </c>
      <c r="AC75" s="4">
        <f>((nazione[[#This Row],[totale_attualmente_positivi]]-(nazione[[#This Row],[totale_ospedalizzati]]))/nazione[[#This Row],[totale_attualmente_positivi]])*100</f>
        <v>81.315007429420504</v>
      </c>
      <c r="AD75" s="8">
        <f>(nazione[[#This Row],[Deceaded by day]]/nazione[[#This Row],[totale_attualmente_positivi]])*100</f>
        <v>0.40315531859103232</v>
      </c>
      <c r="AE75" s="8">
        <f>(nazione[[#This Row],[Deceaded by day]]/morti_per_regione!D$2) *100</f>
        <v>5.8281593282927917E-2</v>
      </c>
    </row>
    <row r="76" spans="1:35" x14ac:dyDescent="0.2">
      <c r="A76">
        <v>74</v>
      </c>
      <c r="B76" s="6">
        <v>43958.708333333336</v>
      </c>
      <c r="C76" s="1" t="s">
        <v>42</v>
      </c>
      <c r="D76">
        <v>15174</v>
      </c>
      <c r="E76">
        <v>1311</v>
      </c>
      <c r="F76">
        <v>16485</v>
      </c>
      <c r="G76">
        <v>73139</v>
      </c>
      <c r="H76">
        <v>89624</v>
      </c>
      <c r="I76">
        <v>-1904</v>
      </c>
      <c r="J76">
        <v>1401</v>
      </c>
      <c r="K76">
        <v>96276</v>
      </c>
      <c r="L76">
        <v>29958</v>
      </c>
      <c r="O76">
        <v>215858</v>
      </c>
      <c r="P76">
        <v>2381288</v>
      </c>
      <c r="Q76">
        <v>1563557</v>
      </c>
      <c r="R76" s="1" t="s">
        <v>106</v>
      </c>
      <c r="S76" s="1">
        <f t="shared" si="11"/>
        <v>-617</v>
      </c>
      <c r="T76" s="1">
        <f t="shared" si="12"/>
        <v>-22</v>
      </c>
      <c r="U76">
        <f t="shared" si="8"/>
        <v>274</v>
      </c>
      <c r="V76">
        <f t="shared" si="9"/>
        <v>3031</v>
      </c>
      <c r="W76" s="8">
        <f t="shared" si="10"/>
        <v>-2.0802377414561701E-2</v>
      </c>
      <c r="X76" s="1">
        <f>IF(Q76=0,(nazione[[#This Row],[nuovi_attualmente_positivi]]/nazione[[#This Row],[test_per_giorno]])*100,(nazione[[#This Row],[nuovi_attualmente_positivi]]/nazione[[#This Row],[test_per_giorno]])*100)</f>
        <v>10.252469813391878</v>
      </c>
      <c r="Y76">
        <f>IF(nazione[[#This Row],[casi_testati]]=0,nazione[[#This Row],[tamponi]]-P75,IF(Q75=0,nazione[[#This Row],[casi_testati]]-Y75,nazione[[#This Row],[casi_testati]]-Q75))</f>
        <v>13665</v>
      </c>
      <c r="Z76" s="4">
        <f>IF(Q76=0,(nazione[[#This Row],[test_per_giorno]]/AG$3)*100,(nazione[[#This Row],[test_per_giorno]]/AG$3)*100)</f>
        <v>2.2682516198661261E-2</v>
      </c>
      <c r="AA76" s="4">
        <f>(nazione[[#This Row],[ricoverati_con_sintomi]]/nazione[[#This Row],[totale_attualmente_positivi]])*100</f>
        <v>16.930732839418013</v>
      </c>
      <c r="AB76" s="4">
        <f>(nazione[[#This Row],[terapia_intensiva]]/nazione[[#This Row],[totale_attualmente_positivi]])*100</f>
        <v>1.4627778273676693</v>
      </c>
      <c r="AC76" s="4">
        <f>((nazione[[#This Row],[totale_attualmente_positivi]]-(nazione[[#This Row],[totale_ospedalizzati]]))/nazione[[#This Row],[totale_attualmente_positivi]])*100</f>
        <v>81.606489333214313</v>
      </c>
      <c r="AD76" s="8">
        <f>(nazione[[#This Row],[Deceaded by day]]/nazione[[#This Row],[totale_attualmente_positivi]])*100</f>
        <v>0.30572168169240382</v>
      </c>
      <c r="AE76" s="8">
        <f>(nazione[[#This Row],[Deceaded by day]]/morti_per_regione!D$2) *100</f>
        <v>4.3276847044775739E-2</v>
      </c>
    </row>
    <row r="77" spans="1:35" x14ac:dyDescent="0.2">
      <c r="A77">
        <v>75</v>
      </c>
      <c r="B77" s="6">
        <v>43959.708333333336</v>
      </c>
      <c r="C77" s="1" t="s">
        <v>42</v>
      </c>
      <c r="D77">
        <v>14636</v>
      </c>
      <c r="E77">
        <v>1168</v>
      </c>
      <c r="F77">
        <v>15804</v>
      </c>
      <c r="G77">
        <v>72157</v>
      </c>
      <c r="H77">
        <v>87961</v>
      </c>
      <c r="I77">
        <v>-1663</v>
      </c>
      <c r="J77">
        <v>1327</v>
      </c>
      <c r="K77">
        <v>99023</v>
      </c>
      <c r="L77">
        <v>30201</v>
      </c>
      <c r="O77">
        <v>217185</v>
      </c>
      <c r="P77">
        <v>2445063</v>
      </c>
      <c r="Q77">
        <v>1608985</v>
      </c>
      <c r="R77" s="1" t="s">
        <v>107</v>
      </c>
      <c r="S77" s="1">
        <f t="shared" si="11"/>
        <v>-681</v>
      </c>
      <c r="T77" s="1">
        <f t="shared" si="12"/>
        <v>-143</v>
      </c>
      <c r="U77">
        <f t="shared" si="8"/>
        <v>243</v>
      </c>
      <c r="V77">
        <f t="shared" si="9"/>
        <v>2747</v>
      </c>
      <c r="W77" s="8">
        <f t="shared" si="10"/>
        <v>-1.8555297688119254E-2</v>
      </c>
      <c r="X77" s="1">
        <f>IF(Q77=0,(nazione[[#This Row],[nuovi_attualmente_positivi]]/nazione[[#This Row],[test_per_giorno]])*100,(nazione[[#This Row],[nuovi_attualmente_positivi]]/nazione[[#This Row],[test_per_giorno]])*100)</f>
        <v>2.9211059258607026</v>
      </c>
      <c r="Y77">
        <f>IF(nazione[[#This Row],[casi_testati]]=0,nazione[[#This Row],[tamponi]]-P76,IF(Q76=0,nazione[[#This Row],[casi_testati]]-Y76,nazione[[#This Row],[casi_testati]]-Q76))</f>
        <v>45428</v>
      </c>
      <c r="Z77" s="4">
        <f>IF(Q77=0,(nazione[[#This Row],[test_per_giorno]]/AG$3)*100,(nazione[[#This Row],[test_per_giorno]]/AG$3)*100)</f>
        <v>7.54058796833358E-2</v>
      </c>
      <c r="AA77" s="4">
        <f>(nazione[[#This Row],[ricoverati_con_sintomi]]/nazione[[#This Row],[totale_attualmente_positivi]])*100</f>
        <v>16.639192369345505</v>
      </c>
      <c r="AB77" s="4">
        <f>(nazione[[#This Row],[terapia_intensiva]]/nazione[[#This Row],[totale_attualmente_positivi]])*100</f>
        <v>1.3278612112186081</v>
      </c>
      <c r="AC77" s="4">
        <f>((nazione[[#This Row],[totale_attualmente_positivi]]-(nazione[[#This Row],[totale_ospedalizzati]]))/nazione[[#This Row],[totale_attualmente_positivi]])*100</f>
        <v>82.032946419435888</v>
      </c>
      <c r="AD77" s="8">
        <f>(nazione[[#This Row],[Deceaded by day]]/nazione[[#This Row],[totale_attualmente_positivi]])*100</f>
        <v>0.27625879651209057</v>
      </c>
      <c r="AE77" s="8">
        <f>(nazione[[#This Row],[Deceaded by day]]/morti_per_regione!D$2) *100</f>
        <v>3.8380561430220818E-2</v>
      </c>
    </row>
    <row r="78" spans="1:35" x14ac:dyDescent="0.2">
      <c r="A78">
        <v>76</v>
      </c>
      <c r="B78" s="6">
        <v>43960.708333333336</v>
      </c>
      <c r="C78" s="1" t="s">
        <v>42</v>
      </c>
      <c r="D78">
        <v>13834</v>
      </c>
      <c r="E78">
        <v>1034</v>
      </c>
      <c r="F78">
        <v>14868</v>
      </c>
      <c r="G78">
        <v>69974</v>
      </c>
      <c r="H78">
        <v>84842</v>
      </c>
      <c r="I78">
        <v>-3119</v>
      </c>
      <c r="J78">
        <v>1083</v>
      </c>
      <c r="K78">
        <v>103031</v>
      </c>
      <c r="L78">
        <v>30395</v>
      </c>
      <c r="O78">
        <v>218268</v>
      </c>
      <c r="P78">
        <v>2514234</v>
      </c>
      <c r="Q78">
        <v>1645076</v>
      </c>
      <c r="R78" s="1" t="s">
        <v>82</v>
      </c>
      <c r="S78" s="1">
        <f t="shared" si="11"/>
        <v>-936</v>
      </c>
      <c r="T78" s="1">
        <f t="shared" si="12"/>
        <v>-134</v>
      </c>
      <c r="U78">
        <f t="shared" si="8"/>
        <v>194</v>
      </c>
      <c r="V78">
        <f t="shared" si="9"/>
        <v>4008</v>
      </c>
      <c r="W78" s="8">
        <f t="shared" si="10"/>
        <v>-3.5458896556428421E-2</v>
      </c>
      <c r="X78" s="1">
        <f>IF(Q78=0,(nazione[[#This Row],[nuovi_attualmente_positivi]]/nazione[[#This Row],[test_per_giorno]])*100,(nazione[[#This Row],[nuovi_attualmente_positivi]]/nazione[[#This Row],[test_per_giorno]])*100)</f>
        <v>3.0007481089468291</v>
      </c>
      <c r="Y78">
        <f>IF(nazione[[#This Row],[casi_testati]]=0,nazione[[#This Row],[tamponi]]-P77,IF(Q77=0,nazione[[#This Row],[casi_testati]]-Y77,nazione[[#This Row],[casi_testati]]-Q77))</f>
        <v>36091</v>
      </c>
      <c r="Z78" s="4">
        <f>IF(Q78=0,(nazione[[#This Row],[test_per_giorno]]/AG$3)*100,(nazione[[#This Row],[test_per_giorno]]/AG$3)*100)</f>
        <v>5.9907405204967699E-2</v>
      </c>
      <c r="AA78" s="4">
        <f>(nazione[[#This Row],[ricoverati_con_sintomi]]/nazione[[#This Row],[totale_attualmente_positivi]])*100</f>
        <v>16.305603356827987</v>
      </c>
      <c r="AB78" s="4">
        <f>(nazione[[#This Row],[terapia_intensiva]]/nazione[[#This Row],[totale_attualmente_positivi]])*100</f>
        <v>1.2187360033945451</v>
      </c>
      <c r="AC78" s="4">
        <f>((nazione[[#This Row],[totale_attualmente_positivi]]-(nazione[[#This Row],[totale_ospedalizzati]]))/nazione[[#This Row],[totale_attualmente_positivi]])*100</f>
        <v>82.475660639777473</v>
      </c>
      <c r="AD78" s="8">
        <f>(nazione[[#This Row],[Deceaded by day]]/nazione[[#This Row],[totale_attualmente_positivi]])*100</f>
        <v>0.22866033332547558</v>
      </c>
      <c r="AE78" s="8">
        <f>(nazione[[#This Row],[Deceaded by day]]/morti_per_regione!D$2) *100</f>
        <v>3.0641271265279175E-2</v>
      </c>
      <c r="AH78" t="s">
        <v>258</v>
      </c>
    </row>
    <row r="79" spans="1:35" x14ac:dyDescent="0.2">
      <c r="A79">
        <v>77</v>
      </c>
      <c r="B79" s="6">
        <v>43961.708333333336</v>
      </c>
      <c r="C79" s="1" t="s">
        <v>42</v>
      </c>
      <c r="D79">
        <v>13618</v>
      </c>
      <c r="E79">
        <v>1027</v>
      </c>
      <c r="F79">
        <v>14645</v>
      </c>
      <c r="G79">
        <v>68679</v>
      </c>
      <c r="H79">
        <v>83324</v>
      </c>
      <c r="I79">
        <v>-1518</v>
      </c>
      <c r="J79">
        <v>802</v>
      </c>
      <c r="K79">
        <v>105186</v>
      </c>
      <c r="L79">
        <v>30560</v>
      </c>
      <c r="O79">
        <v>219070</v>
      </c>
      <c r="P79">
        <v>2565912</v>
      </c>
      <c r="Q79">
        <v>1676460</v>
      </c>
      <c r="R79" s="1" t="s">
        <v>82</v>
      </c>
      <c r="S79" s="1">
        <f t="shared" si="11"/>
        <v>-223</v>
      </c>
      <c r="T79" s="1">
        <f t="shared" si="12"/>
        <v>-7</v>
      </c>
      <c r="U79">
        <f t="shared" si="8"/>
        <v>165</v>
      </c>
      <c r="V79">
        <f t="shared" si="9"/>
        <v>2155</v>
      </c>
      <c r="W79" s="8">
        <f t="shared" si="10"/>
        <v>-1.7892081751962441E-2</v>
      </c>
      <c r="X79" s="1">
        <f>IF(Q79=0,(nazione[[#This Row],[nuovi_attualmente_positivi]]/nazione[[#This Row],[test_per_giorno]])*100,(nazione[[#This Row],[nuovi_attualmente_positivi]]/nazione[[#This Row],[test_per_giorno]])*100)</f>
        <v>2.5554422635737954</v>
      </c>
      <c r="Y79">
        <f>IF(nazione[[#This Row],[casi_testati]]=0,nazione[[#This Row],[tamponi]]-P78,IF(Q78=0,nazione[[#This Row],[casi_testati]]-Y78,nazione[[#This Row],[casi_testati]]-Q78))</f>
        <v>31384</v>
      </c>
      <c r="Z79" s="4">
        <f>IF(Q79=0,(nazione[[#This Row],[test_per_giorno]]/AG$3)*100,(nazione[[#This Row],[test_per_giorno]]/AG$3)*100)</f>
        <v>5.2094261864528729E-2</v>
      </c>
      <c r="AA79" s="4">
        <f>(nazione[[#This Row],[ricoverati_con_sintomi]]/nazione[[#This Row],[totale_attualmente_positivi]])*100</f>
        <v>16.343430464211991</v>
      </c>
      <c r="AB79" s="4">
        <f>(nazione[[#This Row],[terapia_intensiva]]/nazione[[#This Row],[totale_attualmente_positivi]])*100</f>
        <v>1.2325380442609573</v>
      </c>
      <c r="AC79" s="4">
        <f>((nazione[[#This Row],[totale_attualmente_positivi]]-(nazione[[#This Row],[totale_ospedalizzati]]))/nazione[[#This Row],[totale_attualmente_positivi]])*100</f>
        <v>82.424031491527046</v>
      </c>
      <c r="AD79" s="8">
        <f>(nazione[[#This Row],[Deceaded by day]]/nazione[[#This Row],[totale_attualmente_positivi]])*100</f>
        <v>0.19802217848399023</v>
      </c>
      <c r="AE79" s="8">
        <f>(nazione[[#This Row],[Deceaded by day]]/morti_per_regione!D$2) *100</f>
        <v>2.6060875045211668E-2</v>
      </c>
      <c r="AH79" t="s">
        <v>259</v>
      </c>
      <c r="AI79" t="s">
        <v>260</v>
      </c>
    </row>
    <row r="80" spans="1:35" x14ac:dyDescent="0.2">
      <c r="A80">
        <v>78</v>
      </c>
      <c r="B80" s="6">
        <v>43962.708333333336</v>
      </c>
      <c r="C80" s="1" t="s">
        <v>42</v>
      </c>
      <c r="D80">
        <v>13539</v>
      </c>
      <c r="E80">
        <v>999</v>
      </c>
      <c r="F80">
        <v>14538</v>
      </c>
      <c r="G80">
        <v>67950</v>
      </c>
      <c r="H80">
        <v>82488</v>
      </c>
      <c r="I80">
        <v>-836</v>
      </c>
      <c r="J80">
        <v>744</v>
      </c>
      <c r="K80">
        <v>106587</v>
      </c>
      <c r="L80">
        <v>30739</v>
      </c>
      <c r="O80">
        <v>219814</v>
      </c>
      <c r="P80">
        <v>2606652</v>
      </c>
      <c r="Q80">
        <v>1702283</v>
      </c>
      <c r="R80" s="1" t="s">
        <v>82</v>
      </c>
      <c r="S80" s="1">
        <f t="shared" si="11"/>
        <v>-107</v>
      </c>
      <c r="T80" s="1">
        <f t="shared" si="12"/>
        <v>-28</v>
      </c>
      <c r="U80">
        <f t="shared" si="8"/>
        <v>179</v>
      </c>
      <c r="V80">
        <f t="shared" si="9"/>
        <v>1401</v>
      </c>
      <c r="W80" s="8">
        <f t="shared" si="10"/>
        <v>-1.003312370985554E-2</v>
      </c>
      <c r="X80" s="1">
        <f>IF(Q80=0,(nazione[[#This Row],[nuovi_attualmente_positivi]]/nazione[[#This Row],[test_per_giorno]])*100,(nazione[[#This Row],[nuovi_attualmente_positivi]]/nazione[[#This Row],[test_per_giorno]])*100)</f>
        <v>2.8811524609843939</v>
      </c>
      <c r="Y80">
        <f>IF(nazione[[#This Row],[casi_testati]]=0,nazione[[#This Row],[tamponi]]-P79,IF(Q79=0,nazione[[#This Row],[casi_testati]]-Y79,nazione[[#This Row],[casi_testati]]-Q79))</f>
        <v>25823</v>
      </c>
      <c r="Z80" s="4">
        <f>IF(Q80=0,(nazione[[#This Row],[test_per_giorno]]/AG$3)*100,(nazione[[#This Row],[test_per_giorno]]/AG$3)*100)</f>
        <v>4.2863565005344294E-2</v>
      </c>
      <c r="AA80" s="4">
        <f>(nazione[[#This Row],[ricoverati_con_sintomi]]/nazione[[#This Row],[totale_attualmente_positivi]])*100</f>
        <v>16.413296479487926</v>
      </c>
      <c r="AB80" s="4">
        <f>(nazione[[#This Row],[terapia_intensiva]]/nazione[[#This Row],[totale_attualmente_positivi]])*100</f>
        <v>1.2110852487634565</v>
      </c>
      <c r="AC80" s="4">
        <f>((nazione[[#This Row],[totale_attualmente_positivi]]-(nazione[[#This Row],[totale_ospedalizzati]]))/nazione[[#This Row],[totale_attualmente_positivi]])*100</f>
        <v>82.375618271748621</v>
      </c>
      <c r="AD80" s="8">
        <f>(nazione[[#This Row],[Deceaded by day]]/nazione[[#This Row],[totale_attualmente_positivi]])*100</f>
        <v>0.21700126078944815</v>
      </c>
      <c r="AE80" s="8">
        <f>(nazione[[#This Row],[Deceaded by day]]/morti_per_regione!D$2) *100</f>
        <v>2.8272100806623571E-2</v>
      </c>
      <c r="AG80" t="s">
        <v>248</v>
      </c>
      <c r="AH80">
        <v>2.2000000000000002</v>
      </c>
      <c r="AI80">
        <v>12.7</v>
      </c>
    </row>
    <row r="81" spans="1:35" x14ac:dyDescent="0.2">
      <c r="A81">
        <v>79</v>
      </c>
      <c r="B81" s="6">
        <v>43963.708333333336</v>
      </c>
      <c r="C81" s="1" t="s">
        <v>42</v>
      </c>
      <c r="D81">
        <v>12865</v>
      </c>
      <c r="E81">
        <v>952</v>
      </c>
      <c r="F81">
        <v>13817</v>
      </c>
      <c r="G81">
        <v>67449</v>
      </c>
      <c r="H81">
        <v>81266</v>
      </c>
      <c r="I81">
        <v>-1222</v>
      </c>
      <c r="J81">
        <v>1402</v>
      </c>
      <c r="K81">
        <v>109039</v>
      </c>
      <c r="L81">
        <v>30911</v>
      </c>
      <c r="O81">
        <v>221216</v>
      </c>
      <c r="P81">
        <v>2673655</v>
      </c>
      <c r="Q81">
        <v>1741903</v>
      </c>
      <c r="R81" s="1" t="s">
        <v>108</v>
      </c>
      <c r="S81" s="1">
        <f t="shared" si="11"/>
        <v>-721</v>
      </c>
      <c r="T81" s="1">
        <f t="shared" si="12"/>
        <v>-47</v>
      </c>
      <c r="U81">
        <f t="shared" si="8"/>
        <v>172</v>
      </c>
      <c r="V81">
        <f t="shared" si="9"/>
        <v>2452</v>
      </c>
      <c r="W81" s="8">
        <f t="shared" si="10"/>
        <v>-1.4814276015905348E-2</v>
      </c>
      <c r="X81" s="1">
        <f>IF(Q81=0,(nazione[[#This Row],[nuovi_attualmente_positivi]]/nazione[[#This Row],[test_per_giorno]])*100,(nazione[[#This Row],[nuovi_attualmente_positivi]]/nazione[[#This Row],[test_per_giorno]])*100)</f>
        <v>3.5386168601716306</v>
      </c>
      <c r="Y81">
        <f>IF(nazione[[#This Row],[casi_testati]]=0,nazione[[#This Row],[tamponi]]-P80,IF(Q80=0,nazione[[#This Row],[casi_testati]]-Y80,nazione[[#This Row],[casi_testati]]-Q80))</f>
        <v>39620</v>
      </c>
      <c r="Z81" s="4">
        <f>IF(Q81=0,(nazione[[#This Row],[test_per_giorno]]/AG$3)*100,(nazione[[#This Row],[test_per_giorno]]/AG$3)*100)</f>
        <v>6.5765187836879568E-2</v>
      </c>
      <c r="AA81" s="4">
        <f>(nazione[[#This Row],[ricoverati_con_sintomi]]/nazione[[#This Row],[totale_attualmente_positivi]])*100</f>
        <v>15.830728718037063</v>
      </c>
      <c r="AB81" s="4">
        <f>(nazione[[#This Row],[terapia_intensiva]]/nazione[[#This Row],[totale_attualmente_positivi]])*100</f>
        <v>1.1714616198656265</v>
      </c>
      <c r="AC81" s="4">
        <f>((nazione[[#This Row],[totale_attualmente_positivi]]-(nazione[[#This Row],[totale_ospedalizzati]]))/nazione[[#This Row],[totale_attualmente_positivi]])*100</f>
        <v>82.99780966209731</v>
      </c>
      <c r="AD81" s="8">
        <f>(nazione[[#This Row],[Deceaded by day]]/nazione[[#This Row],[totale_attualmente_positivi]])*100</f>
        <v>0.21165062879925184</v>
      </c>
      <c r="AE81" s="8">
        <f>(nazione[[#This Row],[Deceaded by day]]/morti_per_regione!D$2) *100</f>
        <v>2.7166487925917616E-2</v>
      </c>
      <c r="AG81" t="s">
        <v>261</v>
      </c>
      <c r="AH81" s="24">
        <f>AF46*(AH80/100)</f>
        <v>1325382.0580000002</v>
      </c>
      <c r="AI81" s="24">
        <f>AF46*(AI80/100)</f>
        <v>7651069.1529999999</v>
      </c>
    </row>
    <row r="82" spans="1:35" x14ac:dyDescent="0.2">
      <c r="A82">
        <v>80</v>
      </c>
      <c r="B82" s="6">
        <v>43964.708333333336</v>
      </c>
      <c r="C82" s="1" t="s">
        <v>42</v>
      </c>
      <c r="D82">
        <v>12172</v>
      </c>
      <c r="E82">
        <v>893</v>
      </c>
      <c r="F82">
        <v>13065</v>
      </c>
      <c r="G82">
        <v>65392</v>
      </c>
      <c r="H82">
        <v>78457</v>
      </c>
      <c r="I82">
        <v>-2809</v>
      </c>
      <c r="J82">
        <v>888</v>
      </c>
      <c r="K82">
        <v>112541</v>
      </c>
      <c r="L82">
        <v>31106</v>
      </c>
      <c r="O82">
        <v>222104</v>
      </c>
      <c r="P82">
        <v>2735628</v>
      </c>
      <c r="Q82">
        <v>1778952</v>
      </c>
      <c r="R82" s="1" t="s">
        <v>82</v>
      </c>
      <c r="S82" s="1">
        <f t="shared" si="11"/>
        <v>-752</v>
      </c>
      <c r="T82" s="1">
        <f t="shared" si="12"/>
        <v>-59</v>
      </c>
      <c r="U82">
        <f t="shared" si="8"/>
        <v>195</v>
      </c>
      <c r="V82">
        <f t="shared" si="9"/>
        <v>3502</v>
      </c>
      <c r="W82" s="8">
        <f t="shared" si="10"/>
        <v>-3.4565500947505767E-2</v>
      </c>
      <c r="X82" s="1">
        <f>IF(Q82=0,(nazione[[#This Row],[nuovi_attualmente_positivi]]/nazione[[#This Row],[test_per_giorno]])*100,(nazione[[#This Row],[nuovi_attualmente_positivi]]/nazione[[#This Row],[test_per_giorno]])*100)</f>
        <v>2.3968258252584413</v>
      </c>
      <c r="Y82">
        <f>IF(nazione[[#This Row],[casi_testati]]=0,nazione[[#This Row],[tamponi]]-P81,IF(Q81=0,nazione[[#This Row],[casi_testati]]-Y81,nazione[[#This Row],[casi_testati]]-Q81))</f>
        <v>37049</v>
      </c>
      <c r="Z82" s="4">
        <f>IF(Q82=0,(nazione[[#This Row],[test_per_giorno]]/AG$3)*100,(nazione[[#This Row],[test_per_giorno]]/AG$3)*100)</f>
        <v>6.1497588192038134E-2</v>
      </c>
      <c r="AA82" s="4">
        <f>(nazione[[#This Row],[ricoverati_con_sintomi]]/nazione[[#This Row],[totale_attualmente_positivi]])*100</f>
        <v>15.51423072511057</v>
      </c>
      <c r="AB82" s="4">
        <f>(nazione[[#This Row],[terapia_intensiva]]/nazione[[#This Row],[totale_attualmente_positivi]])*100</f>
        <v>1.1382030921396435</v>
      </c>
      <c r="AC82" s="4">
        <f>((nazione[[#This Row],[totale_attualmente_positivi]]-(nazione[[#This Row],[totale_ospedalizzati]]))/nazione[[#This Row],[totale_attualmente_positivi]])*100</f>
        <v>83.347566182749787</v>
      </c>
      <c r="AD82" s="8">
        <f>(nazione[[#This Row],[Deceaded by day]]/nazione[[#This Row],[totale_attualmente_positivi]])*100</f>
        <v>0.24854378831716734</v>
      </c>
      <c r="AE82" s="8">
        <f>(nazione[[#This Row],[Deceaded by day]]/morti_per_regione!D$2) *100</f>
        <v>3.0799215962522882E-2</v>
      </c>
    </row>
    <row r="83" spans="1:35" x14ac:dyDescent="0.2">
      <c r="A83">
        <v>81</v>
      </c>
      <c r="B83" s="6">
        <v>43965.708333333336</v>
      </c>
      <c r="C83" s="1" t="s">
        <v>42</v>
      </c>
      <c r="D83">
        <v>11453</v>
      </c>
      <c r="E83">
        <v>855</v>
      </c>
      <c r="F83">
        <v>12308</v>
      </c>
      <c r="G83">
        <v>64132</v>
      </c>
      <c r="H83">
        <v>76440</v>
      </c>
      <c r="I83">
        <v>-2017</v>
      </c>
      <c r="J83">
        <v>992</v>
      </c>
      <c r="K83">
        <v>115288</v>
      </c>
      <c r="L83">
        <v>31368</v>
      </c>
      <c r="O83">
        <v>223096</v>
      </c>
      <c r="P83">
        <v>2807504</v>
      </c>
      <c r="Q83">
        <v>1820083</v>
      </c>
      <c r="R83" s="1" t="s">
        <v>109</v>
      </c>
      <c r="S83" s="1">
        <f t="shared" si="11"/>
        <v>-757</v>
      </c>
      <c r="T83" s="1">
        <f t="shared" si="12"/>
        <v>-38</v>
      </c>
      <c r="U83">
        <f t="shared" si="8"/>
        <v>262</v>
      </c>
      <c r="V83">
        <f t="shared" si="9"/>
        <v>2747</v>
      </c>
      <c r="W83" s="8">
        <f t="shared" si="10"/>
        <v>-2.5708349796703889E-2</v>
      </c>
      <c r="X83" s="1">
        <f>IF(Q83=0,(nazione[[#This Row],[nuovi_attualmente_positivi]]/nazione[[#This Row],[test_per_giorno]])*100,(nazione[[#This Row],[nuovi_attualmente_positivi]]/nazione[[#This Row],[test_per_giorno]])*100)</f>
        <v>2.411806180253337</v>
      </c>
      <c r="Y83">
        <f>IF(nazione[[#This Row],[casi_testati]]=0,nazione[[#This Row],[tamponi]]-P82,IF(Q82=0,nazione[[#This Row],[casi_testati]]-Y82,nazione[[#This Row],[casi_testati]]-Q82))</f>
        <v>41131</v>
      </c>
      <c r="Z83" s="4">
        <f>IF(Q83=0,(nazione[[#This Row],[test_per_giorno]]/AG$3)*100,(nazione[[#This Row],[test_per_giorno]]/AG$3)*100)</f>
        <v>6.8273294823793365E-2</v>
      </c>
      <c r="AA83" s="4">
        <f>(nazione[[#This Row],[ricoverati_con_sintomi]]/nazione[[#This Row],[totale_attualmente_positivi]])*100</f>
        <v>14.982993197278912</v>
      </c>
      <c r="AB83" s="4">
        <f>(nazione[[#This Row],[terapia_intensiva]]/nazione[[#This Row],[totale_attualmente_positivi]])*100</f>
        <v>1.1185243328100472</v>
      </c>
      <c r="AC83" s="4">
        <f>((nazione[[#This Row],[totale_attualmente_positivi]]-(nazione[[#This Row],[totale_ospedalizzati]]))/nazione[[#This Row],[totale_attualmente_positivi]])*100</f>
        <v>83.898482469911045</v>
      </c>
      <c r="AD83" s="8">
        <f>(nazione[[#This Row],[Deceaded by day]]/nazione[[#This Row],[totale_attualmente_positivi]])*100</f>
        <v>0.34275248560962845</v>
      </c>
      <c r="AE83" s="8">
        <f>(nazione[[#This Row],[Deceaded by day]]/morti_per_regione!D$2) *100</f>
        <v>4.1381510677851258E-2</v>
      </c>
    </row>
    <row r="84" spans="1:35" x14ac:dyDescent="0.2">
      <c r="A84">
        <v>82</v>
      </c>
      <c r="B84" s="6">
        <v>43966.708333333336</v>
      </c>
      <c r="C84" s="1" t="s">
        <v>42</v>
      </c>
      <c r="D84">
        <v>10792</v>
      </c>
      <c r="E84">
        <v>808</v>
      </c>
      <c r="F84">
        <v>11600</v>
      </c>
      <c r="G84">
        <v>60470</v>
      </c>
      <c r="H84">
        <v>72070</v>
      </c>
      <c r="I84">
        <v>-4370</v>
      </c>
      <c r="J84">
        <v>789</v>
      </c>
      <c r="K84">
        <v>120205</v>
      </c>
      <c r="L84">
        <v>31610</v>
      </c>
      <c r="O84">
        <v>223885</v>
      </c>
      <c r="P84">
        <v>2875680</v>
      </c>
      <c r="Q84">
        <v>1859110</v>
      </c>
      <c r="R84" s="1" t="s">
        <v>110</v>
      </c>
      <c r="S84" s="1">
        <f t="shared" si="11"/>
        <v>-708</v>
      </c>
      <c r="T84" s="1">
        <f t="shared" si="12"/>
        <v>-47</v>
      </c>
      <c r="U84">
        <f t="shared" si="8"/>
        <v>242</v>
      </c>
      <c r="V84">
        <f t="shared" si="9"/>
        <v>4917</v>
      </c>
      <c r="W84" s="8">
        <f t="shared" si="10"/>
        <v>-5.7169021454735791E-2</v>
      </c>
      <c r="X84" s="1">
        <f>IF(Q84=0,(nazione[[#This Row],[nuovi_attualmente_positivi]]/nazione[[#This Row],[test_per_giorno]])*100,(nazione[[#This Row],[nuovi_attualmente_positivi]]/nazione[[#This Row],[test_per_giorno]])*100)</f>
        <v>2.0216773003305404</v>
      </c>
      <c r="Y84">
        <f>IF(nazione[[#This Row],[casi_testati]]=0,nazione[[#This Row],[tamponi]]-P83,IF(Q83=0,nazione[[#This Row],[casi_testati]]-Y83,nazione[[#This Row],[casi_testati]]-Q83))</f>
        <v>39027</v>
      </c>
      <c r="Z84" s="4">
        <f>IF(Q84=0,(nazione[[#This Row],[test_per_giorno]]/AG$3)*100,(nazione[[#This Row],[test_per_giorno]]/AG$3)*100)</f>
        <v>6.4780867887680435E-2</v>
      </c>
      <c r="AA84" s="4">
        <f>(nazione[[#This Row],[ricoverati_con_sintomi]]/nazione[[#This Row],[totale_attualmente_positivi]])*100</f>
        <v>14.97433051200222</v>
      </c>
      <c r="AB84" s="4">
        <f>(nazione[[#This Row],[terapia_intensiva]]/nazione[[#This Row],[totale_attualmente_positivi]])*100</f>
        <v>1.1211322325516859</v>
      </c>
      <c r="AC84" s="4">
        <f>((nazione[[#This Row],[totale_attualmente_positivi]]-(nazione[[#This Row],[totale_ospedalizzati]]))/nazione[[#This Row],[totale_attualmente_positivi]])*100</f>
        <v>83.904537255446101</v>
      </c>
      <c r="AD84" s="8">
        <f>(nazione[[#This Row],[Deceaded by day]]/nazione[[#This Row],[totale_attualmente_positivi]])*100</f>
        <v>0.33578465380879696</v>
      </c>
      <c r="AE84" s="8">
        <f>(nazione[[#This Row],[Deceaded by day]]/morti_per_regione!D$2) *100</f>
        <v>3.822261673297711E-2</v>
      </c>
    </row>
    <row r="85" spans="1:35" x14ac:dyDescent="0.2">
      <c r="A85">
        <v>83</v>
      </c>
      <c r="B85" s="6">
        <v>43967.708333333336</v>
      </c>
      <c r="C85" s="1" t="s">
        <v>42</v>
      </c>
      <c r="D85">
        <v>10400</v>
      </c>
      <c r="E85">
        <v>775</v>
      </c>
      <c r="F85">
        <v>11175</v>
      </c>
      <c r="G85">
        <v>59012</v>
      </c>
      <c r="H85">
        <v>70187</v>
      </c>
      <c r="I85">
        <v>-1883</v>
      </c>
      <c r="J85">
        <v>875</v>
      </c>
      <c r="K85">
        <v>122810</v>
      </c>
      <c r="L85">
        <v>31763</v>
      </c>
      <c r="O85">
        <v>224760</v>
      </c>
      <c r="P85">
        <v>2944859</v>
      </c>
      <c r="Q85">
        <v>1899767</v>
      </c>
      <c r="R85" s="1" t="s">
        <v>82</v>
      </c>
      <c r="S85" s="1">
        <f t="shared" si="11"/>
        <v>-425</v>
      </c>
      <c r="T85" s="1">
        <f t="shared" si="12"/>
        <v>-33</v>
      </c>
      <c r="U85">
        <f t="shared" si="8"/>
        <v>153</v>
      </c>
      <c r="V85">
        <f t="shared" si="9"/>
        <v>2605</v>
      </c>
      <c r="W85" s="8">
        <f t="shared" si="10"/>
        <v>-2.6127376162064619E-2</v>
      </c>
      <c r="X85" s="1">
        <f>IF(Q85=0,(nazione[[#This Row],[nuovi_attualmente_positivi]]/nazione[[#This Row],[test_per_giorno]])*100,(nazione[[#This Row],[nuovi_attualmente_positivi]]/nazione[[#This Row],[test_per_giorno]])*100)</f>
        <v>2.1521509211205943</v>
      </c>
      <c r="Y85">
        <f>IF(nazione[[#This Row],[casi_testati]]=0,nazione[[#This Row],[tamponi]]-P84,IF(Q84=0,nazione[[#This Row],[casi_testati]]-Y84,nazione[[#This Row],[casi_testati]]-Q84))</f>
        <v>40657</v>
      </c>
      <c r="Z85" s="4">
        <f>IF(Q85=0,(nazione[[#This Row],[test_per_giorno]]/AG$3)*100,(nazione[[#This Row],[test_per_giorno]]/AG$3)*100)</f>
        <v>6.7486502823927624E-2</v>
      </c>
      <c r="AA85" s="4">
        <f>(nazione[[#This Row],[ricoverati_con_sintomi]]/nazione[[#This Row],[totale_attualmente_positivi]])*100</f>
        <v>14.817558807186515</v>
      </c>
      <c r="AB85" s="4">
        <f>(nazione[[#This Row],[terapia_intensiva]]/nazione[[#This Row],[totale_attualmente_positivi]])*100</f>
        <v>1.1041930841893799</v>
      </c>
      <c r="AC85" s="4">
        <f>((nazione[[#This Row],[totale_attualmente_positivi]]-(nazione[[#This Row],[totale_ospedalizzati]]))/nazione[[#This Row],[totale_attualmente_positivi]])*100</f>
        <v>84.078248108624109</v>
      </c>
      <c r="AD85" s="8">
        <f>(nazione[[#This Row],[Deceaded by day]]/nazione[[#This Row],[totale_attualmente_positivi]])*100</f>
        <v>0.21798908629803238</v>
      </c>
      <c r="AE85" s="8">
        <f>(nazione[[#This Row],[Deceaded by day]]/morti_per_regione!D$2) *100</f>
        <v>2.4165538678287184E-2</v>
      </c>
    </row>
    <row r="86" spans="1:35" x14ac:dyDescent="0.2">
      <c r="A86">
        <v>84</v>
      </c>
      <c r="B86" s="6">
        <v>43968.708333333336</v>
      </c>
      <c r="C86" s="1" t="s">
        <v>42</v>
      </c>
      <c r="D86">
        <v>10311</v>
      </c>
      <c r="E86">
        <v>762</v>
      </c>
      <c r="F86">
        <v>11073</v>
      </c>
      <c r="G86">
        <v>57278</v>
      </c>
      <c r="H86">
        <v>68351</v>
      </c>
      <c r="I86">
        <v>-1836</v>
      </c>
      <c r="J86">
        <v>675</v>
      </c>
      <c r="K86">
        <v>125176</v>
      </c>
      <c r="L86">
        <v>31908</v>
      </c>
      <c r="O86">
        <v>225435</v>
      </c>
      <c r="P86">
        <v>3004960</v>
      </c>
      <c r="Q86">
        <v>1933272</v>
      </c>
      <c r="R86" s="1" t="s">
        <v>82</v>
      </c>
      <c r="S86" s="1">
        <f t="shared" si="11"/>
        <v>-102</v>
      </c>
      <c r="T86" s="1">
        <f t="shared" si="12"/>
        <v>-13</v>
      </c>
      <c r="U86">
        <f t="shared" si="8"/>
        <v>145</v>
      </c>
      <c r="V86">
        <f t="shared" si="9"/>
        <v>2366</v>
      </c>
      <c r="W86" s="8">
        <f t="shared" si="10"/>
        <v>-2.6158690355763903E-2</v>
      </c>
      <c r="X86" s="1">
        <f>IF(Q86=0,(nazione[[#This Row],[nuovi_attualmente_positivi]]/nazione[[#This Row],[test_per_giorno]])*100,(nazione[[#This Row],[nuovi_attualmente_positivi]]/nazione[[#This Row],[test_per_giorno]])*100)</f>
        <v>2.0146246828831518</v>
      </c>
      <c r="Y86">
        <f>IF(nazione[[#This Row],[casi_testati]]=0,nazione[[#This Row],[tamponi]]-P85,IF(Q85=0,nazione[[#This Row],[casi_testati]]-Y85,nazione[[#This Row],[casi_testati]]-Q85))</f>
        <v>33505</v>
      </c>
      <c r="Z86" s="4">
        <f>IF(Q86=0,(nazione[[#This Row],[test_per_giorno]]/AG$3)*100,(nazione[[#This Row],[test_per_giorno]]/AG$3)*100)</f>
        <v>5.5614907079117863E-2</v>
      </c>
      <c r="AA86" s="4">
        <f>(nazione[[#This Row],[ricoverati_con_sintomi]]/nazione[[#This Row],[totale_attualmente_positivi]])*100</f>
        <v>15.085368173106465</v>
      </c>
      <c r="AB86" s="4">
        <f>(nazione[[#This Row],[terapia_intensiva]]/nazione[[#This Row],[totale_attualmente_positivi]])*100</f>
        <v>1.1148337259147636</v>
      </c>
      <c r="AC86" s="4">
        <f>((nazione[[#This Row],[totale_attualmente_positivi]]-(nazione[[#This Row],[totale_ospedalizzati]]))/nazione[[#This Row],[totale_attualmente_positivi]])*100</f>
        <v>83.799798100978776</v>
      </c>
      <c r="AD86" s="8">
        <f>(nazione[[#This Row],[Deceaded by day]]/nazione[[#This Row],[totale_attualmente_positivi]])*100</f>
        <v>0.21214027592866233</v>
      </c>
      <c r="AE86" s="8">
        <f>(nazione[[#This Row],[Deceaded by day]]/morti_per_regione!D$2) *100</f>
        <v>2.2901981100337528E-2</v>
      </c>
    </row>
    <row r="87" spans="1:35" x14ac:dyDescent="0.2">
      <c r="A87">
        <v>85</v>
      </c>
      <c r="B87" s="6">
        <v>43969.708333333336</v>
      </c>
      <c r="C87" s="1" t="s">
        <v>42</v>
      </c>
      <c r="D87">
        <v>10207</v>
      </c>
      <c r="E87">
        <v>749</v>
      </c>
      <c r="F87">
        <v>10956</v>
      </c>
      <c r="G87">
        <v>55597</v>
      </c>
      <c r="H87">
        <v>66553</v>
      </c>
      <c r="I87">
        <v>-1798</v>
      </c>
      <c r="J87">
        <v>451</v>
      </c>
      <c r="K87">
        <v>127326</v>
      </c>
      <c r="L87">
        <v>32007</v>
      </c>
      <c r="O87">
        <v>225886</v>
      </c>
      <c r="P87">
        <v>3041366</v>
      </c>
      <c r="Q87">
        <v>1959373</v>
      </c>
      <c r="R87" s="1" t="s">
        <v>111</v>
      </c>
      <c r="S87" s="1">
        <f t="shared" si="11"/>
        <v>-117</v>
      </c>
      <c r="T87" s="1">
        <f t="shared" si="12"/>
        <v>-13</v>
      </c>
      <c r="U87">
        <f t="shared" si="8"/>
        <v>99</v>
      </c>
      <c r="V87">
        <f t="shared" si="9"/>
        <v>2150</v>
      </c>
      <c r="W87" s="8">
        <f t="shared" si="10"/>
        <v>-2.6305394215154099E-2</v>
      </c>
      <c r="X87" s="1">
        <f>IF(Q87=0,(nazione[[#This Row],[nuovi_attualmente_positivi]]/nazione[[#This Row],[test_per_giorno]])*100,(nazione[[#This Row],[nuovi_attualmente_positivi]]/nazione[[#This Row],[test_per_giorno]])*100)</f>
        <v>1.7279031454733536</v>
      </c>
      <c r="Y87">
        <f>IF(nazione[[#This Row],[casi_testati]]=0,nazione[[#This Row],[tamponi]]-P86,IF(Q86=0,nazione[[#This Row],[casi_testati]]-Y86,nazione[[#This Row],[casi_testati]]-Q86))</f>
        <v>26101</v>
      </c>
      <c r="Z87" s="4">
        <f>IF(Q87=0,(nazione[[#This Row],[test_per_giorno]]/AG$3)*100,(nazione[[#This Row],[test_per_giorno]]/AG$3)*100)</f>
        <v>4.3325016853366816E-2</v>
      </c>
      <c r="AA87" s="4">
        <f>(nazione[[#This Row],[ricoverati_con_sintomi]]/nazione[[#This Row],[totale_attualmente_positivi]])*100</f>
        <v>15.33664898652202</v>
      </c>
      <c r="AB87" s="4">
        <f>(nazione[[#This Row],[terapia_intensiva]]/nazione[[#This Row],[totale_attualmente_positivi]])*100</f>
        <v>1.1254188391207007</v>
      </c>
      <c r="AC87" s="4">
        <f>((nazione[[#This Row],[totale_attualmente_positivi]]-(nazione[[#This Row],[totale_ospedalizzati]]))/nazione[[#This Row],[totale_attualmente_positivi]])*100</f>
        <v>83.53793217435728</v>
      </c>
      <c r="AD87" s="8">
        <f>(nazione[[#This Row],[Deceaded by day]]/nazione[[#This Row],[totale_attualmente_positivi]])*100</f>
        <v>0.14875362493050651</v>
      </c>
      <c r="AE87" s="8">
        <f>(nazione[[#This Row],[Deceaded by day]]/morti_per_regione!D$2) *100</f>
        <v>1.5636525027127E-2</v>
      </c>
    </row>
    <row r="88" spans="1:35" x14ac:dyDescent="0.2">
      <c r="A88">
        <v>86</v>
      </c>
      <c r="B88" s="6">
        <v>43970.708333333336</v>
      </c>
      <c r="C88" s="1" t="s">
        <v>42</v>
      </c>
      <c r="D88">
        <v>9991</v>
      </c>
      <c r="E88">
        <v>716</v>
      </c>
      <c r="F88">
        <v>10707</v>
      </c>
      <c r="G88">
        <v>54422</v>
      </c>
      <c r="H88">
        <v>65129</v>
      </c>
      <c r="I88">
        <v>-1424</v>
      </c>
      <c r="J88">
        <v>813</v>
      </c>
      <c r="K88">
        <v>129401</v>
      </c>
      <c r="L88">
        <v>32169</v>
      </c>
      <c r="O88">
        <v>226699</v>
      </c>
      <c r="P88">
        <v>3104524</v>
      </c>
      <c r="Q88">
        <v>1999599</v>
      </c>
      <c r="R88" s="1" t="s">
        <v>112</v>
      </c>
      <c r="S88" s="1">
        <f t="shared" si="11"/>
        <v>-249</v>
      </c>
      <c r="T88" s="1">
        <f t="shared" si="12"/>
        <v>-33</v>
      </c>
      <c r="U88">
        <f t="shared" si="8"/>
        <v>162</v>
      </c>
      <c r="V88">
        <f t="shared" si="9"/>
        <v>2075</v>
      </c>
      <c r="W88" s="8">
        <f t="shared" si="10"/>
        <v>-2.1396481000105161E-2</v>
      </c>
      <c r="X88" s="1">
        <f>IF(Q88=0,(nazione[[#This Row],[nuovi_attualmente_positivi]]/nazione[[#This Row],[test_per_giorno]])*100,(nazione[[#This Row],[nuovi_attualmente_positivi]]/nazione[[#This Row],[test_per_giorno]])*100)</f>
        <v>2.0210808929548052</v>
      </c>
      <c r="Y88">
        <f>IF(nazione[[#This Row],[casi_testati]]=0,nazione[[#This Row],[tamponi]]-P87,IF(Q87=0,nazione[[#This Row],[casi_testati]]-Y87,nazione[[#This Row],[casi_testati]]-Q87))</f>
        <v>40226</v>
      </c>
      <c r="Z88" s="4">
        <f>IF(Q88=0,(nazione[[#This Row],[test_per_giorno]]/AG$3)*100,(nazione[[#This Row],[test_per_giorno]]/AG$3)*100)</f>
        <v>6.6771086469619309E-2</v>
      </c>
      <c r="AA88" s="4">
        <f>(nazione[[#This Row],[ricoverati_con_sintomi]]/nazione[[#This Row],[totale_attualmente_positivi]])*100</f>
        <v>15.34032458658969</v>
      </c>
      <c r="AB88" s="4">
        <f>(nazione[[#This Row],[terapia_intensiva]]/nazione[[#This Row],[totale_attualmente_positivi]])*100</f>
        <v>1.0993566613950776</v>
      </c>
      <c r="AC88" s="4">
        <f>((nazione[[#This Row],[totale_attualmente_positivi]]-(nazione[[#This Row],[totale_ospedalizzati]]))/nazione[[#This Row],[totale_attualmente_positivi]])*100</f>
        <v>83.560318752015235</v>
      </c>
      <c r="AD88" s="8">
        <f>(nazione[[#This Row],[Deceaded by day]]/nazione[[#This Row],[totale_attualmente_positivi]])*100</f>
        <v>0.24873712171229406</v>
      </c>
      <c r="AE88" s="8">
        <f>(nazione[[#This Row],[Deceaded by day]]/morti_per_regione!D$2) *100</f>
        <v>2.558704095348055E-2</v>
      </c>
    </row>
    <row r="89" spans="1:35" x14ac:dyDescent="0.2">
      <c r="A89">
        <v>87</v>
      </c>
      <c r="B89" s="6">
        <v>43971.708333333336</v>
      </c>
      <c r="C89" s="1" t="s">
        <v>42</v>
      </c>
      <c r="D89">
        <v>9624</v>
      </c>
      <c r="E89">
        <v>676</v>
      </c>
      <c r="F89">
        <v>10300</v>
      </c>
      <c r="G89">
        <v>52452</v>
      </c>
      <c r="H89">
        <v>62752</v>
      </c>
      <c r="I89">
        <v>-2377</v>
      </c>
      <c r="J89">
        <v>665</v>
      </c>
      <c r="K89">
        <v>132282</v>
      </c>
      <c r="L89">
        <v>32330</v>
      </c>
      <c r="O89">
        <v>227364</v>
      </c>
      <c r="P89">
        <v>3171719</v>
      </c>
      <c r="Q89">
        <v>2038216</v>
      </c>
      <c r="R89" s="1" t="s">
        <v>82</v>
      </c>
      <c r="S89" s="1">
        <f t="shared" si="11"/>
        <v>-407</v>
      </c>
      <c r="T89" s="1">
        <f t="shared" si="12"/>
        <v>-40</v>
      </c>
      <c r="U89">
        <f t="shared" si="8"/>
        <v>161</v>
      </c>
      <c r="V89">
        <f t="shared" si="9"/>
        <v>2881</v>
      </c>
      <c r="W89" s="8">
        <f t="shared" si="10"/>
        <v>-3.6496798661118657E-2</v>
      </c>
      <c r="X89" s="1">
        <f>IF(Q89=0,(nazione[[#This Row],[nuovi_attualmente_positivi]]/nazione[[#This Row],[test_per_giorno]])*100,(nazione[[#This Row],[nuovi_attualmente_positivi]]/nazione[[#This Row],[test_per_giorno]])*100)</f>
        <v>1.7220395162752156</v>
      </c>
      <c r="Y89">
        <f>IF(nazione[[#This Row],[casi_testati]]=0,nazione[[#This Row],[tamponi]]-P88,IF(Q88=0,nazione[[#This Row],[casi_testati]]-Y88,nazione[[#This Row],[casi_testati]]-Q88))</f>
        <v>38617</v>
      </c>
      <c r="Z89" s="4">
        <f>IF(Q89=0,(nazione[[#This Row],[test_per_giorno]]/AG$3)*100,(nazione[[#This Row],[test_per_giorno]]/AG$3)*100)</f>
        <v>6.4100309406783892E-2</v>
      </c>
      <c r="AA89" s="4">
        <f>(nazione[[#This Row],[ricoverati_con_sintomi]]/nazione[[#This Row],[totale_attualmente_positivi]])*100</f>
        <v>15.336562978072413</v>
      </c>
      <c r="AB89" s="4">
        <f>(nazione[[#This Row],[terapia_intensiva]]/nazione[[#This Row],[totale_attualmente_positivi]])*100</f>
        <v>1.0772565017848037</v>
      </c>
      <c r="AC89" s="4">
        <f>((nazione[[#This Row],[totale_attualmente_positivi]]-(nazione[[#This Row],[totale_ospedalizzati]]))/nazione[[#This Row],[totale_attualmente_positivi]])*100</f>
        <v>83.58618052014279</v>
      </c>
      <c r="AD89" s="8">
        <f>(nazione[[#This Row],[Deceaded by day]]/nazione[[#This Row],[totale_attualmente_positivi]])*100</f>
        <v>0.25656552779194286</v>
      </c>
      <c r="AE89" s="8">
        <f>(nazione[[#This Row],[Deceaded by day]]/morti_per_regione!D$2) *100</f>
        <v>2.5429096256236842E-2</v>
      </c>
    </row>
    <row r="90" spans="1:35" x14ac:dyDescent="0.2">
      <c r="A90">
        <v>88</v>
      </c>
      <c r="B90" s="6">
        <v>43972.708333333336</v>
      </c>
      <c r="C90" s="1" t="s">
        <v>42</v>
      </c>
      <c r="D90">
        <v>9269</v>
      </c>
      <c r="E90">
        <v>640</v>
      </c>
      <c r="F90">
        <v>9909</v>
      </c>
      <c r="G90">
        <v>51051</v>
      </c>
      <c r="H90">
        <v>60960</v>
      </c>
      <c r="I90">
        <v>-1792</v>
      </c>
      <c r="J90">
        <v>642</v>
      </c>
      <c r="K90">
        <v>134560</v>
      </c>
      <c r="L90">
        <v>32486</v>
      </c>
      <c r="O90">
        <v>228006</v>
      </c>
      <c r="P90">
        <v>3243398</v>
      </c>
      <c r="Q90">
        <v>2078860</v>
      </c>
      <c r="R90" s="1" t="s">
        <v>82</v>
      </c>
      <c r="S90" s="1">
        <f t="shared" si="11"/>
        <v>-391</v>
      </c>
      <c r="T90" s="1">
        <f t="shared" si="12"/>
        <v>-36</v>
      </c>
      <c r="U90">
        <f t="shared" si="8"/>
        <v>156</v>
      </c>
      <c r="V90">
        <f t="shared" si="9"/>
        <v>2278</v>
      </c>
      <c r="W90" s="8">
        <f t="shared" si="10"/>
        <v>-2.8556858745538038E-2</v>
      </c>
      <c r="X90" s="1">
        <f>IF(Q90=0,(nazione[[#This Row],[nuovi_attualmente_positivi]]/nazione[[#This Row],[test_per_giorno]])*100,(nazione[[#This Row],[nuovi_attualmente_positivi]]/nazione[[#This Row],[test_per_giorno]])*100)</f>
        <v>1.5795689400649544</v>
      </c>
      <c r="Y90">
        <f>IF(nazione[[#This Row],[casi_testati]]=0,nazione[[#This Row],[tamponi]]-P89,IF(Q89=0,nazione[[#This Row],[casi_testati]]-Y89,nazione[[#This Row],[casi_testati]]-Q89))</f>
        <v>40644</v>
      </c>
      <c r="Z90" s="4">
        <f>IF(Q90=0,(nazione[[#This Row],[test_per_giorno]]/AG$3)*100,(nazione[[#This Row],[test_per_giorno]]/AG$3)*100)</f>
        <v>6.7464924140387003E-2</v>
      </c>
      <c r="AA90" s="4">
        <f>(nazione[[#This Row],[ricoverati_con_sintomi]]/nazione[[#This Row],[totale_attualmente_positivi]])*100</f>
        <v>15.20505249343832</v>
      </c>
      <c r="AB90" s="4">
        <f>(nazione[[#This Row],[terapia_intensiva]]/nazione[[#This Row],[totale_attualmente_positivi]])*100</f>
        <v>1.0498687664041995</v>
      </c>
      <c r="AC90" s="4">
        <f>((nazione[[#This Row],[totale_attualmente_positivi]]-(nazione[[#This Row],[totale_ospedalizzati]]))/nazione[[#This Row],[totale_attualmente_positivi]])*100</f>
        <v>83.745078740157481</v>
      </c>
      <c r="AD90" s="8">
        <f>(nazione[[#This Row],[Deceaded by day]]/nazione[[#This Row],[totale_attualmente_positivi]])*100</f>
        <v>0.25590551181102361</v>
      </c>
      <c r="AE90" s="8">
        <f>(nazione[[#This Row],[Deceaded by day]]/morti_per_regione!D$2) *100</f>
        <v>2.4639372770018306E-2</v>
      </c>
    </row>
    <row r="91" spans="1:35" x14ac:dyDescent="0.2">
      <c r="A91">
        <v>89</v>
      </c>
      <c r="B91" s="6">
        <v>43973.708333333336</v>
      </c>
      <c r="C91" s="1" t="s">
        <v>42</v>
      </c>
      <c r="D91">
        <v>8957</v>
      </c>
      <c r="E91">
        <v>595</v>
      </c>
      <c r="F91">
        <v>9552</v>
      </c>
      <c r="G91">
        <v>49770</v>
      </c>
      <c r="H91">
        <v>59322</v>
      </c>
      <c r="I91">
        <v>-1638</v>
      </c>
      <c r="J91">
        <v>652</v>
      </c>
      <c r="K91">
        <v>136720</v>
      </c>
      <c r="L91">
        <v>32616</v>
      </c>
      <c r="O91">
        <v>228658</v>
      </c>
      <c r="P91">
        <v>3318778</v>
      </c>
      <c r="Q91">
        <v>2121847</v>
      </c>
      <c r="R91" s="1" t="s">
        <v>82</v>
      </c>
      <c r="S91" s="1">
        <f t="shared" si="11"/>
        <v>-357</v>
      </c>
      <c r="T91" s="1">
        <f t="shared" si="12"/>
        <v>-45</v>
      </c>
      <c r="U91">
        <f t="shared" si="8"/>
        <v>130</v>
      </c>
      <c r="V91">
        <f t="shared" si="9"/>
        <v>2160</v>
      </c>
      <c r="W91" s="8">
        <f t="shared" si="10"/>
        <v>-2.6870078740157455E-2</v>
      </c>
      <c r="X91" s="1">
        <f>IF(Q91=0,(nazione[[#This Row],[nuovi_attualmente_positivi]]/nazione[[#This Row],[test_per_giorno]])*100,(nazione[[#This Row],[nuovi_attualmente_positivi]]/nazione[[#This Row],[test_per_giorno]])*100)</f>
        <v>1.5167376183497336</v>
      </c>
      <c r="Y91">
        <f>IF(nazione[[#This Row],[casi_testati]]=0,nazione[[#This Row],[tamponi]]-P90,IF(Q90=0,nazione[[#This Row],[casi_testati]]-Y90,nazione[[#This Row],[casi_testati]]-Q90))</f>
        <v>42987</v>
      </c>
      <c r="Z91" s="4">
        <f>IF(Q91=0,(nazione[[#This Row],[test_per_giorno]]/AG$3)*100,(nazione[[#This Row],[test_per_giorno]]/AG$3)*100)</f>
        <v>7.1354066873900598E-2</v>
      </c>
      <c r="AA91" s="4">
        <f>(nazione[[#This Row],[ricoverati_con_sintomi]]/nazione[[#This Row],[totale_attualmente_positivi]])*100</f>
        <v>15.098951485115133</v>
      </c>
      <c r="AB91" s="4">
        <f>(nazione[[#This Row],[terapia_intensiva]]/nazione[[#This Row],[totale_attualmente_positivi]])*100</f>
        <v>1.0030005731431848</v>
      </c>
      <c r="AC91" s="4">
        <f>((nazione[[#This Row],[totale_attualmente_positivi]]-(nazione[[#This Row],[totale_ospedalizzati]]))/nazione[[#This Row],[totale_attualmente_positivi]])*100</f>
        <v>83.89804794174168</v>
      </c>
      <c r="AD91" s="8">
        <f>(nazione[[#This Row],[Deceaded by day]]/nazione[[#This Row],[totale_attualmente_positivi]])*100</f>
        <v>0.21914298236741847</v>
      </c>
      <c r="AE91" s="8">
        <f>(nazione[[#This Row],[Deceaded by day]]/morti_per_regione!D$2) *100</f>
        <v>2.0532810641681921E-2</v>
      </c>
    </row>
    <row r="92" spans="1:35" x14ac:dyDescent="0.2">
      <c r="A92">
        <v>90</v>
      </c>
      <c r="B92" s="6">
        <v>43974.708333333336</v>
      </c>
      <c r="C92" s="1" t="s">
        <v>42</v>
      </c>
      <c r="D92">
        <v>8695</v>
      </c>
      <c r="E92">
        <v>572</v>
      </c>
      <c r="F92">
        <v>9267</v>
      </c>
      <c r="G92">
        <v>48485</v>
      </c>
      <c r="H92">
        <v>57752</v>
      </c>
      <c r="I92">
        <v>-1570</v>
      </c>
      <c r="J92">
        <v>669</v>
      </c>
      <c r="K92">
        <v>138840</v>
      </c>
      <c r="L92">
        <v>32735</v>
      </c>
      <c r="O92">
        <v>229327</v>
      </c>
      <c r="P92">
        <v>3391188</v>
      </c>
      <c r="Q92">
        <v>2164426</v>
      </c>
      <c r="R92" s="1" t="s">
        <v>82</v>
      </c>
      <c r="S92" s="1">
        <f t="shared" si="11"/>
        <v>-285</v>
      </c>
      <c r="T92" s="1">
        <f t="shared" si="12"/>
        <v>-23</v>
      </c>
      <c r="U92">
        <f t="shared" si="8"/>
        <v>119</v>
      </c>
      <c r="V92">
        <f t="shared" si="9"/>
        <v>2120</v>
      </c>
      <c r="W92" s="8">
        <f t="shared" si="10"/>
        <v>-2.6465729408988281E-2</v>
      </c>
      <c r="X92" s="1">
        <f>IF(Q92=0,(nazione[[#This Row],[nuovi_attualmente_positivi]]/nazione[[#This Row],[test_per_giorno]])*100,(nazione[[#This Row],[nuovi_attualmente_positivi]]/nazione[[#This Row],[test_per_giorno]])*100)</f>
        <v>1.5711970689776651</v>
      </c>
      <c r="Y92">
        <f>IF(nazione[[#This Row],[casi_testati]]=0,nazione[[#This Row],[tamponi]]-P91,IF(Q91=0,nazione[[#This Row],[casi_testati]]-Y91,nazione[[#This Row],[casi_testati]]-Q91))</f>
        <v>42579</v>
      </c>
      <c r="Z92" s="4">
        <f>IF(Q92=0,(nazione[[#This Row],[test_per_giorno]]/AG$3)*100,(nazione[[#This Row],[test_per_giorno]]/AG$3)*100)</f>
        <v>7.0676828190471858E-2</v>
      </c>
      <c r="AA92" s="4">
        <f>(nazione[[#This Row],[ricoverati_con_sintomi]]/nazione[[#This Row],[totale_attualmente_positivi]])*100</f>
        <v>15.055755644826153</v>
      </c>
      <c r="AB92" s="4">
        <f>(nazione[[#This Row],[terapia_intensiva]]/nazione[[#This Row],[totale_attualmente_positivi]])*100</f>
        <v>0.99044188945837364</v>
      </c>
      <c r="AC92" s="4">
        <f>((nazione[[#This Row],[totale_attualmente_positivi]]-(nazione[[#This Row],[totale_ospedalizzati]]))/nazione[[#This Row],[totale_attualmente_positivi]])*100</f>
        <v>83.953802465715484</v>
      </c>
      <c r="AD92" s="8">
        <f>(nazione[[#This Row],[Deceaded by day]]/nazione[[#This Row],[totale_attualmente_positivi]])*100</f>
        <v>0.20605347000969662</v>
      </c>
      <c r="AE92" s="8">
        <f>(nazione[[#This Row],[Deceaded by day]]/morti_per_regione!D$2) *100</f>
        <v>1.8795418972001144E-2</v>
      </c>
    </row>
    <row r="93" spans="1:35" x14ac:dyDescent="0.2">
      <c r="A93">
        <v>91</v>
      </c>
      <c r="B93" s="6">
        <v>43975.708333333336</v>
      </c>
      <c r="C93" s="1" t="s">
        <v>42</v>
      </c>
      <c r="D93">
        <v>8613</v>
      </c>
      <c r="E93">
        <v>553</v>
      </c>
      <c r="F93">
        <v>9166</v>
      </c>
      <c r="G93">
        <v>47428</v>
      </c>
      <c r="H93">
        <v>56594</v>
      </c>
      <c r="I93">
        <v>-1158</v>
      </c>
      <c r="J93">
        <v>531</v>
      </c>
      <c r="K93">
        <v>140479</v>
      </c>
      <c r="L93">
        <v>32785</v>
      </c>
      <c r="O93">
        <v>229858</v>
      </c>
      <c r="P93">
        <v>3447012</v>
      </c>
      <c r="Q93">
        <v>2198632</v>
      </c>
      <c r="R93" s="1" t="s">
        <v>113</v>
      </c>
      <c r="S93" s="1">
        <f t="shared" si="11"/>
        <v>-101</v>
      </c>
      <c r="T93" s="1">
        <f t="shared" si="12"/>
        <v>-19</v>
      </c>
      <c r="U93">
        <f t="shared" si="8"/>
        <v>50</v>
      </c>
      <c r="V93">
        <f t="shared" si="9"/>
        <v>1639</v>
      </c>
      <c r="W93" s="8">
        <f t="shared" si="10"/>
        <v>-2.005125363623772E-2</v>
      </c>
      <c r="X93" s="1">
        <f>IF(Q93=0,(nazione[[#This Row],[nuovi_attualmente_positivi]]/nazione[[#This Row],[test_per_giorno]])*100,(nazione[[#This Row],[nuovi_attualmente_positivi]]/nazione[[#This Row],[test_per_giorno]])*100)</f>
        <v>1.5523592352218909</v>
      </c>
      <c r="Y93">
        <f>IF(nazione[[#This Row],[casi_testati]]=0,nazione[[#This Row],[tamponi]]-P92,IF(Q92=0,nazione[[#This Row],[casi_testati]]-Y92,nazione[[#This Row],[casi_testati]]-Q92))</f>
        <v>34206</v>
      </c>
      <c r="Z93" s="4">
        <f>IF(Q93=0,(nazione[[#This Row],[test_per_giorno]]/AG$3)*100,(nazione[[#This Row],[test_per_giorno]]/AG$3)*100)</f>
        <v>5.6778496091577542E-2</v>
      </c>
      <c r="AA93" s="4">
        <f>(nazione[[#This Row],[ricoverati_con_sintomi]]/nazione[[#This Row],[totale_attualmente_positivi]])*100</f>
        <v>15.218927801533733</v>
      </c>
      <c r="AB93" s="4">
        <f>(nazione[[#This Row],[terapia_intensiva]]/nazione[[#This Row],[totale_attualmente_positivi]])*100</f>
        <v>0.97713538537654165</v>
      </c>
      <c r="AC93" s="4">
        <f>((nazione[[#This Row],[totale_attualmente_positivi]]-(nazione[[#This Row],[totale_ospedalizzati]]))/nazione[[#This Row],[totale_attualmente_positivi]])*100</f>
        <v>83.803936813089734</v>
      </c>
      <c r="AD93" s="8">
        <f>(nazione[[#This Row],[Deceaded by day]]/nazione[[#This Row],[totale_attualmente_positivi]])*100</f>
        <v>8.834858818956072E-2</v>
      </c>
      <c r="AE93" s="8">
        <f>(nazione[[#This Row],[Deceaded by day]]/morti_per_regione!D$2) *100</f>
        <v>7.8972348621853539E-3</v>
      </c>
    </row>
    <row r="94" spans="1:35" x14ac:dyDescent="0.2">
      <c r="A94">
        <v>92</v>
      </c>
      <c r="B94" s="6">
        <v>43976.708333333336</v>
      </c>
      <c r="C94" s="1" t="s">
        <v>42</v>
      </c>
      <c r="D94">
        <v>8185</v>
      </c>
      <c r="E94">
        <v>541</v>
      </c>
      <c r="F94">
        <v>8726</v>
      </c>
      <c r="G94">
        <v>46574</v>
      </c>
      <c r="H94">
        <v>55300</v>
      </c>
      <c r="I94">
        <v>-1294</v>
      </c>
      <c r="J94">
        <v>300</v>
      </c>
      <c r="K94">
        <v>141981</v>
      </c>
      <c r="L94">
        <v>32877</v>
      </c>
      <c r="O94">
        <v>230158</v>
      </c>
      <c r="P94">
        <v>3482253</v>
      </c>
      <c r="Q94">
        <v>2219308</v>
      </c>
      <c r="R94" s="1" t="s">
        <v>114</v>
      </c>
      <c r="S94" s="1">
        <f t="shared" si="11"/>
        <v>-440</v>
      </c>
      <c r="T94" s="1">
        <f t="shared" si="12"/>
        <v>-12</v>
      </c>
      <c r="U94">
        <f t="shared" si="8"/>
        <v>92</v>
      </c>
      <c r="V94">
        <f t="shared" si="9"/>
        <v>1502</v>
      </c>
      <c r="W94" s="8">
        <f t="shared" si="10"/>
        <v>-2.2864614623458346E-2</v>
      </c>
      <c r="X94" s="1">
        <f>IF(Q94=0,(nazione[[#This Row],[nuovi_attualmente_positivi]]/nazione[[#This Row],[test_per_giorno]])*100,(nazione[[#This Row],[nuovi_attualmente_positivi]]/nazione[[#This Row],[test_per_giorno]])*100)</f>
        <v>1.4509576320371445</v>
      </c>
      <c r="Y94">
        <f>IF(nazione[[#This Row],[casi_testati]]=0,nazione[[#This Row],[tamponi]]-P93,IF(Q93=0,nazione[[#This Row],[casi_testati]]-Y93,nazione[[#This Row],[casi_testati]]-Q93))</f>
        <v>20676</v>
      </c>
      <c r="Z94" s="4">
        <f>IF(Q94=0,(nazione[[#This Row],[test_per_giorno]]/AG$3)*100,(nazione[[#This Row],[test_per_giorno]]/AG$3)*100)</f>
        <v>3.432006622199197E-2</v>
      </c>
      <c r="AA94" s="4">
        <f>(nazione[[#This Row],[ricoverati_con_sintomi]]/nazione[[#This Row],[totale_attualmente_positivi]])*100</f>
        <v>14.801084990958408</v>
      </c>
      <c r="AB94" s="4">
        <f>(nazione[[#This Row],[terapia_intensiva]]/nazione[[#This Row],[totale_attualmente_positivi]])*100</f>
        <v>0.97830018083182646</v>
      </c>
      <c r="AC94" s="4">
        <f>((nazione[[#This Row],[totale_attualmente_positivi]]-(nazione[[#This Row],[totale_ospedalizzati]]))/nazione[[#This Row],[totale_attualmente_positivi]])*100</f>
        <v>84.220614828209762</v>
      </c>
      <c r="AD94" s="8">
        <f>(nazione[[#This Row],[Deceaded by day]]/nazione[[#This Row],[totale_attualmente_positivi]])*100</f>
        <v>0.16636528028933092</v>
      </c>
      <c r="AE94" s="8">
        <f>(nazione[[#This Row],[Deceaded by day]]/morti_per_regione!D$2) *100</f>
        <v>1.4530912146421052E-2</v>
      </c>
    </row>
    <row r="95" spans="1:35" x14ac:dyDescent="0.2">
      <c r="A95">
        <v>93</v>
      </c>
      <c r="B95" s="6">
        <v>43977.708333333336</v>
      </c>
      <c r="C95" s="1" t="s">
        <v>42</v>
      </c>
      <c r="D95">
        <v>7917</v>
      </c>
      <c r="E95">
        <v>521</v>
      </c>
      <c r="F95">
        <v>8438</v>
      </c>
      <c r="G95">
        <v>44504</v>
      </c>
      <c r="H95">
        <v>52942</v>
      </c>
      <c r="I95">
        <v>-2358</v>
      </c>
      <c r="J95">
        <v>397</v>
      </c>
      <c r="K95">
        <v>144658</v>
      </c>
      <c r="L95">
        <v>32955</v>
      </c>
      <c r="O95">
        <v>230555</v>
      </c>
      <c r="P95">
        <v>3539927</v>
      </c>
      <c r="Q95">
        <v>2253252</v>
      </c>
      <c r="R95" s="1" t="s">
        <v>82</v>
      </c>
      <c r="S95" s="1">
        <f t="shared" si="11"/>
        <v>-288</v>
      </c>
      <c r="T95" s="1">
        <f t="shared" si="12"/>
        <v>-20</v>
      </c>
      <c r="U95">
        <f t="shared" si="8"/>
        <v>78</v>
      </c>
      <c r="V95">
        <f t="shared" si="9"/>
        <v>2677</v>
      </c>
      <c r="W95" s="8">
        <f t="shared" si="10"/>
        <v>-4.2640144665461066E-2</v>
      </c>
      <c r="X95" s="1">
        <f>IF(Q95=0,(nazione[[#This Row],[nuovi_attualmente_positivi]]/nazione[[#This Row],[test_per_giorno]])*100,(nazione[[#This Row],[nuovi_attualmente_positivi]]/nazione[[#This Row],[test_per_giorno]])*100)</f>
        <v>1.1695734150365309</v>
      </c>
      <c r="Y95">
        <f>IF(nazione[[#This Row],[casi_testati]]=0,nazione[[#This Row],[tamponi]]-P94,IF(Q94=0,nazione[[#This Row],[casi_testati]]-Y94,nazione[[#This Row],[casi_testati]]-Q94))</f>
        <v>33944</v>
      </c>
      <c r="Z95" s="4">
        <f>IF(Q95=0,(nazione[[#This Row],[test_per_giorno]]/AG$3)*100,(nazione[[#This Row],[test_per_giorno]]/AG$3)*100)</f>
        <v>5.6343602623297323E-2</v>
      </c>
      <c r="AA95" s="4">
        <f>(nazione[[#This Row],[ricoverati_con_sintomi]]/nazione[[#This Row],[totale_attualmente_positivi]])*100</f>
        <v>14.954100713988893</v>
      </c>
      <c r="AB95" s="4">
        <f>(nazione[[#This Row],[terapia_intensiva]]/nazione[[#This Row],[totale_attualmente_positivi]])*100</f>
        <v>0.98409580295417631</v>
      </c>
      <c r="AC95" s="4">
        <f>((nazione[[#This Row],[totale_attualmente_positivi]]-(nazione[[#This Row],[totale_ospedalizzati]]))/nazione[[#This Row],[totale_attualmente_positivi]])*100</f>
        <v>84.061803483056934</v>
      </c>
      <c r="AD95" s="8">
        <f>(nazione[[#This Row],[Deceaded by day]]/nazione[[#This Row],[totale_attualmente_positivi]])*100</f>
        <v>0.14733104151713197</v>
      </c>
      <c r="AE95" s="8">
        <f>(nazione[[#This Row],[Deceaded by day]]/morti_per_regione!D$2) *100</f>
        <v>1.2319686385009153E-2</v>
      </c>
    </row>
    <row r="96" spans="1:35" x14ac:dyDescent="0.2">
      <c r="A96">
        <v>94</v>
      </c>
      <c r="B96" s="6">
        <v>43978.708333333336</v>
      </c>
      <c r="C96" s="1" t="s">
        <v>42</v>
      </c>
      <c r="D96">
        <v>7729</v>
      </c>
      <c r="E96">
        <v>505</v>
      </c>
      <c r="F96">
        <v>8234</v>
      </c>
      <c r="G96">
        <v>42732</v>
      </c>
      <c r="H96">
        <v>50966</v>
      </c>
      <c r="I96">
        <v>-1976</v>
      </c>
      <c r="J96">
        <v>584</v>
      </c>
      <c r="K96">
        <v>147101</v>
      </c>
      <c r="L96">
        <v>33072</v>
      </c>
      <c r="O96">
        <v>231139</v>
      </c>
      <c r="P96">
        <v>3607251</v>
      </c>
      <c r="Q96">
        <v>2290551</v>
      </c>
      <c r="R96" s="1" t="s">
        <v>82</v>
      </c>
      <c r="S96" s="1">
        <f t="shared" si="11"/>
        <v>-204</v>
      </c>
      <c r="T96" s="1">
        <f t="shared" si="12"/>
        <v>-16</v>
      </c>
      <c r="U96">
        <f t="shared" si="8"/>
        <v>117</v>
      </c>
      <c r="V96">
        <f t="shared" si="9"/>
        <v>2443</v>
      </c>
      <c r="W96" s="8">
        <f t="shared" si="10"/>
        <v>-3.7323863851006722E-2</v>
      </c>
      <c r="X96" s="1">
        <f>IF(Q96=0,(nazione[[#This Row],[nuovi_attualmente_positivi]]/nazione[[#This Row],[test_per_giorno]])*100,(nazione[[#This Row],[nuovi_attualmente_positivi]]/nazione[[#This Row],[test_per_giorno]])*100)</f>
        <v>1.5657256226708489</v>
      </c>
      <c r="Y96">
        <f>IF(nazione[[#This Row],[casi_testati]]=0,nazione[[#This Row],[tamponi]]-P95,IF(Q95=0,nazione[[#This Row],[casi_testati]]-Y95,nazione[[#This Row],[casi_testati]]-Q95))</f>
        <v>37299</v>
      </c>
      <c r="Z96" s="4">
        <f>IF(Q96=0,(nazione[[#This Row],[test_per_giorno]]/AG$3)*100,(nazione[[#This Row],[test_per_giorno]]/AG$3)*100)</f>
        <v>6.1912562875511633E-2</v>
      </c>
      <c r="AA96" s="4">
        <f>(nazione[[#This Row],[ricoverati_con_sintomi]]/nazione[[#This Row],[totale_attualmente_positivi]])*100</f>
        <v>15.165011968763489</v>
      </c>
      <c r="AB96" s="4">
        <f>(nazione[[#This Row],[terapia_intensiva]]/nazione[[#This Row],[totale_attualmente_positivi]])*100</f>
        <v>0.9908566495310599</v>
      </c>
      <c r="AC96" s="4">
        <f>((nazione[[#This Row],[totale_attualmente_positivi]]-(nazione[[#This Row],[totale_ospedalizzati]]))/nazione[[#This Row],[totale_attualmente_positivi]])*100</f>
        <v>83.844131381705452</v>
      </c>
      <c r="AD96" s="8">
        <f>(nazione[[#This Row],[Deceaded by day]]/nazione[[#This Row],[totale_attualmente_positivi]])*100</f>
        <v>0.22956480791115644</v>
      </c>
      <c r="AE96" s="8">
        <f>(nazione[[#This Row],[Deceaded by day]]/morti_per_regione!D$2) *100</f>
        <v>1.8479529577513729E-2</v>
      </c>
    </row>
    <row r="97" spans="1:31" x14ac:dyDescent="0.2">
      <c r="A97">
        <v>95</v>
      </c>
      <c r="B97" s="6">
        <v>43979.708333333336</v>
      </c>
      <c r="C97" s="1" t="s">
        <v>42</v>
      </c>
      <c r="D97">
        <v>7379</v>
      </c>
      <c r="E97">
        <v>489</v>
      </c>
      <c r="F97">
        <v>7868</v>
      </c>
      <c r="G97">
        <v>40118</v>
      </c>
      <c r="H97">
        <v>47986</v>
      </c>
      <c r="I97">
        <v>-2980</v>
      </c>
      <c r="J97">
        <v>593</v>
      </c>
      <c r="K97">
        <v>150604</v>
      </c>
      <c r="L97">
        <v>33142</v>
      </c>
      <c r="O97">
        <v>231732</v>
      </c>
      <c r="P97">
        <v>3683144</v>
      </c>
      <c r="Q97">
        <v>2330389</v>
      </c>
      <c r="R97" s="1" t="s">
        <v>82</v>
      </c>
      <c r="S97" s="1">
        <f t="shared" si="11"/>
        <v>-366</v>
      </c>
      <c r="T97" s="1">
        <f t="shared" si="12"/>
        <v>-16</v>
      </c>
      <c r="U97">
        <f t="shared" si="8"/>
        <v>70</v>
      </c>
      <c r="V97">
        <f t="shared" si="9"/>
        <v>3503</v>
      </c>
      <c r="W97" s="8">
        <f t="shared" si="10"/>
        <v>-5.847035278420909E-2</v>
      </c>
      <c r="X97" s="1">
        <f>IF(Q97=0,(nazione[[#This Row],[nuovi_attualmente_positivi]]/nazione[[#This Row],[test_per_giorno]])*100,(nazione[[#This Row],[nuovi_attualmente_positivi]]/nazione[[#This Row],[test_per_giorno]])*100)</f>
        <v>1.4885285405893871</v>
      </c>
      <c r="Y97">
        <f>IF(nazione[[#This Row],[casi_testati]]=0,nazione[[#This Row],[tamponi]]-P96,IF(Q96=0,nazione[[#This Row],[casi_testati]]-Y96,nazione[[#This Row],[casi_testati]]-Q96))</f>
        <v>39838</v>
      </c>
      <c r="Z97" s="4">
        <f>IF(Q97=0,(nazione[[#This Row],[test_per_giorno]]/AG$3)*100,(nazione[[#This Row],[test_per_giorno]]/AG$3)*100)</f>
        <v>6.6127045760868447E-2</v>
      </c>
      <c r="AA97" s="4">
        <f>(nazione[[#This Row],[ricoverati_con_sintomi]]/nazione[[#This Row],[totale_attualmente_positivi]])*100</f>
        <v>15.377401742174801</v>
      </c>
      <c r="AB97" s="4">
        <f>(nazione[[#This Row],[terapia_intensiva]]/nazione[[#This Row],[totale_attualmente_positivi]])*100</f>
        <v>1.0190472221064477</v>
      </c>
      <c r="AC97" s="4">
        <f>((nazione[[#This Row],[totale_attualmente_positivi]]-(nazione[[#This Row],[totale_ospedalizzati]]))/nazione[[#This Row],[totale_attualmente_positivi]])*100</f>
        <v>83.603551035718752</v>
      </c>
      <c r="AD97" s="8">
        <f>(nazione[[#This Row],[Deceaded by day]]/nazione[[#This Row],[totale_attualmente_positivi]])*100</f>
        <v>0.14587588046513567</v>
      </c>
      <c r="AE97" s="8">
        <f>(nazione[[#This Row],[Deceaded by day]]/morti_per_regione!D$2) *100</f>
        <v>1.1056128807059497E-2</v>
      </c>
    </row>
    <row r="98" spans="1:31" x14ac:dyDescent="0.2">
      <c r="A98">
        <v>96</v>
      </c>
      <c r="B98" s="6">
        <v>43980.708333333336</v>
      </c>
      <c r="C98" s="1" t="s">
        <v>42</v>
      </c>
      <c r="D98">
        <v>7094</v>
      </c>
      <c r="E98">
        <v>475</v>
      </c>
      <c r="F98">
        <v>7569</v>
      </c>
      <c r="G98">
        <v>38606</v>
      </c>
      <c r="H98">
        <v>46175</v>
      </c>
      <c r="I98">
        <v>-1811</v>
      </c>
      <c r="J98">
        <v>516</v>
      </c>
      <c r="K98">
        <v>152844</v>
      </c>
      <c r="L98">
        <v>33229</v>
      </c>
      <c r="O98">
        <v>232248</v>
      </c>
      <c r="P98">
        <v>3755279</v>
      </c>
      <c r="Q98">
        <v>2368622</v>
      </c>
      <c r="R98" s="1" t="s">
        <v>115</v>
      </c>
      <c r="S98" s="1">
        <f t="shared" si="11"/>
        <v>-299</v>
      </c>
      <c r="T98" s="1">
        <f t="shared" si="12"/>
        <v>-14</v>
      </c>
      <c r="U98">
        <f t="shared" si="8"/>
        <v>87</v>
      </c>
      <c r="V98">
        <f t="shared" si="9"/>
        <v>2240</v>
      </c>
      <c r="W98" s="8">
        <f t="shared" si="10"/>
        <v>-3.7740174217480105E-2</v>
      </c>
      <c r="X98" s="1">
        <f>IF(Q98=0,(nazione[[#This Row],[nuovi_attualmente_positivi]]/nazione[[#This Row],[test_per_giorno]])*100,(nazione[[#This Row],[nuovi_attualmente_positivi]]/nazione[[#This Row],[test_per_giorno]])*100)</f>
        <v>1.3496194387047837</v>
      </c>
      <c r="Y98">
        <f>IF(nazione[[#This Row],[casi_testati]]=0,nazione[[#This Row],[tamponi]]-P97,IF(Q97=0,nazione[[#This Row],[casi_testati]]-Y97,nazione[[#This Row],[casi_testati]]-Q97))</f>
        <v>38233</v>
      </c>
      <c r="Z98" s="4">
        <f>IF(Q98=0,(nazione[[#This Row],[test_per_giorno]]/AG$3)*100,(nazione[[#This Row],[test_per_giorno]]/AG$3)*100)</f>
        <v>6.3462908292968606E-2</v>
      </c>
      <c r="AA98" s="4">
        <f>(nazione[[#This Row],[ricoverati_con_sintomi]]/nazione[[#This Row],[totale_attualmente_positivi]])*100</f>
        <v>15.363291824580399</v>
      </c>
      <c r="AB98" s="4">
        <f>(nazione[[#This Row],[terapia_intensiva]]/nazione[[#This Row],[totale_attualmente_positivi]])*100</f>
        <v>1.028695181375203</v>
      </c>
      <c r="AC98" s="4">
        <f>((nazione[[#This Row],[totale_attualmente_positivi]]-(nazione[[#This Row],[totale_ospedalizzati]]))/nazione[[#This Row],[totale_attualmente_positivi]])*100</f>
        <v>83.608012994044401</v>
      </c>
      <c r="AD98" s="8">
        <f>(nazione[[#This Row],[Deceaded by day]]/nazione[[#This Row],[totale_attualmente_positivi]])*100</f>
        <v>0.18841364374661615</v>
      </c>
      <c r="AE98" s="8">
        <f>(nazione[[#This Row],[Deceaded by day]]/morti_per_regione!D$2) *100</f>
        <v>1.3741188660202516E-2</v>
      </c>
    </row>
    <row r="99" spans="1:31" x14ac:dyDescent="0.2">
      <c r="A99">
        <v>97</v>
      </c>
      <c r="B99" s="6">
        <v>43981.708333333336</v>
      </c>
      <c r="C99" s="1" t="s">
        <v>42</v>
      </c>
      <c r="D99">
        <v>6680</v>
      </c>
      <c r="E99">
        <v>450</v>
      </c>
      <c r="F99">
        <v>7130</v>
      </c>
      <c r="G99">
        <v>36561</v>
      </c>
      <c r="H99">
        <v>43691</v>
      </c>
      <c r="I99">
        <v>-2484</v>
      </c>
      <c r="J99">
        <v>416</v>
      </c>
      <c r="K99">
        <v>155633</v>
      </c>
      <c r="L99">
        <v>33340</v>
      </c>
      <c r="O99">
        <v>232664</v>
      </c>
      <c r="P99">
        <v>3824621</v>
      </c>
      <c r="Q99">
        <v>2404673</v>
      </c>
      <c r="R99" s="1" t="s">
        <v>116</v>
      </c>
      <c r="S99" s="1">
        <f t="shared" si="11"/>
        <v>-439</v>
      </c>
      <c r="T99" s="1">
        <f t="shared" si="12"/>
        <v>-25</v>
      </c>
      <c r="U99">
        <f t="shared" si="8"/>
        <v>111</v>
      </c>
      <c r="V99">
        <f t="shared" si="9"/>
        <v>2789</v>
      </c>
      <c r="W99" s="8">
        <f t="shared" si="10"/>
        <v>-5.3795343800758011E-2</v>
      </c>
      <c r="X99" s="1">
        <f>IF(Q99=0,(nazione[[#This Row],[nuovi_attualmente_positivi]]/nazione[[#This Row],[test_per_giorno]])*100,(nazione[[#This Row],[nuovi_attualmente_positivi]]/nazione[[#This Row],[test_per_giorno]])*100)</f>
        <v>1.1539208343735265</v>
      </c>
      <c r="Y99">
        <f>IF(nazione[[#This Row],[casi_testati]]=0,nazione[[#This Row],[tamponi]]-P98,IF(Q98=0,nazione[[#This Row],[casi_testati]]-Y98,nazione[[#This Row],[casi_testati]]-Q98))</f>
        <v>36051</v>
      </c>
      <c r="Z99" s="4">
        <f>IF(Q99=0,(nazione[[#This Row],[test_per_giorno]]/AG$3)*100,(nazione[[#This Row],[test_per_giorno]]/AG$3)*100)</f>
        <v>5.9841009255611942E-2</v>
      </c>
      <c r="AA99" s="4">
        <f>(nazione[[#This Row],[ricoverati_con_sintomi]]/nazione[[#This Row],[totale_attualmente_positivi]])*100</f>
        <v>15.289189993362479</v>
      </c>
      <c r="AB99" s="4">
        <f>(nazione[[#This Row],[terapia_intensiva]]/nazione[[#This Row],[totale_attualmente_positivi]])*100</f>
        <v>1.0299604037444783</v>
      </c>
      <c r="AC99" s="4">
        <f>((nazione[[#This Row],[totale_attualmente_positivi]]-(nazione[[#This Row],[totale_ospedalizzati]]))/nazione[[#This Row],[totale_attualmente_positivi]])*100</f>
        <v>83.680849602893048</v>
      </c>
      <c r="AD99" s="8">
        <f>(nazione[[#This Row],[Deceaded by day]]/nazione[[#This Row],[totale_attualmente_positivi]])*100</f>
        <v>0.25405689959030464</v>
      </c>
      <c r="AE99" s="8">
        <f>(nazione[[#This Row],[Deceaded by day]]/morti_per_regione!D$2) *100</f>
        <v>1.7531861394051489E-2</v>
      </c>
    </row>
    <row r="100" spans="1:31" x14ac:dyDescent="0.2">
      <c r="A100">
        <v>98</v>
      </c>
      <c r="B100" s="6">
        <v>43982.708333333336</v>
      </c>
      <c r="C100" s="1" t="s">
        <v>42</v>
      </c>
      <c r="D100">
        <v>6387</v>
      </c>
      <c r="E100">
        <v>435</v>
      </c>
      <c r="F100">
        <v>6822</v>
      </c>
      <c r="G100">
        <v>35275</v>
      </c>
      <c r="H100">
        <v>42097</v>
      </c>
      <c r="I100">
        <v>-1594</v>
      </c>
      <c r="J100">
        <v>355</v>
      </c>
      <c r="K100">
        <v>157507</v>
      </c>
      <c r="L100">
        <v>33415</v>
      </c>
      <c r="O100">
        <v>233019</v>
      </c>
      <c r="P100">
        <v>3878739</v>
      </c>
      <c r="Q100">
        <v>2433621</v>
      </c>
      <c r="R100" s="1" t="s">
        <v>117</v>
      </c>
      <c r="S100" s="1">
        <f t="shared" si="11"/>
        <v>-308</v>
      </c>
      <c r="T100" s="1">
        <f t="shared" si="12"/>
        <v>-15</v>
      </c>
      <c r="U100">
        <f t="shared" si="8"/>
        <v>75</v>
      </c>
      <c r="V100">
        <f t="shared" si="9"/>
        <v>1874</v>
      </c>
      <c r="W100" s="8">
        <f t="shared" si="10"/>
        <v>-3.6483486301526646E-2</v>
      </c>
      <c r="X100" s="1">
        <f>IF(Q100=0,(nazione[[#This Row],[nuovi_attualmente_positivi]]/nazione[[#This Row],[test_per_giorno]])*100,(nazione[[#This Row],[nuovi_attualmente_positivi]]/nazione[[#This Row],[test_per_giorno]])*100)</f>
        <v>1.22633687992262</v>
      </c>
      <c r="Y100">
        <f>IF(nazione[[#This Row],[casi_testati]]=0,nazione[[#This Row],[tamponi]]-P99,IF(Q99=0,nazione[[#This Row],[casi_testati]]-Y99,nazione[[#This Row],[casi_testati]]-Q99))</f>
        <v>28948</v>
      </c>
      <c r="Z100" s="4">
        <f>IF(Q100=0,(nazione[[#This Row],[test_per_giorno]]/AG$3)*100,(nazione[[#This Row],[test_per_giorno]]/AG$3)*100)</f>
        <v>4.8050748548762991E-2</v>
      </c>
      <c r="AA100" s="4">
        <f>(nazione[[#This Row],[ricoverati_con_sintomi]]/nazione[[#This Row],[totale_attualmente_positivi]])*100</f>
        <v>15.172102525120554</v>
      </c>
      <c r="AB100" s="4">
        <f>(nazione[[#This Row],[terapia_intensiva]]/nazione[[#This Row],[totale_attualmente_positivi]])*100</f>
        <v>1.0333277905789011</v>
      </c>
      <c r="AC100" s="4">
        <f>((nazione[[#This Row],[totale_attualmente_positivi]]-(nazione[[#This Row],[totale_ospedalizzati]]))/nazione[[#This Row],[totale_attualmente_positivi]])*100</f>
        <v>83.794569684300541</v>
      </c>
      <c r="AD100" s="8">
        <f>(nazione[[#This Row],[Deceaded by day]]/nazione[[#This Row],[totale_attualmente_positivi]])*100</f>
        <v>0.178159963892914</v>
      </c>
      <c r="AE100" s="8">
        <f>(nazione[[#This Row],[Deceaded by day]]/morti_per_regione!D$2) *100</f>
        <v>1.1845852293278031E-2</v>
      </c>
    </row>
    <row r="101" spans="1:31" x14ac:dyDescent="0.2">
      <c r="A101">
        <v>99</v>
      </c>
      <c r="B101" s="6">
        <v>43983.708333333336</v>
      </c>
      <c r="C101" s="1" t="s">
        <v>42</v>
      </c>
      <c r="D101">
        <v>6099</v>
      </c>
      <c r="E101">
        <v>424</v>
      </c>
      <c r="F101">
        <v>6523</v>
      </c>
      <c r="G101">
        <v>34844</v>
      </c>
      <c r="H101">
        <v>41367</v>
      </c>
      <c r="I101">
        <v>-730</v>
      </c>
      <c r="J101">
        <v>178</v>
      </c>
      <c r="K101">
        <v>158355</v>
      </c>
      <c r="L101">
        <v>33475</v>
      </c>
      <c r="O101">
        <v>233197</v>
      </c>
      <c r="P101">
        <v>3910133</v>
      </c>
      <c r="Q101">
        <v>2451674</v>
      </c>
      <c r="R101" s="1" t="s">
        <v>82</v>
      </c>
      <c r="S101" s="1">
        <f t="shared" si="11"/>
        <v>-299</v>
      </c>
      <c r="T101" s="1">
        <f t="shared" si="12"/>
        <v>-11</v>
      </c>
      <c r="U101">
        <f t="shared" si="8"/>
        <v>60</v>
      </c>
      <c r="V101">
        <f t="shared" si="9"/>
        <v>848</v>
      </c>
      <c r="W101" s="8">
        <f t="shared" si="10"/>
        <v>-1.7340903152243681E-2</v>
      </c>
      <c r="X101" s="1">
        <f>IF(Q101=0,(nazione[[#This Row],[nuovi_attualmente_positivi]]/nazione[[#This Row],[test_per_giorno]])*100,(nazione[[#This Row],[nuovi_attualmente_positivi]]/nazione[[#This Row],[test_per_giorno]])*100)</f>
        <v>0.98598570874646874</v>
      </c>
      <c r="Y101">
        <f>IF(nazione[[#This Row],[casi_testati]]=0,nazione[[#This Row],[tamponi]]-P100,IF(Q100=0,nazione[[#This Row],[casi_testati]]-Y100,nazione[[#This Row],[casi_testati]]-Q100))</f>
        <v>18053</v>
      </c>
      <c r="Z101" s="4">
        <f>IF(Q101=0,(nazione[[#This Row],[test_per_giorno]]/AG$3)*100,(nazione[[#This Row],[test_per_giorno]]/AG$3)*100)</f>
        <v>2.9966151842988051E-2</v>
      </c>
      <c r="AA101" s="4">
        <f>(nazione[[#This Row],[ricoverati_con_sintomi]]/nazione[[#This Row],[totale_attualmente_positivi]])*100</f>
        <v>14.743636231778954</v>
      </c>
      <c r="AB101" s="4">
        <f>(nazione[[#This Row],[terapia_intensiva]]/nazione[[#This Row],[totale_attualmente_positivi]])*100</f>
        <v>1.0249715957163923</v>
      </c>
      <c r="AC101" s="4">
        <f>((nazione[[#This Row],[totale_attualmente_positivi]]-(nazione[[#This Row],[totale_ospedalizzati]]))/nazione[[#This Row],[totale_attualmente_positivi]])*100</f>
        <v>84.231392172504655</v>
      </c>
      <c r="AD101" s="8">
        <f>(nazione[[#This Row],[Deceaded by day]]/nazione[[#This Row],[totale_attualmente_positivi]])*100</f>
        <v>0.14504315033722531</v>
      </c>
      <c r="AE101" s="8">
        <f>(nazione[[#This Row],[Deceaded by day]]/morti_per_regione!D$2) *100</f>
        <v>9.4766818346224239E-3</v>
      </c>
    </row>
    <row r="102" spans="1:31" x14ac:dyDescent="0.2">
      <c r="A102">
        <v>100</v>
      </c>
      <c r="B102" s="6">
        <v>43984.708333333336</v>
      </c>
      <c r="C102" s="1" t="s">
        <v>42</v>
      </c>
      <c r="D102">
        <v>5916</v>
      </c>
      <c r="E102">
        <v>408</v>
      </c>
      <c r="F102">
        <v>6324</v>
      </c>
      <c r="G102">
        <v>33569</v>
      </c>
      <c r="H102">
        <v>39893</v>
      </c>
      <c r="I102">
        <v>-1474</v>
      </c>
      <c r="J102">
        <v>318</v>
      </c>
      <c r="K102">
        <v>160092</v>
      </c>
      <c r="L102">
        <v>33530</v>
      </c>
      <c r="O102">
        <v>233515</v>
      </c>
      <c r="P102">
        <v>3962292</v>
      </c>
      <c r="Q102">
        <v>2477302</v>
      </c>
      <c r="R102" s="1" t="s">
        <v>82</v>
      </c>
      <c r="S102" s="1">
        <f t="shared" si="11"/>
        <v>-199</v>
      </c>
      <c r="T102" s="1">
        <f t="shared" si="12"/>
        <v>-16</v>
      </c>
      <c r="U102">
        <f t="shared" si="8"/>
        <v>55</v>
      </c>
      <c r="V102">
        <f t="shared" si="9"/>
        <v>1737</v>
      </c>
      <c r="W102" s="8">
        <f t="shared" si="10"/>
        <v>-3.5632267266178408E-2</v>
      </c>
      <c r="X102" s="1">
        <f>IF(Q102=0,(nazione[[#This Row],[nuovi_attualmente_positivi]]/nazione[[#This Row],[test_per_giorno]])*100,(nazione[[#This Row],[nuovi_attualmente_positivi]]/nazione[[#This Row],[test_per_giorno]])*100)</f>
        <v>1.2408303418136413</v>
      </c>
      <c r="Y102">
        <f>IF(nazione[[#This Row],[casi_testati]]=0,nazione[[#This Row],[tamponi]]-P101,IF(Q101=0,nazione[[#This Row],[casi_testati]]-Y101,nazione[[#This Row],[casi_testati]]-Q101))</f>
        <v>25628</v>
      </c>
      <c r="Z102" s="4">
        <f>IF(Q102=0,(nazione[[#This Row],[test_per_giorno]]/AG$3)*100,(nazione[[#This Row],[test_per_giorno]]/AG$3)*100)</f>
        <v>4.2539884752234969E-2</v>
      </c>
      <c r="AA102" s="4">
        <f>(nazione[[#This Row],[ricoverati_con_sintomi]]/nazione[[#This Row],[totale_attualmente_positivi]])*100</f>
        <v>14.829669365552853</v>
      </c>
      <c r="AB102" s="4">
        <f>(nazione[[#This Row],[terapia_intensiva]]/nazione[[#This Row],[totale_attualmente_positivi]])*100</f>
        <v>1.0227358183139901</v>
      </c>
      <c r="AC102" s="4">
        <f>((nazione[[#This Row],[totale_attualmente_positivi]]-(nazione[[#This Row],[totale_ospedalizzati]]))/nazione[[#This Row],[totale_attualmente_positivi]])*100</f>
        <v>84.14759481613315</v>
      </c>
      <c r="AD102" s="8">
        <f>(nazione[[#This Row],[Deceaded by day]]/nazione[[#This Row],[totale_attualmente_positivi]])*100</f>
        <v>0.1378687990374251</v>
      </c>
      <c r="AE102" s="8">
        <f>(nazione[[#This Row],[Deceaded by day]]/morti_per_regione!D$2) *100</f>
        <v>8.6869583484038906E-3</v>
      </c>
    </row>
    <row r="103" spans="1:31" x14ac:dyDescent="0.2">
      <c r="A103">
        <v>101</v>
      </c>
      <c r="B103" s="6">
        <v>43985.708333333336</v>
      </c>
      <c r="C103" s="1" t="s">
        <v>42</v>
      </c>
      <c r="D103">
        <v>5742</v>
      </c>
      <c r="E103">
        <v>353</v>
      </c>
      <c r="F103">
        <v>6095</v>
      </c>
      <c r="G103">
        <v>33202</v>
      </c>
      <c r="H103">
        <v>39297</v>
      </c>
      <c r="I103">
        <v>-596</v>
      </c>
      <c r="J103">
        <v>321</v>
      </c>
      <c r="K103">
        <v>160938</v>
      </c>
      <c r="L103">
        <v>33601</v>
      </c>
      <c r="O103">
        <v>233836</v>
      </c>
      <c r="P103">
        <v>3999591</v>
      </c>
      <c r="Q103">
        <v>2497337</v>
      </c>
      <c r="R103" s="1" t="s">
        <v>82</v>
      </c>
      <c r="S103" s="1">
        <f t="shared" si="11"/>
        <v>-229</v>
      </c>
      <c r="T103" s="1">
        <f t="shared" si="12"/>
        <v>-55</v>
      </c>
      <c r="U103">
        <f t="shared" si="8"/>
        <v>71</v>
      </c>
      <c r="V103">
        <f t="shared" si="9"/>
        <v>846</v>
      </c>
      <c r="W103" s="8">
        <f t="shared" si="10"/>
        <v>-1.4939964404782846E-2</v>
      </c>
      <c r="X103" s="1">
        <f>IF(Q103=0,(nazione[[#This Row],[nuovi_attualmente_positivi]]/nazione[[#This Row],[test_per_giorno]])*100,(nazione[[#This Row],[nuovi_attualmente_positivi]]/nazione[[#This Row],[test_per_giorno]])*100)</f>
        <v>1.6021961567257301</v>
      </c>
      <c r="Y103">
        <f>IF(nazione[[#This Row],[casi_testati]]=0,nazione[[#This Row],[tamponi]]-P102,IF(Q102=0,nazione[[#This Row],[casi_testati]]-Y102,nazione[[#This Row],[casi_testati]]-Q102))</f>
        <v>20035</v>
      </c>
      <c r="Z103" s="4">
        <f>IF(Q103=0,(nazione[[#This Row],[test_per_giorno]]/AG$3)*100,(nazione[[#This Row],[test_per_giorno]]/AG$3)*100)</f>
        <v>3.3256071133565927E-2</v>
      </c>
      <c r="AA103" s="4">
        <f>(nazione[[#This Row],[ricoverati_con_sintomi]]/nazione[[#This Row],[totale_attualmente_positivi]])*100</f>
        <v>14.611802427666234</v>
      </c>
      <c r="AB103" s="4">
        <f>(nazione[[#This Row],[terapia_intensiva]]/nazione[[#This Row],[totale_attualmente_positivi]])*100</f>
        <v>0.89828740107387328</v>
      </c>
      <c r="AC103" s="4">
        <f>((nazione[[#This Row],[totale_attualmente_positivi]]-(nazione[[#This Row],[totale_ospedalizzati]]))/nazione[[#This Row],[totale_attualmente_positivi]])*100</f>
        <v>84.489910171259893</v>
      </c>
      <c r="AD103" s="8">
        <f>(nazione[[#This Row],[Deceaded by day]]/nazione[[#This Row],[totale_attualmente_positivi]])*100</f>
        <v>0.18067536962109068</v>
      </c>
      <c r="AE103" s="8">
        <f>(nazione[[#This Row],[Deceaded by day]]/morti_per_regione!D$2) *100</f>
        <v>1.1214073504303203E-2</v>
      </c>
    </row>
    <row r="104" spans="1:31" x14ac:dyDescent="0.2">
      <c r="A104">
        <v>102</v>
      </c>
      <c r="B104" s="6">
        <v>43986.708333333336</v>
      </c>
      <c r="C104" s="1" t="s">
        <v>42</v>
      </c>
      <c r="D104">
        <v>5503</v>
      </c>
      <c r="E104">
        <v>338</v>
      </c>
      <c r="F104">
        <v>5841</v>
      </c>
      <c r="G104">
        <v>32588</v>
      </c>
      <c r="H104">
        <v>38429</v>
      </c>
      <c r="I104">
        <v>-868</v>
      </c>
      <c r="J104">
        <v>177</v>
      </c>
      <c r="K104">
        <v>161895</v>
      </c>
      <c r="L104">
        <v>33689</v>
      </c>
      <c r="O104">
        <v>234013</v>
      </c>
      <c r="P104">
        <v>4049544</v>
      </c>
      <c r="Q104">
        <v>2524788</v>
      </c>
      <c r="R104" s="1" t="s">
        <v>83</v>
      </c>
      <c r="S104" s="1">
        <f t="shared" si="11"/>
        <v>-254</v>
      </c>
      <c r="T104" s="1">
        <f t="shared" si="12"/>
        <v>-15</v>
      </c>
      <c r="U104">
        <f t="shared" si="8"/>
        <v>88</v>
      </c>
      <c r="V104">
        <f t="shared" si="9"/>
        <v>957</v>
      </c>
      <c r="W104" s="8">
        <f t="shared" si="10"/>
        <v>-2.2088200117057255E-2</v>
      </c>
      <c r="X104" s="1">
        <f>IF(Q104=0,(nazione[[#This Row],[nuovi_attualmente_positivi]]/nazione[[#This Row],[test_per_giorno]])*100,(nazione[[#This Row],[nuovi_attualmente_positivi]]/nazione[[#This Row],[test_per_giorno]])*100)</f>
        <v>0.64478525372481876</v>
      </c>
      <c r="Y104">
        <f>IF(nazione[[#This Row],[casi_testati]]=0,nazione[[#This Row],[tamponi]]-P103,IF(Q103=0,nazione[[#This Row],[casi_testati]]-Y103,nazione[[#This Row],[casi_testati]]-Q103))</f>
        <v>27451</v>
      </c>
      <c r="Z104" s="4">
        <f>IF(Q104=0,(nazione[[#This Row],[test_per_giorno]]/AG$3)*100,(nazione[[#This Row],[test_per_giorno]]/AG$3)*100)</f>
        <v>4.5565880144123695E-2</v>
      </c>
      <c r="AA104" s="4">
        <f>(nazione[[#This Row],[ricoverati_con_sintomi]]/nazione[[#This Row],[totale_attualmente_positivi]])*100</f>
        <v>14.319914647792032</v>
      </c>
      <c r="AB104" s="4">
        <f>(nazione[[#This Row],[terapia_intensiva]]/nazione[[#This Row],[totale_attualmente_positivi]])*100</f>
        <v>0.87954409430378089</v>
      </c>
      <c r="AC104" s="4">
        <f>((nazione[[#This Row],[totale_attualmente_positivi]]-(nazione[[#This Row],[totale_ospedalizzati]]))/nazione[[#This Row],[totale_attualmente_positivi]])*100</f>
        <v>84.800541257904186</v>
      </c>
      <c r="AD104" s="8">
        <f>(nazione[[#This Row],[Deceaded by day]]/nazione[[#This Row],[totale_attualmente_positivi]])*100</f>
        <v>0.22899372869447554</v>
      </c>
      <c r="AE104" s="8">
        <f>(nazione[[#This Row],[Deceaded by day]]/morti_per_regione!D$2) *100</f>
        <v>1.3899133357446223E-2</v>
      </c>
    </row>
    <row r="105" spans="1:31" x14ac:dyDescent="0.2">
      <c r="A105">
        <v>103</v>
      </c>
      <c r="B105" s="6">
        <v>43987.708333333336</v>
      </c>
      <c r="C105" s="1" t="s">
        <v>42</v>
      </c>
      <c r="D105">
        <v>5301</v>
      </c>
      <c r="E105">
        <v>316</v>
      </c>
      <c r="F105">
        <v>5617</v>
      </c>
      <c r="G105">
        <v>31359</v>
      </c>
      <c r="H105">
        <v>36976</v>
      </c>
      <c r="I105">
        <v>-1453</v>
      </c>
      <c r="J105">
        <v>518</v>
      </c>
      <c r="K105">
        <v>163781</v>
      </c>
      <c r="L105">
        <v>33774</v>
      </c>
      <c r="O105">
        <v>234531</v>
      </c>
      <c r="P105">
        <v>4114572</v>
      </c>
      <c r="Q105">
        <v>2565258</v>
      </c>
      <c r="R105" s="1" t="s">
        <v>82</v>
      </c>
      <c r="S105" s="1">
        <f t="shared" si="11"/>
        <v>-224</v>
      </c>
      <c r="T105" s="1">
        <f t="shared" si="12"/>
        <v>-22</v>
      </c>
      <c r="U105">
        <f t="shared" si="8"/>
        <v>85</v>
      </c>
      <c r="V105">
        <f t="shared" si="9"/>
        <v>1886</v>
      </c>
      <c r="W105" s="8">
        <f t="shared" si="10"/>
        <v>-3.7809987249212806E-2</v>
      </c>
      <c r="X105" s="1">
        <f>IF(Q105=0,(nazione[[#This Row],[nuovi_attualmente_positivi]]/nazione[[#This Row],[test_per_giorno]])*100,(nazione[[#This Row],[nuovi_attualmente_positivi]]/nazione[[#This Row],[test_per_giorno]])*100)</f>
        <v>1.2799604645416358</v>
      </c>
      <c r="Y105">
        <f>IF(nazione[[#This Row],[casi_testati]]=0,nazione[[#This Row],[tamponi]]-P104,IF(Q104=0,nazione[[#This Row],[casi_testati]]-Y104,nazione[[#This Row],[casi_testati]]-Q104))</f>
        <v>40470</v>
      </c>
      <c r="Z105" s="4">
        <f>IF(Q105=0,(nazione[[#This Row],[test_per_giorno]]/AG$3)*100,(nazione[[#This Row],[test_per_giorno]]/AG$3)*100)</f>
        <v>6.7176101760689444E-2</v>
      </c>
      <c r="AA105" s="4">
        <f>(nazione[[#This Row],[ricoverati_con_sintomi]]/nazione[[#This Row],[totale_attualmente_positivi]])*100</f>
        <v>14.33632626568585</v>
      </c>
      <c r="AB105" s="4">
        <f>(nazione[[#This Row],[terapia_intensiva]]/nazione[[#This Row],[totale_attualmente_positivi]])*100</f>
        <v>0.85460839463435745</v>
      </c>
      <c r="AC105" s="4">
        <f>((nazione[[#This Row],[totale_attualmente_positivi]]-(nazione[[#This Row],[totale_ospedalizzati]]))/nazione[[#This Row],[totale_attualmente_positivi]])*100</f>
        <v>84.80906533967979</v>
      </c>
      <c r="AD105" s="8">
        <f>(nazione[[#This Row],[Deceaded by day]]/nazione[[#This Row],[totale_attualmente_positivi]])*100</f>
        <v>0.22987884032886194</v>
      </c>
      <c r="AE105" s="8">
        <f>(nazione[[#This Row],[Deceaded by day]]/morti_per_regione!D$2) *100</f>
        <v>1.3425299265715103E-2</v>
      </c>
    </row>
    <row r="106" spans="1:31" x14ac:dyDescent="0.2">
      <c r="A106">
        <v>104</v>
      </c>
      <c r="B106" s="6">
        <v>43988.708333333336</v>
      </c>
      <c r="C106" s="1" t="s">
        <v>42</v>
      </c>
      <c r="D106">
        <v>5002</v>
      </c>
      <c r="E106">
        <v>293</v>
      </c>
      <c r="F106">
        <v>5295</v>
      </c>
      <c r="G106">
        <v>30582</v>
      </c>
      <c r="H106">
        <v>35877</v>
      </c>
      <c r="I106">
        <v>-1099</v>
      </c>
      <c r="J106">
        <v>270</v>
      </c>
      <c r="K106">
        <v>165078</v>
      </c>
      <c r="L106">
        <v>33846</v>
      </c>
      <c r="O106">
        <v>234801</v>
      </c>
      <c r="P106">
        <v>4187057</v>
      </c>
      <c r="Q106">
        <v>2599294</v>
      </c>
      <c r="R106" s="1" t="s">
        <v>82</v>
      </c>
      <c r="S106" s="1">
        <f t="shared" si="11"/>
        <v>-322</v>
      </c>
      <c r="T106" s="1">
        <f t="shared" si="12"/>
        <v>-23</v>
      </c>
      <c r="U106">
        <f t="shared" si="8"/>
        <v>72</v>
      </c>
      <c r="V106">
        <f t="shared" si="9"/>
        <v>1297</v>
      </c>
      <c r="W106" s="8">
        <f t="shared" si="10"/>
        <v>-2.9721981826049348E-2</v>
      </c>
      <c r="X106" s="1">
        <f>IF(Q106=0,(nazione[[#This Row],[nuovi_attualmente_positivi]]/nazione[[#This Row],[test_per_giorno]])*100,(nazione[[#This Row],[nuovi_attualmente_positivi]]/nazione[[#This Row],[test_per_giorno]])*100)</f>
        <v>0.79327770595839697</v>
      </c>
      <c r="Y106">
        <f>IF(nazione[[#This Row],[casi_testati]]=0,nazione[[#This Row],[tamponi]]-P105,IF(Q105=0,nazione[[#This Row],[casi_testati]]-Y105,nazione[[#This Row],[casi_testati]]-Q105))</f>
        <v>34036</v>
      </c>
      <c r="Z106" s="4">
        <f>IF(Q106=0,(nazione[[#This Row],[test_per_giorno]]/AG$3)*100,(nazione[[#This Row],[test_per_giorno]]/AG$3)*100)</f>
        <v>5.6496313306815572E-2</v>
      </c>
      <c r="AA106" s="4">
        <f>(nazione[[#This Row],[ricoverati_con_sintomi]]/nazione[[#This Row],[totale_attualmente_positivi]])*100</f>
        <v>13.942079884048276</v>
      </c>
      <c r="AB106" s="4">
        <f>(nazione[[#This Row],[terapia_intensiva]]/nazione[[#This Row],[totale_attualmente_positivi]])*100</f>
        <v>0.81667920952142037</v>
      </c>
      <c r="AC106" s="4">
        <f>((nazione[[#This Row],[totale_attualmente_positivi]]-(nazione[[#This Row],[totale_ospedalizzati]]))/nazione[[#This Row],[totale_attualmente_positivi]])*100</f>
        <v>85.241240906430306</v>
      </c>
      <c r="AD106" s="8">
        <f>(nazione[[#This Row],[Deceaded by day]]/nazione[[#This Row],[totale_attualmente_positivi]])*100</f>
        <v>0.2006856760598712</v>
      </c>
      <c r="AE106" s="8">
        <f>(nazione[[#This Row],[Deceaded by day]]/morti_per_regione!D$2) *100</f>
        <v>1.137201820154691E-2</v>
      </c>
    </row>
    <row r="107" spans="1:31" x14ac:dyDescent="0.2">
      <c r="A107">
        <v>105</v>
      </c>
      <c r="B107" s="6">
        <v>43989.708333333336</v>
      </c>
      <c r="C107" s="1" t="s">
        <v>42</v>
      </c>
      <c r="D107">
        <v>4864</v>
      </c>
      <c r="E107">
        <v>287</v>
      </c>
      <c r="F107">
        <v>5151</v>
      </c>
      <c r="G107">
        <v>30111</v>
      </c>
      <c r="H107">
        <v>35262</v>
      </c>
      <c r="I107">
        <v>-615</v>
      </c>
      <c r="J107">
        <v>197</v>
      </c>
      <c r="K107">
        <v>165837</v>
      </c>
      <c r="L107">
        <v>33899</v>
      </c>
      <c r="O107">
        <v>234998</v>
      </c>
      <c r="P107">
        <v>4236535</v>
      </c>
      <c r="Q107">
        <v>2627188</v>
      </c>
      <c r="R107" s="1" t="s">
        <v>82</v>
      </c>
      <c r="S107" s="1">
        <f t="shared" si="11"/>
        <v>-144</v>
      </c>
      <c r="T107" s="1">
        <f t="shared" si="12"/>
        <v>-6</v>
      </c>
      <c r="U107">
        <f t="shared" ref="U107:U112" si="13">L107-L106</f>
        <v>53</v>
      </c>
      <c r="V107">
        <f t="shared" ref="V107:V113" si="14">K107-K106</f>
        <v>759</v>
      </c>
      <c r="W107" s="8">
        <f t="shared" si="10"/>
        <v>-1.7141901496780632E-2</v>
      </c>
      <c r="X107" s="1">
        <f>IF(Q107=0,(nazione[[#This Row],[nuovi_attualmente_positivi]]/nazione[[#This Row],[test_per_giorno]])*100,(nazione[[#This Row],[nuovi_attualmente_positivi]]/nazione[[#This Row],[test_per_giorno]])*100)</f>
        <v>0.70624507062450703</v>
      </c>
      <c r="Y107">
        <f>IF(nazione[[#This Row],[casi_testati]]=0,nazione[[#This Row],[tamponi]]-P106,IF(Q106=0,nazione[[#This Row],[casi_testati]]-Y106,nazione[[#This Row],[casi_testati]]-Q106))</f>
        <v>27894</v>
      </c>
      <c r="Z107" s="4">
        <f>IF(Q107=0,(nazione[[#This Row],[test_per_giorno]]/AG$3)*100,(nazione[[#This Row],[test_per_giorno]]/AG$3)*100)</f>
        <v>4.6301215283238724E-2</v>
      </c>
      <c r="AA107" s="4">
        <f>(nazione[[#This Row],[ricoverati_con_sintomi]]/nazione[[#This Row],[totale_attualmente_positivi]])*100</f>
        <v>13.79388576938347</v>
      </c>
      <c r="AB107" s="4">
        <f>(nazione[[#This Row],[terapia_intensiva]]/nazione[[#This Row],[totale_attualmente_positivi]])*100</f>
        <v>0.81390732232998697</v>
      </c>
      <c r="AC107" s="4">
        <f>((nazione[[#This Row],[totale_attualmente_positivi]]-(nazione[[#This Row],[totale_ospedalizzati]]))/nazione[[#This Row],[totale_attualmente_positivi]])*100</f>
        <v>85.392206908286539</v>
      </c>
      <c r="AD107" s="8">
        <f>(nazione[[#This Row],[Deceaded by day]]/nazione[[#This Row],[totale_attualmente_positivi]])*100</f>
        <v>0.15030344279961433</v>
      </c>
      <c r="AE107" s="8">
        <f>(nazione[[#This Row],[Deceaded by day]]/morti_per_regione!D$2) *100</f>
        <v>8.3710689539164759E-3</v>
      </c>
    </row>
    <row r="108" spans="1:31" x14ac:dyDescent="0.2">
      <c r="A108">
        <v>106</v>
      </c>
      <c r="B108" s="6">
        <v>43990.708333333336</v>
      </c>
      <c r="C108" s="1" t="s">
        <v>42</v>
      </c>
      <c r="D108">
        <v>4729</v>
      </c>
      <c r="E108">
        <v>283</v>
      </c>
      <c r="F108">
        <v>5012</v>
      </c>
      <c r="G108">
        <v>29718</v>
      </c>
      <c r="H108">
        <v>34730</v>
      </c>
      <c r="I108">
        <v>-532</v>
      </c>
      <c r="J108">
        <v>280</v>
      </c>
      <c r="K108">
        <v>166584</v>
      </c>
      <c r="L108">
        <v>33964</v>
      </c>
      <c r="O108">
        <v>235278</v>
      </c>
      <c r="P108">
        <v>4263647</v>
      </c>
      <c r="Q108">
        <v>2643489</v>
      </c>
      <c r="R108" s="1" t="s">
        <v>82</v>
      </c>
      <c r="S108" s="1">
        <f t="shared" si="11"/>
        <v>-139</v>
      </c>
      <c r="T108" s="1">
        <f t="shared" si="12"/>
        <v>-4</v>
      </c>
      <c r="U108">
        <f t="shared" si="13"/>
        <v>65</v>
      </c>
      <c r="V108">
        <f t="shared" si="14"/>
        <v>747</v>
      </c>
      <c r="W108" s="8">
        <f t="shared" si="10"/>
        <v>-1.5087062560263154E-2</v>
      </c>
      <c r="X108" s="1">
        <f>IF(Q108=0,(nazione[[#This Row],[nuovi_attualmente_positivi]]/nazione[[#This Row],[test_per_giorno]])*100,(nazione[[#This Row],[nuovi_attualmente_positivi]]/nazione[[#This Row],[test_per_giorno]])*100)</f>
        <v>1.7176860315318079</v>
      </c>
      <c r="Y108">
        <f>IF(nazione[[#This Row],[casi_testati]]=0,nazione[[#This Row],[tamponi]]-P107,IF(Q107=0,nazione[[#This Row],[casi_testati]]-Y107,nazione[[#This Row],[casi_testati]]-Q107))</f>
        <v>16301</v>
      </c>
      <c r="Z108" s="4">
        <f>IF(Q108=0,(nazione[[#This Row],[test_per_giorno]]/AG$3)*100,(nazione[[#This Row],[test_per_giorno]]/AG$3)*100)</f>
        <v>2.7058009261205797E-2</v>
      </c>
      <c r="AA108" s="4">
        <f>(nazione[[#This Row],[ricoverati_con_sintomi]]/nazione[[#This Row],[totale_attualmente_positivi]])*100</f>
        <v>13.616469910739996</v>
      </c>
      <c r="AB108" s="4">
        <f>(nazione[[#This Row],[terapia_intensiva]]/nazione[[#This Row],[totale_attualmente_positivi]])*100</f>
        <v>0.81485747192628855</v>
      </c>
      <c r="AC108" s="4">
        <f>((nazione[[#This Row],[totale_attualmente_positivi]]-(nazione[[#This Row],[totale_ospedalizzati]]))/nazione[[#This Row],[totale_attualmente_positivi]])*100</f>
        <v>85.568672617333718</v>
      </c>
      <c r="AD108" s="8">
        <f>(nazione[[#This Row],[Deceaded by day]]/nazione[[#This Row],[totale_attualmente_positivi]])*100</f>
        <v>0.18715807659084366</v>
      </c>
      <c r="AE108" s="8">
        <f>(nazione[[#This Row],[Deceaded by day]]/morti_per_regione!D$2) *100</f>
        <v>1.0266405320840961E-2</v>
      </c>
    </row>
    <row r="109" spans="1:31" x14ac:dyDescent="0.2">
      <c r="A109">
        <v>107</v>
      </c>
      <c r="B109" s="6">
        <v>43991.708333333336</v>
      </c>
      <c r="C109" s="1" t="s">
        <v>42</v>
      </c>
      <c r="D109">
        <v>4581</v>
      </c>
      <c r="E109">
        <v>263</v>
      </c>
      <c r="F109">
        <v>4844</v>
      </c>
      <c r="G109">
        <v>28028</v>
      </c>
      <c r="H109">
        <v>32872</v>
      </c>
      <c r="I109">
        <v>-1858</v>
      </c>
      <c r="J109">
        <v>283</v>
      </c>
      <c r="K109">
        <v>168646</v>
      </c>
      <c r="L109">
        <v>34043</v>
      </c>
      <c r="O109">
        <v>235561</v>
      </c>
      <c r="P109">
        <v>4318650</v>
      </c>
      <c r="Q109">
        <v>2675689</v>
      </c>
      <c r="R109" s="1" t="s">
        <v>118</v>
      </c>
      <c r="S109" s="1">
        <f t="shared" si="11"/>
        <v>-168</v>
      </c>
      <c r="T109" s="1">
        <f t="shared" si="12"/>
        <v>-20</v>
      </c>
      <c r="U109">
        <f t="shared" si="13"/>
        <v>79</v>
      </c>
      <c r="V109">
        <f t="shared" si="14"/>
        <v>2062</v>
      </c>
      <c r="W109" s="8">
        <f t="shared" si="10"/>
        <v>-5.3498416354736511E-2</v>
      </c>
      <c r="X109" s="1">
        <f>IF(Q109=0,(nazione[[#This Row],[nuovi_attualmente_positivi]]/nazione[[#This Row],[test_per_giorno]])*100,(nazione[[#This Row],[nuovi_attualmente_positivi]]/nazione[[#This Row],[test_per_giorno]])*100)</f>
        <v>0.87888198757763969</v>
      </c>
      <c r="Y109">
        <f>IF(nazione[[#This Row],[casi_testati]]=0,nazione[[#This Row],[tamponi]]-P108,IF(Q108=0,nazione[[#This Row],[casi_testati]]-Y108,nazione[[#This Row],[casi_testati]]-Q108))</f>
        <v>32200</v>
      </c>
      <c r="Z109" s="4">
        <f>IF(Q109=0,(nazione[[#This Row],[test_per_giorno]]/AG$3)*100,(nazione[[#This Row],[test_per_giorno]]/AG$3)*100)</f>
        <v>5.3448739231386211E-2</v>
      </c>
      <c r="AA109" s="4">
        <f>(nazione[[#This Row],[ricoverati_con_sintomi]]/nazione[[#This Row],[totale_attualmente_positivi]])*100</f>
        <v>13.935872475054758</v>
      </c>
      <c r="AB109" s="4">
        <f>(nazione[[#This Row],[terapia_intensiva]]/nazione[[#This Row],[totale_attualmente_positivi]])*100</f>
        <v>0.80007301046483326</v>
      </c>
      <c r="AC109" s="4">
        <f>((nazione[[#This Row],[totale_attualmente_positivi]]-(nazione[[#This Row],[totale_ospedalizzati]]))/nazione[[#This Row],[totale_attualmente_positivi]])*100</f>
        <v>85.264054514480421</v>
      </c>
      <c r="AD109" s="8">
        <f>(nazione[[#This Row],[Deceaded by day]]/nazione[[#This Row],[totale_attualmente_positivi]])*100</f>
        <v>0.2403261134095887</v>
      </c>
      <c r="AE109" s="8">
        <f>(nazione[[#This Row],[Deceaded by day]]/morti_per_regione!D$2) *100</f>
        <v>1.247763108225286E-2</v>
      </c>
    </row>
    <row r="110" spans="1:31" x14ac:dyDescent="0.2">
      <c r="A110">
        <v>108</v>
      </c>
      <c r="B110" s="6">
        <v>43992.708333333336</v>
      </c>
      <c r="C110" s="1" t="s">
        <v>42</v>
      </c>
      <c r="D110">
        <v>4320</v>
      </c>
      <c r="E110">
        <v>249</v>
      </c>
      <c r="F110">
        <v>4569</v>
      </c>
      <c r="G110">
        <v>27141</v>
      </c>
      <c r="H110">
        <v>31710</v>
      </c>
      <c r="I110">
        <v>-1162</v>
      </c>
      <c r="J110">
        <v>202</v>
      </c>
      <c r="K110">
        <v>169939</v>
      </c>
      <c r="L110">
        <v>34114</v>
      </c>
      <c r="O110">
        <v>235763</v>
      </c>
      <c r="P110">
        <v>4381349</v>
      </c>
      <c r="Q110">
        <v>2713554</v>
      </c>
      <c r="R110" s="1" t="s">
        <v>82</v>
      </c>
      <c r="S110" s="1">
        <f t="shared" si="11"/>
        <v>-275</v>
      </c>
      <c r="T110" s="1">
        <f t="shared" si="12"/>
        <v>-14</v>
      </c>
      <c r="U110">
        <f t="shared" si="13"/>
        <v>71</v>
      </c>
      <c r="V110">
        <f t="shared" si="14"/>
        <v>1293</v>
      </c>
      <c r="W110" s="8">
        <f t="shared" si="10"/>
        <v>-3.5349233390119306E-2</v>
      </c>
      <c r="X110" s="1">
        <f>IF(Q110=0,(nazione[[#This Row],[nuovi_attualmente_positivi]]/nazione[[#This Row],[test_per_giorno]])*100,(nazione[[#This Row],[nuovi_attualmente_positivi]]/nazione[[#This Row],[test_per_giorno]])*100)</f>
        <v>0.53347418460319562</v>
      </c>
      <c r="Y110">
        <f>IF(nazione[[#This Row],[casi_testati]]=0,nazione[[#This Row],[tamponi]]-P109,IF(Q109=0,nazione[[#This Row],[casi_testati]]-Y109,nazione[[#This Row],[casi_testati]]-Q109))</f>
        <v>37865</v>
      </c>
      <c r="Z110" s="4">
        <f>IF(Q110=0,(nazione[[#This Row],[test_per_giorno]]/AG$3)*100,(nazione[[#This Row],[test_per_giorno]]/AG$3)*100)</f>
        <v>6.2852065558895623E-2</v>
      </c>
      <c r="AA110" s="4">
        <f>(nazione[[#This Row],[ricoverati_con_sintomi]]/nazione[[#This Row],[totale_attualmente_positivi]])*100</f>
        <v>13.623462630085148</v>
      </c>
      <c r="AB110" s="4">
        <f>(nazione[[#This Row],[terapia_intensiva]]/nazione[[#This Row],[totale_attualmente_positivi]])*100</f>
        <v>0.78524124881740776</v>
      </c>
      <c r="AC110" s="4">
        <f>((nazione[[#This Row],[totale_attualmente_positivi]]-(nazione[[#This Row],[totale_ospedalizzati]]))/nazione[[#This Row],[totale_attualmente_positivi]])*100</f>
        <v>85.591296121097443</v>
      </c>
      <c r="AD110" s="8">
        <f>(nazione[[#This Row],[Deceaded by day]]/nazione[[#This Row],[totale_attualmente_positivi]])*100</f>
        <v>0.2239041311888994</v>
      </c>
      <c r="AE110" s="8">
        <f>(nazione[[#This Row],[Deceaded by day]]/morti_per_regione!D$2) *100</f>
        <v>1.1214073504303203E-2</v>
      </c>
    </row>
    <row r="111" spans="1:31" x14ac:dyDescent="0.2">
      <c r="A111">
        <v>109</v>
      </c>
      <c r="B111" s="6">
        <v>43993.708333333336</v>
      </c>
      <c r="C111" s="1" t="s">
        <v>42</v>
      </c>
      <c r="D111">
        <v>4131</v>
      </c>
      <c r="E111">
        <v>236</v>
      </c>
      <c r="F111">
        <v>4367</v>
      </c>
      <c r="G111">
        <v>26270</v>
      </c>
      <c r="H111">
        <v>30637</v>
      </c>
      <c r="I111">
        <v>-1073</v>
      </c>
      <c r="J111">
        <v>379</v>
      </c>
      <c r="K111">
        <v>171338</v>
      </c>
      <c r="L111">
        <v>34167</v>
      </c>
      <c r="O111">
        <v>236142</v>
      </c>
      <c r="P111">
        <v>4443821</v>
      </c>
      <c r="Q111">
        <v>2746545</v>
      </c>
      <c r="R111" s="1" t="s">
        <v>82</v>
      </c>
      <c r="S111" s="1">
        <f t="shared" si="11"/>
        <v>-202</v>
      </c>
      <c r="T111" s="1">
        <f t="shared" si="12"/>
        <v>-13</v>
      </c>
      <c r="U111">
        <f t="shared" si="13"/>
        <v>53</v>
      </c>
      <c r="V111">
        <f t="shared" si="14"/>
        <v>1399</v>
      </c>
      <c r="W111" s="8">
        <f t="shared" si="10"/>
        <v>-3.3837906023336473E-2</v>
      </c>
      <c r="X111" s="1">
        <f>IF(Q111=0,(nazione[[#This Row],[nuovi_attualmente_positivi]]/nazione[[#This Row],[test_per_giorno]])*100,(nazione[[#This Row],[nuovi_attualmente_positivi]]/nazione[[#This Row],[test_per_giorno]])*100)</f>
        <v>1.1487981570731411</v>
      </c>
      <c r="Y111">
        <f>IF(nazione[[#This Row],[casi_testati]]=0,nazione[[#This Row],[tamponi]]-P110,IF(Q110=0,nazione[[#This Row],[casi_testati]]-Y110,nazione[[#This Row],[casi_testati]]-Q110))</f>
        <v>32991</v>
      </c>
      <c r="Z111" s="4">
        <f>IF(Q111=0,(nazione[[#This Row],[test_per_giorno]]/AG$3)*100,(nazione[[#This Row],[test_per_giorno]]/AG$3)*100)</f>
        <v>5.4761719129896358E-2</v>
      </c>
      <c r="AA111" s="4">
        <f>(nazione[[#This Row],[ricoverati_con_sintomi]]/nazione[[#This Row],[totale_attualmente_positivi]])*100</f>
        <v>13.483696184352253</v>
      </c>
      <c r="AB111" s="4">
        <f>(nazione[[#This Row],[terapia_intensiva]]/nazione[[#This Row],[totale_attualmente_positivi]])*100</f>
        <v>0.77031040898260272</v>
      </c>
      <c r="AC111" s="4">
        <f>((nazione[[#This Row],[totale_attualmente_positivi]]-(nazione[[#This Row],[totale_ospedalizzati]]))/nazione[[#This Row],[totale_attualmente_positivi]])*100</f>
        <v>85.74599340666515</v>
      </c>
      <c r="AD111" s="8">
        <f>(nazione[[#This Row],[Deceaded by day]]/nazione[[#This Row],[totale_attualmente_positivi]])*100</f>
        <v>0.17299343930541503</v>
      </c>
      <c r="AE111" s="8">
        <f>(nazione[[#This Row],[Deceaded by day]]/morti_per_regione!D$2) *100</f>
        <v>8.3710689539164759E-3</v>
      </c>
    </row>
    <row r="112" spans="1:31" x14ac:dyDescent="0.2">
      <c r="A112">
        <v>110</v>
      </c>
      <c r="B112" s="6">
        <v>43994.708333333336</v>
      </c>
      <c r="C112" s="1" t="s">
        <v>42</v>
      </c>
      <c r="D112">
        <v>3893</v>
      </c>
      <c r="E112">
        <v>227</v>
      </c>
      <c r="F112">
        <v>4120</v>
      </c>
      <c r="G112">
        <v>24877</v>
      </c>
      <c r="H112">
        <v>28997</v>
      </c>
      <c r="I112">
        <v>-1640</v>
      </c>
      <c r="J112">
        <v>163</v>
      </c>
      <c r="K112">
        <v>173085</v>
      </c>
      <c r="L112">
        <v>34223</v>
      </c>
      <c r="O112">
        <v>236305</v>
      </c>
      <c r="P112">
        <v>4514441</v>
      </c>
      <c r="Q112">
        <v>2784196</v>
      </c>
      <c r="R112" s="1" t="s">
        <v>119</v>
      </c>
      <c r="S112" s="1">
        <f t="shared" si="11"/>
        <v>-247</v>
      </c>
      <c r="T112" s="1">
        <f t="shared" si="12"/>
        <v>-9</v>
      </c>
      <c r="U112">
        <f t="shared" si="13"/>
        <v>56</v>
      </c>
      <c r="V112">
        <f t="shared" si="14"/>
        <v>1747</v>
      </c>
      <c r="W112" s="8">
        <f t="shared" si="10"/>
        <v>-5.3530045369977519E-2</v>
      </c>
      <c r="X112" s="1">
        <f>IF(Q112=0,(nazione[[#This Row],[nuovi_attualmente_positivi]]/nazione[[#This Row],[test_per_giorno]])*100,(nazione[[#This Row],[nuovi_attualmente_positivi]]/nazione[[#This Row],[test_per_giorno]])*100)</f>
        <v>0.43292342832859687</v>
      </c>
      <c r="Y112">
        <f>IF(nazione[[#This Row],[casi_testati]]=0,nazione[[#This Row],[tamponi]]-P111,IF(Q111=0,nazione[[#This Row],[casi_testati]]-Y111,nazione[[#This Row],[casi_testati]]-Q111))</f>
        <v>37651</v>
      </c>
      <c r="Z112" s="4">
        <f>IF(Q112=0,(nazione[[#This Row],[test_per_giorno]]/AG$3)*100,(nazione[[#This Row],[test_per_giorno]]/AG$3)*100)</f>
        <v>6.2496847229842306E-2</v>
      </c>
      <c r="AA112" s="4">
        <f>(nazione[[#This Row],[ricoverati_con_sintomi]]/nazione[[#This Row],[totale_attualmente_positivi]])*100</f>
        <v>13.425526778632271</v>
      </c>
      <c r="AB112" s="4">
        <f>(nazione[[#This Row],[terapia_intensiva]]/nazione[[#This Row],[totale_attualmente_positivi]])*100</f>
        <v>0.78283960409697551</v>
      </c>
      <c r="AC112" s="4">
        <f>((nazione[[#This Row],[totale_attualmente_positivi]]-(nazione[[#This Row],[totale_ospedalizzati]]))/nazione[[#This Row],[totale_attualmente_positivi]])*100</f>
        <v>85.791633617270762</v>
      </c>
      <c r="AD112" s="8">
        <f>(nazione[[#This Row],[Deceaded by day]]/nazione[[#This Row],[totale_attualmente_positivi]])*100</f>
        <v>0.19312342656136844</v>
      </c>
      <c r="AE112" s="8">
        <f>(nazione[[#This Row],[Deceaded by day]]/morti_per_regione!D$2) *100</f>
        <v>8.8449030456475963E-3</v>
      </c>
    </row>
    <row r="113" spans="1:31" x14ac:dyDescent="0.2">
      <c r="A113">
        <v>111</v>
      </c>
      <c r="B113" s="6">
        <v>43995.708333333336</v>
      </c>
      <c r="C113" s="1" t="s">
        <v>42</v>
      </c>
      <c r="D113">
        <v>3747</v>
      </c>
      <c r="E113">
        <v>220</v>
      </c>
      <c r="F113">
        <v>3967</v>
      </c>
      <c r="G113">
        <v>23518</v>
      </c>
      <c r="H113">
        <v>27485</v>
      </c>
      <c r="I113">
        <v>-1512</v>
      </c>
      <c r="J113">
        <v>346</v>
      </c>
      <c r="K113">
        <v>174865</v>
      </c>
      <c r="L113">
        <v>34301</v>
      </c>
      <c r="O113">
        <v>236651</v>
      </c>
      <c r="P113">
        <v>4564191</v>
      </c>
      <c r="Q113">
        <v>2817076</v>
      </c>
      <c r="R113" s="1" t="s">
        <v>120</v>
      </c>
      <c r="S113" s="1">
        <f t="shared" si="11"/>
        <v>-153</v>
      </c>
      <c r="T113" s="1">
        <f t="shared" si="12"/>
        <v>-7</v>
      </c>
      <c r="U113">
        <f>L113-L112</f>
        <v>78</v>
      </c>
      <c r="V113">
        <f t="shared" si="14"/>
        <v>1780</v>
      </c>
      <c r="W113" s="8">
        <f t="shared" si="10"/>
        <v>-5.2143325171569499E-2</v>
      </c>
      <c r="X113" s="1">
        <f>IF(Q113=0,(nazione[[#This Row],[nuovi_attualmente_positivi]]/nazione[[#This Row],[test_per_giorno]])*100,(nazione[[#This Row],[nuovi_attualmente_positivi]]/nazione[[#This Row],[test_per_giorno]])*100)</f>
        <v>1.0523114355231142</v>
      </c>
      <c r="Y113">
        <f>IF(nazione[[#This Row],[casi_testati]]=0,nazione[[#This Row],[tamponi]]-P112,IF(Q112=0,nazione[[#This Row],[casi_testati]]-Y112,nazione[[#This Row],[casi_testati]]-Q112))</f>
        <v>32880</v>
      </c>
      <c r="Z113" s="4">
        <f>IF(Q113=0,(nazione[[#This Row],[test_per_giorno]]/AG$3)*100,(nazione[[#This Row],[test_per_giorno]]/AG$3)*100)</f>
        <v>5.4577470370434131E-2</v>
      </c>
      <c r="AA113" s="4">
        <f>(nazione[[#This Row],[ricoverati_con_sintomi]]/nazione[[#This Row],[totale_attualmente_positivi]])*100</f>
        <v>13.632890667636893</v>
      </c>
      <c r="AB113" s="4">
        <f>(nazione[[#This Row],[terapia_intensiva]]/nazione[[#This Row],[totale_attualmente_positivi]])*100</f>
        <v>0.80043660178279064</v>
      </c>
      <c r="AC113" s="4">
        <f>((nazione[[#This Row],[totale_attualmente_positivi]]-(nazione[[#This Row],[totale_ospedalizzati]]))/nazione[[#This Row],[totale_attualmente_positivi]])*100</f>
        <v>85.566672730580322</v>
      </c>
      <c r="AD113" s="8">
        <f>(nazione[[#This Row],[Deceaded by day]]/nazione[[#This Row],[totale_attualmente_positivi]])*100</f>
        <v>0.28379115881389849</v>
      </c>
      <c r="AE113" s="8">
        <f>(nazione[[#This Row],[Deceaded by day]]/morti_per_regione!D$2) *100</f>
        <v>1.2319686385009153E-2</v>
      </c>
    </row>
    <row r="114" spans="1:31" x14ac:dyDescent="0.2">
      <c r="A114">
        <v>112</v>
      </c>
      <c r="B114" s="6">
        <v>43996.708333333336</v>
      </c>
      <c r="C114" s="1" t="s">
        <v>42</v>
      </c>
      <c r="D114">
        <v>3594</v>
      </c>
      <c r="E114">
        <v>209</v>
      </c>
      <c r="F114">
        <v>3803</v>
      </c>
      <c r="G114">
        <v>22471</v>
      </c>
      <c r="H114">
        <v>26274</v>
      </c>
      <c r="I114">
        <v>-1211</v>
      </c>
      <c r="J114">
        <v>338</v>
      </c>
      <c r="K114">
        <v>176370</v>
      </c>
      <c r="L114">
        <v>34345</v>
      </c>
      <c r="O114">
        <v>236989</v>
      </c>
      <c r="P114">
        <v>4620718</v>
      </c>
      <c r="Q114">
        <v>2846621</v>
      </c>
      <c r="R114" s="1" t="s">
        <v>82</v>
      </c>
      <c r="S114" s="1">
        <f t="shared" si="11"/>
        <v>-164</v>
      </c>
      <c r="T114" s="1">
        <f t="shared" si="12"/>
        <v>-11</v>
      </c>
      <c r="U114">
        <f t="shared" ref="U114:U158" si="15">L114-L113</f>
        <v>44</v>
      </c>
      <c r="V114">
        <f t="shared" ref="V114:V158" si="16">K114-K113</f>
        <v>1505</v>
      </c>
      <c r="W114" s="8">
        <f t="shared" si="10"/>
        <v>-4.4060396579952754E-2</v>
      </c>
      <c r="X114" s="1">
        <f>IF(Q114=0,(nazione[[#This Row],[nuovi_attualmente_positivi]]/nazione[[#This Row],[test_per_giorno]])*100,(nazione[[#This Row],[nuovi_attualmente_positivi]]/nazione[[#This Row],[test_per_giorno]])*100)</f>
        <v>1.1440176002707734</v>
      </c>
      <c r="Y114">
        <f>IF(nazione[[#This Row],[casi_testati]]=0,nazione[[#This Row],[tamponi]]-P113,IF(Q113=0,nazione[[#This Row],[casi_testati]]-Y113,nazione[[#This Row],[casi_testati]]-Q113))</f>
        <v>29545</v>
      </c>
      <c r="Z114" s="4">
        <f>IF(Q114=0,(nazione[[#This Row],[test_per_giorno]]/AG$3)*100,(nazione[[#This Row],[test_per_giorno]]/AG$3)*100)</f>
        <v>4.9041708092897686E-2</v>
      </c>
      <c r="AA114" s="4">
        <f>(nazione[[#This Row],[ricoverati_con_sintomi]]/nazione[[#This Row],[totale_attualmente_positivi]])*100</f>
        <v>13.678922128339805</v>
      </c>
      <c r="AB114" s="4">
        <f>(nazione[[#This Row],[terapia_intensiva]]/nazione[[#This Row],[totale_attualmente_positivi]])*100</f>
        <v>0.7954631955545407</v>
      </c>
      <c r="AC114" s="4">
        <f>((nazione[[#This Row],[totale_attualmente_positivi]]-(nazione[[#This Row],[totale_ospedalizzati]]))/nazione[[#This Row],[totale_attualmente_positivi]])*100</f>
        <v>85.525614676105661</v>
      </c>
      <c r="AD114" s="8">
        <f>(nazione[[#This Row],[Deceaded by day]]/nazione[[#This Row],[totale_attualmente_positivi]])*100</f>
        <v>0.16746593590621908</v>
      </c>
      <c r="AE114" s="8">
        <f>(nazione[[#This Row],[Deceaded by day]]/morti_per_regione!D$2) *100</f>
        <v>6.9495666787231115E-3</v>
      </c>
    </row>
    <row r="115" spans="1:31" x14ac:dyDescent="0.2">
      <c r="A115">
        <v>113</v>
      </c>
      <c r="B115" s="6">
        <v>43997.708333333336</v>
      </c>
      <c r="C115" s="1" t="s">
        <v>42</v>
      </c>
      <c r="D115">
        <v>3489</v>
      </c>
      <c r="E115">
        <v>207</v>
      </c>
      <c r="F115">
        <v>3696</v>
      </c>
      <c r="G115">
        <v>22213</v>
      </c>
      <c r="H115">
        <v>25909</v>
      </c>
      <c r="I115">
        <v>-365</v>
      </c>
      <c r="J115">
        <v>303</v>
      </c>
      <c r="K115">
        <v>177010</v>
      </c>
      <c r="L115">
        <v>34371</v>
      </c>
      <c r="O115">
        <v>237290</v>
      </c>
      <c r="P115">
        <v>4648825</v>
      </c>
      <c r="Q115">
        <v>2864084</v>
      </c>
      <c r="R115" s="1" t="s">
        <v>121</v>
      </c>
      <c r="S115" s="1">
        <f t="shared" si="11"/>
        <v>-107</v>
      </c>
      <c r="T115" s="1">
        <f t="shared" si="12"/>
        <v>-2</v>
      </c>
      <c r="U115">
        <f t="shared" si="15"/>
        <v>26</v>
      </c>
      <c r="V115">
        <f t="shared" si="16"/>
        <v>640</v>
      </c>
      <c r="W115" s="8">
        <f t="shared" si="10"/>
        <v>-1.3892060592220479E-2</v>
      </c>
      <c r="X115" s="1">
        <f>IF(Q115=0,(nazione[[#This Row],[nuovi_attualmente_positivi]]/nazione[[#This Row],[test_per_giorno]])*100,(nazione[[#This Row],[nuovi_attualmente_positivi]]/nazione[[#This Row],[test_per_giorno]])*100)</f>
        <v>1.7350970623604194</v>
      </c>
      <c r="Y115">
        <f>IF(nazione[[#This Row],[casi_testati]]=0,nazione[[#This Row],[tamponi]]-P114,IF(Q114=0,nazione[[#This Row],[casi_testati]]-Y114,nazione[[#This Row],[casi_testati]]-Q114))</f>
        <v>17463</v>
      </c>
      <c r="Z115" s="4">
        <f>IF(Q115=0,(nazione[[#This Row],[test_per_giorno]]/AG$3)*100,(nazione[[#This Row],[test_per_giorno]]/AG$3)*100)</f>
        <v>2.8986811589990603E-2</v>
      </c>
      <c r="AA115" s="4">
        <f>(nazione[[#This Row],[ricoverati_con_sintomi]]/nazione[[#This Row],[totale_attualmente_positivi]])*100</f>
        <v>13.466363039870316</v>
      </c>
      <c r="AB115" s="4">
        <f>(nazione[[#This Row],[terapia_intensiva]]/nazione[[#This Row],[totale_attualmente_positivi]])*100</f>
        <v>0.7989501717549885</v>
      </c>
      <c r="AC115" s="4">
        <f>((nazione[[#This Row],[totale_attualmente_positivi]]-(nazione[[#This Row],[totale_ospedalizzati]]))/nazione[[#This Row],[totale_attualmente_positivi]])*100</f>
        <v>85.734686788374688</v>
      </c>
      <c r="AD115" s="8">
        <f>(nazione[[#This Row],[Deceaded by day]]/nazione[[#This Row],[totale_attualmente_positivi]])*100</f>
        <v>0.10035122930255895</v>
      </c>
      <c r="AE115" s="8">
        <f>(nazione[[#This Row],[Deceaded by day]]/morti_per_regione!D$2) *100</f>
        <v>4.1065621283363843E-3</v>
      </c>
    </row>
    <row r="116" spans="1:31" x14ac:dyDescent="0.2">
      <c r="A116">
        <v>114</v>
      </c>
      <c r="B116" s="6">
        <v>43998.708333333336</v>
      </c>
      <c r="C116" s="1" t="s">
        <v>42</v>
      </c>
      <c r="D116">
        <v>3301</v>
      </c>
      <c r="E116">
        <v>177</v>
      </c>
      <c r="F116">
        <v>3478</v>
      </c>
      <c r="G116">
        <v>21091</v>
      </c>
      <c r="H116">
        <v>24569</v>
      </c>
      <c r="I116">
        <v>-1340</v>
      </c>
      <c r="J116">
        <v>210</v>
      </c>
      <c r="K116">
        <v>178526</v>
      </c>
      <c r="L116">
        <v>34405</v>
      </c>
      <c r="O116">
        <v>237500</v>
      </c>
      <c r="P116">
        <v>4695707</v>
      </c>
      <c r="Q116">
        <v>2891846</v>
      </c>
      <c r="R116" s="1" t="s">
        <v>82</v>
      </c>
      <c r="S116" s="1">
        <f t="shared" si="11"/>
        <v>-218</v>
      </c>
      <c r="T116" s="1">
        <f t="shared" si="12"/>
        <v>-30</v>
      </c>
      <c r="U116">
        <f t="shared" si="15"/>
        <v>34</v>
      </c>
      <c r="V116">
        <f t="shared" si="16"/>
        <v>1516</v>
      </c>
      <c r="W116" s="8">
        <f t="shared" si="10"/>
        <v>-5.1719479717472705E-2</v>
      </c>
      <c r="X116" s="1">
        <f>IF(Q116=0,(nazione[[#This Row],[nuovi_attualmente_positivi]]/nazione[[#This Row],[test_per_giorno]])*100,(nazione[[#This Row],[nuovi_attualmente_positivi]]/nazione[[#This Row],[test_per_giorno]])*100)</f>
        <v>0.75642965204236012</v>
      </c>
      <c r="Y116">
        <f>IF(nazione[[#This Row],[casi_testati]]=0,nazione[[#This Row],[tamponi]]-P115,IF(Q115=0,nazione[[#This Row],[casi_testati]]-Y115,nazione[[#This Row],[casi_testati]]-Q115))</f>
        <v>27762</v>
      </c>
      <c r="Z116" s="4">
        <f>IF(Q116=0,(nazione[[#This Row],[test_per_giorno]]/AG$3)*100,(nazione[[#This Row],[test_per_giorno]]/AG$3)*100)</f>
        <v>4.6082108650364724E-2</v>
      </c>
      <c r="AA116" s="4">
        <f>(nazione[[#This Row],[ricoverati_con_sintomi]]/nazione[[#This Row],[totale_attualmente_positivi]])*100</f>
        <v>13.435630265782084</v>
      </c>
      <c r="AB116" s="4">
        <f>(nazione[[#This Row],[terapia_intensiva]]/nazione[[#This Row],[totale_attualmente_positivi]])*100</f>
        <v>0.72042004151573125</v>
      </c>
      <c r="AC116" s="4">
        <f>((nazione[[#This Row],[totale_attualmente_positivi]]-(nazione[[#This Row],[totale_ospedalizzati]]))/nazione[[#This Row],[totale_attualmente_positivi]])*100</f>
        <v>85.843949692702182</v>
      </c>
      <c r="AD116" s="8">
        <f>(nazione[[#This Row],[Deceaded by day]]/nazione[[#This Row],[totale_attualmente_positivi]])*100</f>
        <v>0.13838577068663763</v>
      </c>
      <c r="AE116" s="8">
        <f>(nazione[[#This Row],[Deceaded by day]]/morti_per_regione!D$2) *100</f>
        <v>5.3701197062860405E-3</v>
      </c>
    </row>
    <row r="117" spans="1:31" x14ac:dyDescent="0.2">
      <c r="A117">
        <v>115</v>
      </c>
      <c r="B117" s="6">
        <v>43999.708333333336</v>
      </c>
      <c r="C117" s="1" t="s">
        <v>42</v>
      </c>
      <c r="D117">
        <v>3113</v>
      </c>
      <c r="E117">
        <v>163</v>
      </c>
      <c r="F117">
        <v>3276</v>
      </c>
      <c r="G117">
        <v>20649</v>
      </c>
      <c r="H117">
        <v>23925</v>
      </c>
      <c r="I117">
        <v>-644</v>
      </c>
      <c r="J117">
        <v>329</v>
      </c>
      <c r="K117">
        <v>179455</v>
      </c>
      <c r="L117">
        <v>34448</v>
      </c>
      <c r="O117">
        <v>237828</v>
      </c>
      <c r="P117">
        <v>4773408</v>
      </c>
      <c r="Q117">
        <v>2925803</v>
      </c>
      <c r="R117" s="1" t="s">
        <v>122</v>
      </c>
      <c r="S117" s="1">
        <f t="shared" si="11"/>
        <v>-202</v>
      </c>
      <c r="T117" s="1">
        <f t="shared" si="12"/>
        <v>-14</v>
      </c>
      <c r="U117">
        <f t="shared" si="15"/>
        <v>43</v>
      </c>
      <c r="V117">
        <f t="shared" si="16"/>
        <v>929</v>
      </c>
      <c r="W117" s="8">
        <f t="shared" si="10"/>
        <v>-2.6211893035939626E-2</v>
      </c>
      <c r="X117" s="1">
        <f>IF(Q117=0,(nazione[[#This Row],[nuovi_attualmente_positivi]]/nazione[[#This Row],[test_per_giorno]])*100,(nazione[[#This Row],[nuovi_attualmente_positivi]]/nazione[[#This Row],[test_per_giorno]])*100)</f>
        <v>0.96887239744382603</v>
      </c>
      <c r="Y117">
        <f>IF(nazione[[#This Row],[casi_testati]]=0,nazione[[#This Row],[tamponi]]-P116,IF(Q116=0,nazione[[#This Row],[casi_testati]]-Y116,nazione[[#This Row],[casi_testati]]-Q116))</f>
        <v>33957</v>
      </c>
      <c r="Z117" s="4">
        <f>IF(Q117=0,(nazione[[#This Row],[test_per_giorno]]/AG$3)*100,(nazione[[#This Row],[test_per_giorno]]/AG$3)*100)</f>
        <v>5.6365181306837944E-2</v>
      </c>
      <c r="AA117" s="4">
        <f>(nazione[[#This Row],[ricoverati_con_sintomi]]/nazione[[#This Row],[totale_attualmente_positivi]])*100</f>
        <v>13.011494252873563</v>
      </c>
      <c r="AB117" s="4">
        <f>(nazione[[#This Row],[terapia_intensiva]]/nazione[[#This Row],[totale_attualmente_positivi]])*100</f>
        <v>0.68129571577847436</v>
      </c>
      <c r="AC117" s="4">
        <f>((nazione[[#This Row],[totale_attualmente_positivi]]-(nazione[[#This Row],[totale_ospedalizzati]]))/nazione[[#This Row],[totale_attualmente_positivi]])*100</f>
        <v>86.307210031347964</v>
      </c>
      <c r="AD117" s="8">
        <f>(nazione[[#This Row],[Deceaded by day]]/nazione[[#This Row],[totale_attualmente_positivi]])*100</f>
        <v>0.17972831765935215</v>
      </c>
      <c r="AE117" s="8">
        <f>(nazione[[#This Row],[Deceaded by day]]/morti_per_regione!D$2) *100</f>
        <v>6.7916219814794041E-3</v>
      </c>
    </row>
    <row r="118" spans="1:31" x14ac:dyDescent="0.2">
      <c r="A118">
        <v>116</v>
      </c>
      <c r="B118" s="6">
        <v>44000.708333333336</v>
      </c>
      <c r="C118" s="1" t="s">
        <v>42</v>
      </c>
      <c r="D118">
        <v>2867</v>
      </c>
      <c r="E118">
        <v>168</v>
      </c>
      <c r="F118">
        <v>3035</v>
      </c>
      <c r="G118">
        <v>20066</v>
      </c>
      <c r="H118">
        <v>23101</v>
      </c>
      <c r="I118">
        <v>-824</v>
      </c>
      <c r="J118">
        <v>333</v>
      </c>
      <c r="K118">
        <v>180544</v>
      </c>
      <c r="L118">
        <v>34514</v>
      </c>
      <c r="O118">
        <v>238159</v>
      </c>
      <c r="P118">
        <v>4831562</v>
      </c>
      <c r="Q118">
        <v>2958724</v>
      </c>
      <c r="R118" s="1" t="s">
        <v>123</v>
      </c>
      <c r="S118" s="1">
        <f t="shared" si="11"/>
        <v>-241</v>
      </c>
      <c r="T118" s="1">
        <f t="shared" si="12"/>
        <v>5</v>
      </c>
      <c r="U118">
        <f t="shared" si="15"/>
        <v>66</v>
      </c>
      <c r="V118">
        <f t="shared" si="16"/>
        <v>1089</v>
      </c>
      <c r="W118" s="8">
        <f t="shared" si="10"/>
        <v>-3.4440961337513065E-2</v>
      </c>
      <c r="X118" s="1">
        <f>IF(Q118=0,(nazione[[#This Row],[nuovi_attualmente_positivi]]/nazione[[#This Row],[test_per_giorno]])*100,(nazione[[#This Row],[nuovi_attualmente_positivi]]/nazione[[#This Row],[test_per_giorno]])*100)</f>
        <v>1.0115124084930591</v>
      </c>
      <c r="Y118">
        <f>IF(nazione[[#This Row],[casi_testati]]=0,nazione[[#This Row],[tamponi]]-P117,IF(Q117=0,nazione[[#This Row],[casi_testati]]-Y117,nazione[[#This Row],[casi_testati]]-Q117))</f>
        <v>32921</v>
      </c>
      <c r="Z118" s="4">
        <f>IF(Q118=0,(nazione[[#This Row],[test_per_giorno]]/AG$3)*100,(nazione[[#This Row],[test_per_giorno]]/AG$3)*100)</f>
        <v>5.4645526218523775E-2</v>
      </c>
      <c r="AA118" s="4">
        <f>(nazione[[#This Row],[ricoverati_con_sintomi]]/nazione[[#This Row],[totale_attualmente_positivi]])*100</f>
        <v>12.410718150729405</v>
      </c>
      <c r="AB118" s="4">
        <f>(nazione[[#This Row],[terapia_intensiva]]/nazione[[#This Row],[totale_attualmente_positivi]])*100</f>
        <v>0.72724124496775033</v>
      </c>
      <c r="AC118" s="4">
        <f>((nazione[[#This Row],[totale_attualmente_positivi]]-(nazione[[#This Row],[totale_ospedalizzati]]))/nazione[[#This Row],[totale_attualmente_positivi]])*100</f>
        <v>86.862040604302848</v>
      </c>
      <c r="AD118" s="8">
        <f>(nazione[[#This Row],[Deceaded by day]]/nazione[[#This Row],[totale_attualmente_positivi]])*100</f>
        <v>0.28570191766590192</v>
      </c>
      <c r="AE118" s="8">
        <f>(nazione[[#This Row],[Deceaded by day]]/morti_per_regione!D$2) *100</f>
        <v>1.0424350018084668E-2</v>
      </c>
    </row>
    <row r="119" spans="1:31" x14ac:dyDescent="0.2">
      <c r="A119">
        <v>117</v>
      </c>
      <c r="B119" s="6">
        <v>44001.708333333336</v>
      </c>
      <c r="C119" s="1" t="s">
        <v>42</v>
      </c>
      <c r="D119">
        <v>2632</v>
      </c>
      <c r="E119">
        <v>161</v>
      </c>
      <c r="F119">
        <v>2793</v>
      </c>
      <c r="G119">
        <v>18750</v>
      </c>
      <c r="H119">
        <v>21543</v>
      </c>
      <c r="I119">
        <v>-1558</v>
      </c>
      <c r="J119">
        <v>251</v>
      </c>
      <c r="K119">
        <v>181907</v>
      </c>
      <c r="L119">
        <v>34561</v>
      </c>
      <c r="O119">
        <v>238011</v>
      </c>
      <c r="P119">
        <v>4889103</v>
      </c>
      <c r="Q119">
        <v>2987294</v>
      </c>
      <c r="R119" s="1" t="s">
        <v>124</v>
      </c>
      <c r="S119" s="1">
        <f t="shared" si="11"/>
        <v>-242</v>
      </c>
      <c r="T119" s="1">
        <f t="shared" si="12"/>
        <v>-7</v>
      </c>
      <c r="U119">
        <f t="shared" si="15"/>
        <v>47</v>
      </c>
      <c r="V119">
        <f t="shared" si="16"/>
        <v>1363</v>
      </c>
      <c r="W119" s="8">
        <f t="shared" si="10"/>
        <v>-6.7442967836890189E-2</v>
      </c>
      <c r="X119" s="1">
        <f>IF(Q119=0,(nazione[[#This Row],[nuovi_attualmente_positivi]]/nazione[[#This Row],[test_per_giorno]])*100,(nazione[[#This Row],[nuovi_attualmente_positivi]]/nazione[[#This Row],[test_per_giorno]])*100)</f>
        <v>0.87854392719635988</v>
      </c>
      <c r="Y119">
        <f>IF(nazione[[#This Row],[casi_testati]]=0,nazione[[#This Row],[tamponi]]-P118,IF(Q118=0,nazione[[#This Row],[casi_testati]]-Y118,nazione[[#This Row],[casi_testati]]-Q118))</f>
        <v>28570</v>
      </c>
      <c r="Z119" s="4">
        <f>IF(Q119=0,(nazione[[#This Row],[test_per_giorno]]/AG$3)*100,(nazione[[#This Row],[test_per_giorno]]/AG$3)*100)</f>
        <v>4.7423306827351061E-2</v>
      </c>
      <c r="AA119" s="4">
        <f>(nazione[[#This Row],[ricoverati_con_sintomi]]/nazione[[#This Row],[totale_attualmente_positivi]])*100</f>
        <v>12.217425613888503</v>
      </c>
      <c r="AB119" s="4">
        <f>(nazione[[#This Row],[terapia_intensiva]]/nazione[[#This Row],[totale_attualmente_positivi]])*100</f>
        <v>0.74734252425381797</v>
      </c>
      <c r="AC119" s="4">
        <f>((nazione[[#This Row],[totale_attualmente_positivi]]-(nazione[[#This Row],[totale_ospedalizzati]]))/nazione[[#This Row],[totale_attualmente_positivi]])*100</f>
        <v>87.035231861857682</v>
      </c>
      <c r="AD119" s="8">
        <f>(nazione[[#This Row],[Deceaded by day]]/nazione[[#This Row],[totale_attualmente_positivi]])*100</f>
        <v>0.21816831453372326</v>
      </c>
      <c r="AE119" s="8">
        <f>(nazione[[#This Row],[Deceaded by day]]/morti_per_regione!D$2) *100</f>
        <v>7.4234007704542335E-3</v>
      </c>
    </row>
    <row r="120" spans="1:31" x14ac:dyDescent="0.2">
      <c r="A120">
        <v>118</v>
      </c>
      <c r="B120" s="6">
        <v>44002.708333333336</v>
      </c>
      <c r="C120" s="1" t="s">
        <v>42</v>
      </c>
      <c r="D120">
        <v>2474</v>
      </c>
      <c r="E120">
        <v>152</v>
      </c>
      <c r="F120">
        <v>2626</v>
      </c>
      <c r="G120">
        <v>18586</v>
      </c>
      <c r="H120">
        <v>21212</v>
      </c>
      <c r="I120">
        <v>-331</v>
      </c>
      <c r="J120">
        <v>262</v>
      </c>
      <c r="K120">
        <v>182453</v>
      </c>
      <c r="L120">
        <v>34610</v>
      </c>
      <c r="O120">
        <v>238275</v>
      </c>
      <c r="P120">
        <v>4943825</v>
      </c>
      <c r="Q120">
        <v>3017169</v>
      </c>
      <c r="R120" s="1" t="s">
        <v>125</v>
      </c>
      <c r="S120" s="1">
        <f t="shared" si="11"/>
        <v>-167</v>
      </c>
      <c r="T120" s="1">
        <f t="shared" si="12"/>
        <v>-9</v>
      </c>
      <c r="U120">
        <f t="shared" si="15"/>
        <v>49</v>
      </c>
      <c r="V120">
        <f t="shared" si="16"/>
        <v>546</v>
      </c>
      <c r="W120" s="8">
        <f t="shared" si="10"/>
        <v>-1.5364619598013274E-2</v>
      </c>
      <c r="X120" s="1">
        <f>IF(Q120=0,(nazione[[#This Row],[nuovi_attualmente_positivi]]/nazione[[#This Row],[test_per_giorno]])*100,(nazione[[#This Row],[nuovi_attualmente_positivi]]/nazione[[#This Row],[test_per_giorno]])*100)</f>
        <v>0.87698744769874482</v>
      </c>
      <c r="Y120">
        <f>IF(nazione[[#This Row],[casi_testati]]=0,nazione[[#This Row],[tamponi]]-P119,IF(Q119=0,nazione[[#This Row],[casi_testati]]-Y119,nazione[[#This Row],[casi_testati]]-Q119))</f>
        <v>29875</v>
      </c>
      <c r="Z120" s="4">
        <f>IF(Q120=0,(nazione[[#This Row],[test_per_giorno]]/AG$3)*100,(nazione[[#This Row],[test_per_giorno]]/AG$3)*100)</f>
        <v>4.9589474675082706E-2</v>
      </c>
      <c r="AA120" s="4">
        <f>(nazione[[#This Row],[ricoverati_con_sintomi]]/nazione[[#This Row],[totale_attualmente_positivi]])*100</f>
        <v>11.66320950405431</v>
      </c>
      <c r="AB120" s="4">
        <f>(nazione[[#This Row],[terapia_intensiva]]/nazione[[#This Row],[totale_attualmente_positivi]])*100</f>
        <v>0.71657552328870444</v>
      </c>
      <c r="AC120" s="4">
        <f>((nazione[[#This Row],[totale_attualmente_positivi]]-(nazione[[#This Row],[totale_ospedalizzati]]))/nazione[[#This Row],[totale_attualmente_positivi]])*100</f>
        <v>87.620214972656981</v>
      </c>
      <c r="AD120" s="8">
        <f>(nazione[[#This Row],[Deceaded by day]]/nazione[[#This Row],[totale_attualmente_positivi]])*100</f>
        <v>0.23100132000754289</v>
      </c>
      <c r="AE120" s="8">
        <f>(nazione[[#This Row],[Deceaded by day]]/morti_per_regione!D$2) *100</f>
        <v>7.7392901649416474E-3</v>
      </c>
    </row>
    <row r="121" spans="1:31" x14ac:dyDescent="0.2">
      <c r="A121">
        <v>119</v>
      </c>
      <c r="B121" s="6">
        <v>44003.708333333336</v>
      </c>
      <c r="C121" s="1" t="s">
        <v>42</v>
      </c>
      <c r="D121">
        <v>2314</v>
      </c>
      <c r="E121">
        <v>148</v>
      </c>
      <c r="F121">
        <v>2462</v>
      </c>
      <c r="G121">
        <v>18510</v>
      </c>
      <c r="H121">
        <v>20972</v>
      </c>
      <c r="I121">
        <v>-240</v>
      </c>
      <c r="J121">
        <v>224</v>
      </c>
      <c r="K121">
        <v>182893</v>
      </c>
      <c r="L121">
        <v>34634</v>
      </c>
      <c r="O121">
        <v>238499</v>
      </c>
      <c r="P121">
        <v>4984370</v>
      </c>
      <c r="Q121">
        <v>3041750</v>
      </c>
      <c r="R121" s="1" t="s">
        <v>82</v>
      </c>
      <c r="S121" s="1">
        <f t="shared" si="11"/>
        <v>-164</v>
      </c>
      <c r="T121" s="1">
        <f t="shared" si="12"/>
        <v>-4</v>
      </c>
      <c r="U121">
        <f t="shared" si="15"/>
        <v>24</v>
      </c>
      <c r="V121">
        <f t="shared" si="16"/>
        <v>440</v>
      </c>
      <c r="W121" s="8">
        <f t="shared" si="10"/>
        <v>-1.1314350367716441E-2</v>
      </c>
      <c r="X121" s="1">
        <f>IF(Q121=0,(nazione[[#This Row],[nuovi_attualmente_positivi]]/nazione[[#This Row],[test_per_giorno]])*100,(nazione[[#This Row],[nuovi_attualmente_positivi]]/nazione[[#This Row],[test_per_giorno]])*100)</f>
        <v>0.9112729343802124</v>
      </c>
      <c r="Y121">
        <f>IF(nazione[[#This Row],[casi_testati]]=0,nazione[[#This Row],[tamponi]]-P120,IF(Q120=0,nazione[[#This Row],[casi_testati]]-Y120,nazione[[#This Row],[casi_testati]]-Q120))</f>
        <v>24581</v>
      </c>
      <c r="Z121" s="4">
        <f>IF(Q121=0,(nazione[[#This Row],[test_per_giorno]]/AG$3)*100,(nazione[[#This Row],[test_per_giorno]]/AG$3)*100)</f>
        <v>4.0801970777847966E-2</v>
      </c>
      <c r="AA121" s="4">
        <f>(nazione[[#This Row],[ricoverati_con_sintomi]]/nazione[[#This Row],[totale_attualmente_positivi]])*100</f>
        <v>11.033759298111768</v>
      </c>
      <c r="AB121" s="4">
        <f>(nazione[[#This Row],[terapia_intensiva]]/nazione[[#This Row],[totale_attualmente_positivi]])*100</f>
        <v>0.70570284188441723</v>
      </c>
      <c r="AC121" s="4">
        <f>((nazione[[#This Row],[totale_attualmente_positivi]]-(nazione[[#This Row],[totale_ospedalizzati]]))/nazione[[#This Row],[totale_attualmente_positivi]])*100</f>
        <v>88.260537860003822</v>
      </c>
      <c r="AD121" s="8">
        <f>(nazione[[#This Row],[Deceaded by day]]/nazione[[#This Row],[totale_attualmente_positivi]])*100</f>
        <v>0.11443829868395958</v>
      </c>
      <c r="AE121" s="8">
        <f>(nazione[[#This Row],[Deceaded by day]]/morti_per_regione!D$2) *100</f>
        <v>3.79067273384897E-3</v>
      </c>
    </row>
    <row r="122" spans="1:31" x14ac:dyDescent="0.2">
      <c r="A122">
        <v>120</v>
      </c>
      <c r="B122" s="6">
        <v>44004.708333333336</v>
      </c>
      <c r="C122" s="1" t="s">
        <v>42</v>
      </c>
      <c r="D122">
        <v>2038</v>
      </c>
      <c r="E122">
        <v>127</v>
      </c>
      <c r="F122">
        <v>2165</v>
      </c>
      <c r="G122">
        <v>18472</v>
      </c>
      <c r="H122">
        <v>20637</v>
      </c>
      <c r="I122">
        <v>-335</v>
      </c>
      <c r="J122">
        <v>218</v>
      </c>
      <c r="K122">
        <v>183426</v>
      </c>
      <c r="L122">
        <v>34657</v>
      </c>
      <c r="O122">
        <v>238720</v>
      </c>
      <c r="P122">
        <v>5013342</v>
      </c>
      <c r="Q122">
        <v>3057902</v>
      </c>
      <c r="R122" s="1" t="s">
        <v>126</v>
      </c>
      <c r="S122" s="1">
        <f t="shared" si="11"/>
        <v>-297</v>
      </c>
      <c r="T122" s="1">
        <f t="shared" si="12"/>
        <v>-21</v>
      </c>
      <c r="U122">
        <f t="shared" si="15"/>
        <v>23</v>
      </c>
      <c r="V122">
        <f t="shared" si="16"/>
        <v>533</v>
      </c>
      <c r="W122" s="8">
        <f t="shared" si="10"/>
        <v>-1.5973679191302659E-2</v>
      </c>
      <c r="X122" s="1">
        <f>IF(Q122=0,(nazione[[#This Row],[nuovi_attualmente_positivi]]/nazione[[#This Row],[test_per_giorno]])*100,(nazione[[#This Row],[nuovi_attualmente_positivi]]/nazione[[#This Row],[test_per_giorno]])*100)</f>
        <v>1.3496780584447747</v>
      </c>
      <c r="Y122">
        <f>IF(nazione[[#This Row],[casi_testati]]=0,nazione[[#This Row],[tamponi]]-P121,IF(Q121=0,nazione[[#This Row],[casi_testati]]-Y121,nazione[[#This Row],[casi_testati]]-Q121))</f>
        <v>16152</v>
      </c>
      <c r="Z122" s="4">
        <f>IF(Q122=0,(nazione[[#This Row],[test_per_giorno]]/AG$3)*100,(nazione[[#This Row],[test_per_giorno]]/AG$3)*100)</f>
        <v>2.6810684349855594E-2</v>
      </c>
      <c r="AA122" s="4">
        <f>(nazione[[#This Row],[ricoverati_con_sintomi]]/nazione[[#This Row],[totale_attualmente_positivi]])*100</f>
        <v>9.8754663953093953</v>
      </c>
      <c r="AB122" s="4">
        <f>(nazione[[#This Row],[terapia_intensiva]]/nazione[[#This Row],[totale_attualmente_positivi]])*100</f>
        <v>0.6153995251247758</v>
      </c>
      <c r="AC122" s="4">
        <f>((nazione[[#This Row],[totale_attualmente_positivi]]-(nazione[[#This Row],[totale_ospedalizzati]]))/nazione[[#This Row],[totale_attualmente_positivi]])*100</f>
        <v>89.50913407956584</v>
      </c>
      <c r="AD122" s="8">
        <f>(nazione[[#This Row],[Deceaded by day]]/nazione[[#This Row],[totale_attualmente_positivi]])*100</f>
        <v>0.11145030769976257</v>
      </c>
      <c r="AE122" s="8">
        <f>(nazione[[#This Row],[Deceaded by day]]/morti_per_regione!D$2) *100</f>
        <v>3.6327280366052631E-3</v>
      </c>
    </row>
    <row r="123" spans="1:31" x14ac:dyDescent="0.2">
      <c r="A123">
        <v>121</v>
      </c>
      <c r="B123" s="6">
        <v>44005.708333333336</v>
      </c>
      <c r="C123" s="1" t="s">
        <v>42</v>
      </c>
      <c r="D123">
        <v>1853</v>
      </c>
      <c r="E123">
        <v>115</v>
      </c>
      <c r="F123">
        <v>1968</v>
      </c>
      <c r="G123">
        <v>17605</v>
      </c>
      <c r="H123">
        <v>19573</v>
      </c>
      <c r="I123">
        <v>-1064</v>
      </c>
      <c r="J123">
        <v>122</v>
      </c>
      <c r="K123">
        <v>184585</v>
      </c>
      <c r="L123">
        <v>34675</v>
      </c>
      <c r="O123">
        <v>238833</v>
      </c>
      <c r="P123">
        <v>5053827</v>
      </c>
      <c r="Q123">
        <v>3081127</v>
      </c>
      <c r="R123" s="1" t="s">
        <v>127</v>
      </c>
      <c r="S123" s="1">
        <f t="shared" si="11"/>
        <v>-197</v>
      </c>
      <c r="T123" s="1">
        <f t="shared" si="12"/>
        <v>-12</v>
      </c>
      <c r="U123">
        <f t="shared" si="15"/>
        <v>18</v>
      </c>
      <c r="V123">
        <f t="shared" si="16"/>
        <v>1159</v>
      </c>
      <c r="W123" s="8">
        <f t="shared" si="10"/>
        <v>-5.1557881475020606E-2</v>
      </c>
      <c r="X123" s="1">
        <f>IF(Q123=0,(nazione[[#This Row],[nuovi_attualmente_positivi]]/nazione[[#This Row],[test_per_giorno]])*100,(nazione[[#This Row],[nuovi_attualmente_positivi]]/nazione[[#This Row],[test_per_giorno]])*100)</f>
        <v>0.52529601722282027</v>
      </c>
      <c r="Y123">
        <f>IF(nazione[[#This Row],[casi_testati]]=0,nazione[[#This Row],[tamponi]]-P122,IF(Q122=0,nazione[[#This Row],[casi_testati]]-Y122,nazione[[#This Row],[casi_testati]]-Q122))</f>
        <v>23225</v>
      </c>
      <c r="Z123" s="4">
        <f>IF(Q123=0,(nazione[[#This Row],[test_per_giorno]]/AG$3)*100,(nazione[[#This Row],[test_per_giorno]]/AG$3)*100)</f>
        <v>3.855114809468773E-2</v>
      </c>
      <c r="AA123" s="4">
        <f>(nazione[[#This Row],[ricoverati_con_sintomi]]/nazione[[#This Row],[totale_attualmente_positivi]])*100</f>
        <v>9.467123077709088</v>
      </c>
      <c r="AB123" s="4">
        <f>(nazione[[#This Row],[terapia_intensiva]]/nazione[[#This Row],[totale_attualmente_positivi]])*100</f>
        <v>0.58754406580493534</v>
      </c>
      <c r="AC123" s="4">
        <f>((nazione[[#This Row],[totale_attualmente_positivi]]-(nazione[[#This Row],[totale_ospedalizzati]]))/nazione[[#This Row],[totale_attualmente_positivi]])*100</f>
        <v>89.945332856485976</v>
      </c>
      <c r="AD123" s="8">
        <f>(nazione[[#This Row],[Deceaded by day]]/nazione[[#This Row],[totale_attualmente_positivi]])*100</f>
        <v>9.1963418995555102E-2</v>
      </c>
      <c r="AE123" s="8">
        <f>(nazione[[#This Row],[Deceaded by day]]/morti_per_regione!D$2) *100</f>
        <v>2.8430045503867276E-3</v>
      </c>
    </row>
    <row r="124" spans="1:31" x14ac:dyDescent="0.2">
      <c r="A124">
        <v>122</v>
      </c>
      <c r="B124" s="6">
        <v>44006.708333333336</v>
      </c>
      <c r="C124" s="1" t="s">
        <v>42</v>
      </c>
      <c r="D124">
        <v>1610</v>
      </c>
      <c r="E124">
        <v>107</v>
      </c>
      <c r="F124">
        <v>1717</v>
      </c>
      <c r="G124">
        <v>16938</v>
      </c>
      <c r="H124">
        <v>18655</v>
      </c>
      <c r="I124">
        <v>-918</v>
      </c>
      <c r="J124">
        <v>190</v>
      </c>
      <c r="K124">
        <v>186111</v>
      </c>
      <c r="L124">
        <v>34644</v>
      </c>
      <c r="O124">
        <v>239410</v>
      </c>
      <c r="P124">
        <v>5107093</v>
      </c>
      <c r="Q124">
        <v>3111364</v>
      </c>
      <c r="R124" s="1" t="s">
        <v>128</v>
      </c>
      <c r="S124" s="1">
        <f t="shared" si="11"/>
        <v>-251</v>
      </c>
      <c r="T124" s="1">
        <f t="shared" si="12"/>
        <v>-8</v>
      </c>
      <c r="U124">
        <f t="shared" si="15"/>
        <v>-31</v>
      </c>
      <c r="V124">
        <f t="shared" si="16"/>
        <v>1526</v>
      </c>
      <c r="W124" s="8">
        <f t="shared" si="10"/>
        <v>-4.6901343687733132E-2</v>
      </c>
      <c r="X124" s="1">
        <f>IF(Q124=0,(nazione[[#This Row],[nuovi_attualmente_positivi]]/nazione[[#This Row],[test_per_giorno]])*100,(nazione[[#This Row],[nuovi_attualmente_positivi]]/nazione[[#This Row],[test_per_giorno]])*100)</f>
        <v>0.6283692165228032</v>
      </c>
      <c r="Y124">
        <f>IF(nazione[[#This Row],[casi_testati]]=0,nazione[[#This Row],[tamponi]]-P123,IF(Q123=0,nazione[[#This Row],[casi_testati]]-Y123,nazione[[#This Row],[casi_testati]]-Q123))</f>
        <v>30237</v>
      </c>
      <c r="Z124" s="4">
        <f>IF(Q124=0,(nazione[[#This Row],[test_per_giorno]]/AG$3)*100,(nazione[[#This Row],[test_per_giorno]]/AG$3)*100)</f>
        <v>5.0190358016752333E-2</v>
      </c>
      <c r="AA124" s="4">
        <f>(nazione[[#This Row],[ricoverati_con_sintomi]]/nazione[[#This Row],[totale_attualmente_positivi]])*100</f>
        <v>8.6303939962476548</v>
      </c>
      <c r="AB124" s="4">
        <f>(nazione[[#This Row],[terapia_intensiva]]/nazione[[#This Row],[totale_attualmente_positivi]])*100</f>
        <v>0.57357276869471996</v>
      </c>
      <c r="AC124" s="4">
        <f>((nazione[[#This Row],[totale_attualmente_positivi]]-(nazione[[#This Row],[totale_ospedalizzati]]))/nazione[[#This Row],[totale_attualmente_positivi]])*100</f>
        <v>90.796033235057621</v>
      </c>
      <c r="AD124" s="8">
        <f>(nazione[[#This Row],[Deceaded by day]]/nazione[[#This Row],[totale_attualmente_positivi]])*100</f>
        <v>-0.16617528812650764</v>
      </c>
      <c r="AE124" s="8">
        <f>(nazione[[#This Row],[Deceaded by day]]/morti_per_regione!D$2) *100</f>
        <v>-4.8962856145549202E-3</v>
      </c>
    </row>
    <row r="125" spans="1:31" x14ac:dyDescent="0.2">
      <c r="A125">
        <v>123</v>
      </c>
      <c r="B125" s="6">
        <v>44007.708333333336</v>
      </c>
      <c r="C125" s="1" t="s">
        <v>42</v>
      </c>
      <c r="D125">
        <v>1515</v>
      </c>
      <c r="E125">
        <v>103</v>
      </c>
      <c r="F125">
        <v>1618</v>
      </c>
      <c r="G125">
        <v>16685</v>
      </c>
      <c r="H125">
        <v>18303</v>
      </c>
      <c r="I125">
        <v>-352</v>
      </c>
      <c r="J125">
        <v>296</v>
      </c>
      <c r="K125">
        <v>186725</v>
      </c>
      <c r="L125">
        <v>34678</v>
      </c>
      <c r="M125">
        <v>223905</v>
      </c>
      <c r="N125">
        <v>15801</v>
      </c>
      <c r="O125">
        <v>239706</v>
      </c>
      <c r="P125">
        <v>5163154</v>
      </c>
      <c r="Q125">
        <v>3140785</v>
      </c>
      <c r="R125" s="1" t="s">
        <v>82</v>
      </c>
      <c r="S125" s="1">
        <f t="shared" si="11"/>
        <v>-99</v>
      </c>
      <c r="T125" s="1">
        <f t="shared" si="12"/>
        <v>-4</v>
      </c>
      <c r="U125">
        <f t="shared" si="15"/>
        <v>34</v>
      </c>
      <c r="V125">
        <f t="shared" si="16"/>
        <v>614</v>
      </c>
      <c r="W125" s="8">
        <f t="shared" si="10"/>
        <v>-1.8868935942106702E-2</v>
      </c>
      <c r="X125" s="1">
        <f>IF(Q125=0,(nazione[[#This Row],[nuovi_attualmente_positivi]]/nazione[[#This Row],[test_per_giorno]])*100,(nazione[[#This Row],[nuovi_attualmente_positivi]]/nazione[[#This Row],[test_per_giorno]])*100)</f>
        <v>1.0060840895958669</v>
      </c>
      <c r="Y125">
        <f>IF(nazione[[#This Row],[casi_testati]]=0,nazione[[#This Row],[tamponi]]-P124,IF(Q124=0,nazione[[#This Row],[casi_testati]]-Y124,nazione[[#This Row],[casi_testati]]-Q124))</f>
        <v>29421</v>
      </c>
      <c r="Z125" s="4">
        <f>IF(Q125=0,(nazione[[#This Row],[test_per_giorno]]/AG$3)*100,(nazione[[#This Row],[test_per_giorno]]/AG$3)*100)</f>
        <v>4.8835880649894838E-2</v>
      </c>
      <c r="AA125" s="4">
        <f>(nazione[[#This Row],[ricoverati_con_sintomi]]/nazione[[#This Row],[totale_attualmente_positivi]])*100</f>
        <v>8.2773315849860687</v>
      </c>
      <c r="AB125" s="4">
        <f>(nazione[[#This Row],[terapia_intensiva]]/nazione[[#This Row],[totale_attualmente_positivi]])*100</f>
        <v>0.56274927607496039</v>
      </c>
      <c r="AC125" s="4">
        <f>((nazione[[#This Row],[totale_attualmente_positivi]]-(nazione[[#This Row],[totale_ospedalizzati]]))/nazione[[#This Row],[totale_attualmente_positivi]])*100</f>
        <v>91.159919138938974</v>
      </c>
      <c r="AD125" s="8">
        <f>(nazione[[#This Row],[Deceaded by day]]/nazione[[#This Row],[totale_attualmente_positivi]])*100</f>
        <v>0.18576189695678305</v>
      </c>
      <c r="AE125" s="8">
        <f>(nazione[[#This Row],[Deceaded by day]]/morti_per_regione!D$2) *100</f>
        <v>5.3701197062860405E-3</v>
      </c>
    </row>
    <row r="126" spans="1:31" x14ac:dyDescent="0.2">
      <c r="A126">
        <v>124</v>
      </c>
      <c r="B126" s="6">
        <v>44008.708333333336</v>
      </c>
      <c r="C126" s="1" t="s">
        <v>42</v>
      </c>
      <c r="D126">
        <v>1356</v>
      </c>
      <c r="E126">
        <v>105</v>
      </c>
      <c r="F126">
        <v>1461</v>
      </c>
      <c r="G126">
        <v>16177</v>
      </c>
      <c r="H126">
        <v>17638</v>
      </c>
      <c r="I126">
        <v>-665</v>
      </c>
      <c r="J126">
        <v>259</v>
      </c>
      <c r="K126">
        <v>187615</v>
      </c>
      <c r="L126">
        <v>34708</v>
      </c>
      <c r="M126">
        <v>223440</v>
      </c>
      <c r="N126">
        <v>16521</v>
      </c>
      <c r="O126">
        <v>239961</v>
      </c>
      <c r="P126">
        <v>5215922</v>
      </c>
      <c r="Q126">
        <v>3169116</v>
      </c>
      <c r="R126" s="1" t="s">
        <v>82</v>
      </c>
      <c r="S126" s="1">
        <f t="shared" si="11"/>
        <v>-157</v>
      </c>
      <c r="T126" s="1">
        <f t="shared" si="12"/>
        <v>2</v>
      </c>
      <c r="U126">
        <f t="shared" si="15"/>
        <v>30</v>
      </c>
      <c r="V126">
        <f t="shared" si="16"/>
        <v>890</v>
      </c>
      <c r="W126" s="8">
        <f t="shared" si="10"/>
        <v>-3.6332841610664968E-2</v>
      </c>
      <c r="X126" s="1">
        <f>IF(Q126=0,(nazione[[#This Row],[nuovi_attualmente_positivi]]/nazione[[#This Row],[test_per_giorno]])*100,(nazione[[#This Row],[nuovi_attualmente_positivi]]/nazione[[#This Row],[test_per_giorno]])*100)</f>
        <v>0.91419293353570286</v>
      </c>
      <c r="Y126">
        <f>IF(nazione[[#This Row],[casi_testati]]=0,nazione[[#This Row],[tamponi]]-P125,IF(Q125=0,nazione[[#This Row],[casi_testati]]-Y125,nazione[[#This Row],[casi_testati]]-Q125))</f>
        <v>28331</v>
      </c>
      <c r="Z126" s="4">
        <f>IF(Q126=0,(nazione[[#This Row],[test_per_giorno]]/AG$3)*100,(nazione[[#This Row],[test_per_giorno]]/AG$3)*100)</f>
        <v>4.7026591029950403E-2</v>
      </c>
      <c r="AA126" s="4">
        <f>(nazione[[#This Row],[ricoverati_con_sintomi]]/nazione[[#This Row],[totale_attualmente_positivi]])*100</f>
        <v>7.6879464791926519</v>
      </c>
      <c r="AB126" s="4">
        <f>(nazione[[#This Row],[terapia_intensiva]]/nazione[[#This Row],[totale_attualmente_positivi]])*100</f>
        <v>0.5953055902029708</v>
      </c>
      <c r="AC126" s="4">
        <f>((nazione[[#This Row],[totale_attualmente_positivi]]-(nazione[[#This Row],[totale_ospedalizzati]]))/nazione[[#This Row],[totale_attualmente_positivi]])*100</f>
        <v>91.716747930604384</v>
      </c>
      <c r="AD126" s="8">
        <f>(nazione[[#This Row],[Deceaded by day]]/nazione[[#This Row],[totale_attualmente_positivi]])*100</f>
        <v>0.17008731148656309</v>
      </c>
      <c r="AE126" s="8">
        <f>(nazione[[#This Row],[Deceaded by day]]/morti_per_regione!D$2) *100</f>
        <v>4.738340917311212E-3</v>
      </c>
    </row>
    <row r="127" spans="1:31" x14ac:dyDescent="0.2">
      <c r="A127">
        <v>125</v>
      </c>
      <c r="B127" s="6">
        <v>44009.708333333336</v>
      </c>
      <c r="C127" s="1" t="s">
        <v>42</v>
      </c>
      <c r="D127">
        <v>1260</v>
      </c>
      <c r="E127">
        <v>97</v>
      </c>
      <c r="F127">
        <v>1357</v>
      </c>
      <c r="G127">
        <v>15479</v>
      </c>
      <c r="H127">
        <v>16836</v>
      </c>
      <c r="I127">
        <v>-802</v>
      </c>
      <c r="J127">
        <v>175</v>
      </c>
      <c r="K127">
        <v>188584</v>
      </c>
      <c r="L127">
        <v>34716</v>
      </c>
      <c r="M127">
        <v>223262</v>
      </c>
      <c r="N127">
        <v>16874</v>
      </c>
      <c r="O127">
        <v>240136</v>
      </c>
      <c r="P127">
        <v>5277273</v>
      </c>
      <c r="Q127">
        <v>3198837</v>
      </c>
      <c r="R127" s="1" t="s">
        <v>82</v>
      </c>
      <c r="S127" s="1">
        <f t="shared" si="11"/>
        <v>-104</v>
      </c>
      <c r="T127" s="1">
        <f t="shared" si="12"/>
        <v>-8</v>
      </c>
      <c r="U127">
        <f t="shared" si="15"/>
        <v>8</v>
      </c>
      <c r="V127">
        <f t="shared" si="16"/>
        <v>969</v>
      </c>
      <c r="W127" s="8">
        <f t="shared" si="10"/>
        <v>-4.5470007937407853E-2</v>
      </c>
      <c r="X127" s="1">
        <f>IF(Q127=0,(nazione[[#This Row],[nuovi_attualmente_positivi]]/nazione[[#This Row],[test_per_giorno]])*100,(nazione[[#This Row],[nuovi_attualmente_positivi]]/nazione[[#This Row],[test_per_giorno]])*100)</f>
        <v>0.58880925944618279</v>
      </c>
      <c r="Y127">
        <f>IF(nazione[[#This Row],[casi_testati]]=0,nazione[[#This Row],[tamponi]]-P126,IF(Q126=0,nazione[[#This Row],[casi_testati]]-Y126,nazione[[#This Row],[casi_testati]]-Q126))</f>
        <v>29721</v>
      </c>
      <c r="Z127" s="4">
        <f>IF(Q127=0,(nazione[[#This Row],[test_per_giorno]]/AG$3)*100,(nazione[[#This Row],[test_per_giorno]]/AG$3)*100)</f>
        <v>4.9333850270063033E-2</v>
      </c>
      <c r="AA127" s="4">
        <f>(nazione[[#This Row],[ricoverati_con_sintomi]]/nazione[[#This Row],[totale_attualmente_positivi]])*100</f>
        <v>7.4839629365645051</v>
      </c>
      <c r="AB127" s="4">
        <f>(nazione[[#This Row],[terapia_intensiva]]/nazione[[#This Row],[totale_attualmente_positivi]])*100</f>
        <v>0.57614635305298167</v>
      </c>
      <c r="AC127" s="4">
        <f>((nazione[[#This Row],[totale_attualmente_positivi]]-(nazione[[#This Row],[totale_ospedalizzati]]))/nazione[[#This Row],[totale_attualmente_positivi]])*100</f>
        <v>91.939890710382514</v>
      </c>
      <c r="AD127" s="8">
        <f>(nazione[[#This Row],[Deceaded by day]]/nazione[[#This Row],[totale_attualmente_positivi]])*100</f>
        <v>4.7517224994060345E-2</v>
      </c>
      <c r="AE127" s="8">
        <f>(nazione[[#This Row],[Deceaded by day]]/morti_per_regione!D$2) *100</f>
        <v>1.2635575779496567E-3</v>
      </c>
    </row>
    <row r="128" spans="1:31" x14ac:dyDescent="0.2">
      <c r="A128">
        <v>126</v>
      </c>
      <c r="B128" s="6">
        <v>44010.708333333336</v>
      </c>
      <c r="C128" s="1" t="s">
        <v>42</v>
      </c>
      <c r="D128">
        <v>1160</v>
      </c>
      <c r="E128">
        <v>98</v>
      </c>
      <c r="F128">
        <v>1258</v>
      </c>
      <c r="G128">
        <v>15423</v>
      </c>
      <c r="H128">
        <v>16681</v>
      </c>
      <c r="I128">
        <v>-155</v>
      </c>
      <c r="J128">
        <v>174</v>
      </c>
      <c r="K128">
        <v>188891</v>
      </c>
      <c r="L128">
        <v>34738</v>
      </c>
      <c r="M128">
        <v>223272</v>
      </c>
      <c r="N128">
        <v>17038</v>
      </c>
      <c r="O128">
        <v>240310</v>
      </c>
      <c r="P128">
        <v>5314619</v>
      </c>
      <c r="Q128">
        <v>3220020</v>
      </c>
      <c r="R128" s="1" t="s">
        <v>82</v>
      </c>
      <c r="S128" s="1">
        <f t="shared" si="11"/>
        <v>-99</v>
      </c>
      <c r="T128" s="1">
        <f t="shared" si="12"/>
        <v>1</v>
      </c>
      <c r="U128">
        <f t="shared" si="15"/>
        <v>22</v>
      </c>
      <c r="V128">
        <f t="shared" si="16"/>
        <v>307</v>
      </c>
      <c r="W128" s="8">
        <f t="shared" si="10"/>
        <v>-9.2064623425991421E-3</v>
      </c>
      <c r="X128" s="1">
        <f>IF(Q128=0,(nazione[[#This Row],[nuovi_attualmente_positivi]]/nazione[[#This Row],[test_per_giorno]])*100,(nazione[[#This Row],[nuovi_attualmente_positivi]]/nazione[[#This Row],[test_per_giorno]])*100)</f>
        <v>0.82141339753575981</v>
      </c>
      <c r="Y128">
        <f>IF(nazione[[#This Row],[casi_testati]]=0,nazione[[#This Row],[tamponi]]-P127,IF(Q127=0,nazione[[#This Row],[casi_testati]]-Y127,nazione[[#This Row],[casi_testati]]-Q127))</f>
        <v>21183</v>
      </c>
      <c r="Z128" s="4">
        <f>IF(Q128=0,(nazione[[#This Row],[test_per_giorno]]/AG$3)*100,(nazione[[#This Row],[test_per_giorno]]/AG$3)*100)</f>
        <v>3.5161634880076217E-2</v>
      </c>
      <c r="AA128" s="4">
        <f>(nazione[[#This Row],[ricoverati_con_sintomi]]/nazione[[#This Row],[totale_attualmente_positivi]])*100</f>
        <v>6.9540195431928549</v>
      </c>
      <c r="AB128" s="4">
        <f>(nazione[[#This Row],[terapia_intensiva]]/nazione[[#This Row],[totale_attualmente_positivi]])*100</f>
        <v>0.58749475451112043</v>
      </c>
      <c r="AC128" s="4">
        <f>((nazione[[#This Row],[totale_attualmente_positivi]]-(nazione[[#This Row],[totale_ospedalizzati]]))/nazione[[#This Row],[totale_attualmente_positivi]])*100</f>
        <v>92.458485702296016</v>
      </c>
      <c r="AD128" s="8">
        <f>(nazione[[#This Row],[Deceaded by day]]/nazione[[#This Row],[totale_attualmente_positivi]])*100</f>
        <v>0.13188657754331273</v>
      </c>
      <c r="AE128" s="8">
        <f>(nazione[[#This Row],[Deceaded by day]]/morti_per_regione!D$2) *100</f>
        <v>3.4747833393615557E-3</v>
      </c>
    </row>
    <row r="129" spans="1:31" x14ac:dyDescent="0.2">
      <c r="A129">
        <v>127</v>
      </c>
      <c r="B129" s="6">
        <v>44011.708333333336</v>
      </c>
      <c r="C129" s="1" t="s">
        <v>42</v>
      </c>
      <c r="D129">
        <v>1120</v>
      </c>
      <c r="E129">
        <v>96</v>
      </c>
      <c r="F129">
        <v>1216</v>
      </c>
      <c r="G129">
        <v>15280</v>
      </c>
      <c r="H129">
        <v>16496</v>
      </c>
      <c r="I129">
        <v>-185</v>
      </c>
      <c r="J129">
        <v>126</v>
      </c>
      <c r="K129">
        <v>189196</v>
      </c>
      <c r="L129">
        <v>34744</v>
      </c>
      <c r="M129">
        <v>223254</v>
      </c>
      <c r="N129">
        <v>17182</v>
      </c>
      <c r="O129">
        <v>240436</v>
      </c>
      <c r="P129">
        <v>5341837</v>
      </c>
      <c r="Q129">
        <v>3235504</v>
      </c>
      <c r="R129" s="1" t="s">
        <v>82</v>
      </c>
      <c r="S129" s="1">
        <f t="shared" si="11"/>
        <v>-42</v>
      </c>
      <c r="T129" s="1">
        <f t="shared" si="12"/>
        <v>-2</v>
      </c>
      <c r="U129">
        <f t="shared" si="15"/>
        <v>6</v>
      </c>
      <c r="V129">
        <f t="shared" si="16"/>
        <v>305</v>
      </c>
      <c r="W129" s="8">
        <f t="shared" si="10"/>
        <v>-1.1090462202505869E-2</v>
      </c>
      <c r="X129" s="1">
        <f>IF(Q129=0,(nazione[[#This Row],[nuovi_attualmente_positivi]]/nazione[[#This Row],[test_per_giorno]])*100,(nazione[[#This Row],[nuovi_attualmente_positivi]]/nazione[[#This Row],[test_per_giorno]])*100)</f>
        <v>0.81374321880651002</v>
      </c>
      <c r="Y129">
        <f>IF(nazione[[#This Row],[casi_testati]]=0,nazione[[#This Row],[tamponi]]-P128,IF(Q128=0,nazione[[#This Row],[casi_testati]]-Y128,nazione[[#This Row],[casi_testati]]-Q128))</f>
        <v>15484</v>
      </c>
      <c r="Z129" s="4">
        <f>IF(Q129=0,(nazione[[#This Row],[test_per_giorno]]/AG$3)*100,(nazione[[#This Row],[test_per_giorno]]/AG$3)*100)</f>
        <v>2.5701871995614415E-2</v>
      </c>
      <c r="AA129" s="4">
        <f>(nazione[[#This Row],[ricoverati_con_sintomi]]/nazione[[#This Row],[totale_attualmente_positivi]])*100</f>
        <v>6.7895247332686717</v>
      </c>
      <c r="AB129" s="4">
        <f>(nazione[[#This Row],[terapia_intensiva]]/nazione[[#This Row],[totale_attualmente_positivi]])*100</f>
        <v>0.58195926285160038</v>
      </c>
      <c r="AC129" s="4">
        <f>((nazione[[#This Row],[totale_attualmente_positivi]]-(nazione[[#This Row],[totale_ospedalizzati]]))/nazione[[#This Row],[totale_attualmente_positivi]])*100</f>
        <v>92.628516003879724</v>
      </c>
      <c r="AD129" s="8">
        <f>(nazione[[#This Row],[Deceaded by day]]/nazione[[#This Row],[totale_attualmente_positivi]])*100</f>
        <v>3.6372453928225024E-2</v>
      </c>
      <c r="AE129" s="8">
        <f>(nazione[[#This Row],[Deceaded by day]]/morti_per_regione!D$2) *100</f>
        <v>9.476681834622425E-4</v>
      </c>
    </row>
    <row r="130" spans="1:31" x14ac:dyDescent="0.2">
      <c r="A130">
        <v>128</v>
      </c>
      <c r="B130" s="6">
        <v>44012.708333333336</v>
      </c>
      <c r="C130" s="1" t="s">
        <v>42</v>
      </c>
      <c r="D130">
        <v>1090</v>
      </c>
      <c r="E130">
        <v>93</v>
      </c>
      <c r="F130">
        <v>1183</v>
      </c>
      <c r="G130">
        <v>14380</v>
      </c>
      <c r="H130">
        <v>15563</v>
      </c>
      <c r="I130">
        <v>-933</v>
      </c>
      <c r="J130">
        <v>142</v>
      </c>
      <c r="K130">
        <v>190248</v>
      </c>
      <c r="L130">
        <v>34767</v>
      </c>
      <c r="M130">
        <v>222901</v>
      </c>
      <c r="N130">
        <v>17677</v>
      </c>
      <c r="O130">
        <v>240578</v>
      </c>
      <c r="P130">
        <v>5390110</v>
      </c>
      <c r="Q130">
        <v>3263975</v>
      </c>
      <c r="R130" s="1" t="s">
        <v>82</v>
      </c>
      <c r="S130" s="1">
        <f t="shared" si="11"/>
        <v>-33</v>
      </c>
      <c r="T130" s="1">
        <f t="shared" si="12"/>
        <v>-3</v>
      </c>
      <c r="U130">
        <f t="shared" si="15"/>
        <v>23</v>
      </c>
      <c r="V130">
        <f t="shared" si="16"/>
        <v>1052</v>
      </c>
      <c r="W130" s="8">
        <f t="shared" si="10"/>
        <v>-5.6559165858389937E-2</v>
      </c>
      <c r="X130" s="1">
        <f>IF(Q130=0,(nazione[[#This Row],[nuovi_attualmente_positivi]]/nazione[[#This Row],[test_per_giorno]])*100,(nazione[[#This Row],[nuovi_attualmente_positivi]]/nazione[[#This Row],[test_per_giorno]])*100)</f>
        <v>0.49875311720698251</v>
      </c>
      <c r="Y130">
        <f>IF(nazione[[#This Row],[casi_testati]]=0,nazione[[#This Row],[tamponi]]-P129,IF(Q129=0,nazione[[#This Row],[casi_testati]]-Y129,nazione[[#This Row],[casi_testati]]-Q129))</f>
        <v>28471</v>
      </c>
      <c r="Z130" s="4">
        <f>IF(Q130=0,(nazione[[#This Row],[test_per_giorno]]/AG$3)*100,(nazione[[#This Row],[test_per_giorno]]/AG$3)*100)</f>
        <v>4.7258976852695554E-2</v>
      </c>
      <c r="AA130" s="4">
        <f>(nazione[[#This Row],[ricoverati_con_sintomi]]/nazione[[#This Row],[totale_attualmente_positivi]])*100</f>
        <v>7.0037910428580608</v>
      </c>
      <c r="AB130" s="4">
        <f>(nazione[[#This Row],[terapia_intensiva]]/nazione[[#This Row],[totale_attualmente_positivi]])*100</f>
        <v>0.59757116237229324</v>
      </c>
      <c r="AC130" s="4">
        <f>((nazione[[#This Row],[totale_attualmente_positivi]]-(nazione[[#This Row],[totale_ospedalizzati]]))/nazione[[#This Row],[totale_attualmente_positivi]])*100</f>
        <v>92.398637794769641</v>
      </c>
      <c r="AD130" s="8">
        <f>(nazione[[#This Row],[Deceaded by day]]/nazione[[#This Row],[totale_attualmente_positivi]])*100</f>
        <v>0.14778641650067467</v>
      </c>
      <c r="AE130" s="8">
        <f>(nazione[[#This Row],[Deceaded by day]]/morti_per_regione!D$2) *100</f>
        <v>3.6327280366052631E-3</v>
      </c>
    </row>
    <row r="131" spans="1:31" x14ac:dyDescent="0.2">
      <c r="A131">
        <v>129</v>
      </c>
      <c r="B131" s="6">
        <v>44013.708333333336</v>
      </c>
      <c r="C131" s="1" t="s">
        <v>42</v>
      </c>
      <c r="D131">
        <v>1025</v>
      </c>
      <c r="E131">
        <v>87</v>
      </c>
      <c r="F131">
        <v>1112</v>
      </c>
      <c r="G131">
        <v>14143</v>
      </c>
      <c r="H131">
        <v>15255</v>
      </c>
      <c r="I131">
        <v>-308</v>
      </c>
      <c r="J131">
        <v>187</v>
      </c>
      <c r="K131">
        <v>190717</v>
      </c>
      <c r="L131">
        <v>34788</v>
      </c>
      <c r="M131">
        <v>222564</v>
      </c>
      <c r="N131">
        <v>18196</v>
      </c>
      <c r="O131">
        <v>240760</v>
      </c>
      <c r="P131">
        <v>5445476</v>
      </c>
      <c r="Q131">
        <v>3293300</v>
      </c>
      <c r="R131" s="1" t="s">
        <v>82</v>
      </c>
      <c r="S131" s="1">
        <f t="shared" si="11"/>
        <v>-71</v>
      </c>
      <c r="T131" s="1">
        <f t="shared" si="12"/>
        <v>-6</v>
      </c>
      <c r="U131">
        <f t="shared" si="15"/>
        <v>21</v>
      </c>
      <c r="V131">
        <f t="shared" si="16"/>
        <v>469</v>
      </c>
      <c r="W131" s="8">
        <f t="shared" ref="W131:W194" si="17">(H131/H130)-1</f>
        <v>-1.9790528818351194E-2</v>
      </c>
      <c r="X131" s="1">
        <f>IF(Q131=0,(nazione[[#This Row],[nuovi_attualmente_positivi]]/nazione[[#This Row],[test_per_giorno]])*100,(nazione[[#This Row],[nuovi_attualmente_positivi]]/nazione[[#This Row],[test_per_giorno]])*100)</f>
        <v>0.6376811594202898</v>
      </c>
      <c r="Y131">
        <f>IF(nazione[[#This Row],[casi_testati]]=0,nazione[[#This Row],[tamponi]]-P130,IF(Q130=0,nazione[[#This Row],[casi_testati]]-Y130,nazione[[#This Row],[casi_testati]]-Q130))</f>
        <v>29325</v>
      </c>
      <c r="Z131" s="4">
        <f>IF(Q131=0,(nazione[[#This Row],[test_per_giorno]]/AG$3)*100,(nazione[[#This Row],[test_per_giorno]]/AG$3)*100)</f>
        <v>4.8676530371441019E-2</v>
      </c>
      <c r="AA131" s="4">
        <f>(nazione[[#This Row],[ricoverati_con_sintomi]]/nazione[[#This Row],[totale_attualmente_positivi]])*100</f>
        <v>6.7191084890199937</v>
      </c>
      <c r="AB131" s="4">
        <f>(nazione[[#This Row],[terapia_intensiva]]/nazione[[#This Row],[totale_attualmente_positivi]])*100</f>
        <v>0.57030481809242872</v>
      </c>
      <c r="AC131" s="4">
        <f>((nazione[[#This Row],[totale_attualmente_positivi]]-(nazione[[#This Row],[totale_ospedalizzati]]))/nazione[[#This Row],[totale_attualmente_positivi]])*100</f>
        <v>92.710586692887574</v>
      </c>
      <c r="AD131" s="8">
        <f>(nazione[[#This Row],[Deceaded by day]]/nazione[[#This Row],[totale_attualmente_positivi]])*100</f>
        <v>0.13765978367748277</v>
      </c>
      <c r="AE131" s="8">
        <f>(nazione[[#This Row],[Deceaded by day]]/morti_per_regione!D$2) *100</f>
        <v>3.3168386421178488E-3</v>
      </c>
    </row>
    <row r="132" spans="1:31" x14ac:dyDescent="0.2">
      <c r="A132">
        <v>130</v>
      </c>
      <c r="B132" s="6">
        <v>44014.708333333336</v>
      </c>
      <c r="C132" s="1" t="s">
        <v>42</v>
      </c>
      <c r="D132">
        <v>963</v>
      </c>
      <c r="E132">
        <v>82</v>
      </c>
      <c r="F132">
        <v>1045</v>
      </c>
      <c r="G132">
        <v>14015</v>
      </c>
      <c r="H132">
        <v>15060</v>
      </c>
      <c r="I132">
        <v>-195</v>
      </c>
      <c r="J132">
        <v>201</v>
      </c>
      <c r="K132">
        <v>191083</v>
      </c>
      <c r="L132">
        <v>34818</v>
      </c>
      <c r="M132">
        <v>222464</v>
      </c>
      <c r="N132">
        <v>18497</v>
      </c>
      <c r="O132">
        <v>240961</v>
      </c>
      <c r="P132">
        <v>5498719</v>
      </c>
      <c r="Q132">
        <v>3322447</v>
      </c>
      <c r="R132" s="1" t="s">
        <v>82</v>
      </c>
      <c r="S132" s="1">
        <f t="shared" si="11"/>
        <v>-67</v>
      </c>
      <c r="T132" s="1">
        <f t="shared" si="12"/>
        <v>-5</v>
      </c>
      <c r="U132">
        <f t="shared" si="15"/>
        <v>30</v>
      </c>
      <c r="V132">
        <f t="shared" si="16"/>
        <v>366</v>
      </c>
      <c r="W132" s="8">
        <f t="shared" si="17"/>
        <v>-1.2782694198623434E-2</v>
      </c>
      <c r="X132" s="1">
        <f>IF(Q132=0,(nazione[[#This Row],[nuovi_attualmente_positivi]]/nazione[[#This Row],[test_per_giorno]])*100,(nazione[[#This Row],[nuovi_attualmente_positivi]]/nazione[[#This Row],[test_per_giorno]])*100)</f>
        <v>0.68960784986448009</v>
      </c>
      <c r="Y132">
        <f>IF(nazione[[#This Row],[casi_testati]]=0,nazione[[#This Row],[tamponi]]-P131,IF(Q131=0,nazione[[#This Row],[casi_testati]]-Y131,nazione[[#This Row],[casi_testati]]-Q131))</f>
        <v>29147</v>
      </c>
      <c r="Z132" s="4">
        <f>IF(Q132=0,(nazione[[#This Row],[test_per_giorno]]/AG$3)*100,(nazione[[#This Row],[test_per_giorno]]/AG$3)*100)</f>
        <v>4.8381068396807891E-2</v>
      </c>
      <c r="AA132" s="4">
        <f>(nazione[[#This Row],[ricoverati_con_sintomi]]/nazione[[#This Row],[totale_attualmente_positivi]])*100</f>
        <v>6.3944223107569726</v>
      </c>
      <c r="AB132" s="4">
        <f>(nazione[[#This Row],[terapia_intensiva]]/nazione[[#This Row],[totale_attualmente_positivi]])*100</f>
        <v>0.54448871181938907</v>
      </c>
      <c r="AC132" s="4">
        <f>((nazione[[#This Row],[totale_attualmente_positivi]]-(nazione[[#This Row],[totale_ospedalizzati]]))/nazione[[#This Row],[totale_attualmente_positivi]])*100</f>
        <v>93.061088977423637</v>
      </c>
      <c r="AD132" s="8">
        <f>(nazione[[#This Row],[Deceaded by day]]/nazione[[#This Row],[totale_attualmente_positivi]])*100</f>
        <v>0.19920318725099601</v>
      </c>
      <c r="AE132" s="8">
        <f>(nazione[[#This Row],[Deceaded by day]]/morti_per_regione!D$2) *100</f>
        <v>4.738340917311212E-3</v>
      </c>
    </row>
    <row r="133" spans="1:31" x14ac:dyDescent="0.2">
      <c r="A133">
        <v>131</v>
      </c>
      <c r="B133" s="6">
        <v>44015.708333333336</v>
      </c>
      <c r="C133" s="1" t="s">
        <v>42</v>
      </c>
      <c r="D133">
        <v>956</v>
      </c>
      <c r="E133">
        <v>79</v>
      </c>
      <c r="F133">
        <v>1035</v>
      </c>
      <c r="G133">
        <v>13849</v>
      </c>
      <c r="H133">
        <v>14884</v>
      </c>
      <c r="I133">
        <v>-176</v>
      </c>
      <c r="J133">
        <v>223</v>
      </c>
      <c r="K133">
        <v>191467</v>
      </c>
      <c r="L133">
        <v>34833</v>
      </c>
      <c r="M133">
        <v>222430</v>
      </c>
      <c r="N133">
        <v>18754</v>
      </c>
      <c r="O133">
        <v>241184</v>
      </c>
      <c r="P133">
        <v>5548815</v>
      </c>
      <c r="Q133">
        <v>3348127</v>
      </c>
      <c r="R133" s="1" t="s">
        <v>82</v>
      </c>
      <c r="S133" s="1">
        <f t="shared" ref="S133:S196" si="18">F133-F132</f>
        <v>-10</v>
      </c>
      <c r="T133" s="1">
        <f t="shared" ref="T133:T196" si="19">E133-E132</f>
        <v>-3</v>
      </c>
      <c r="U133">
        <f t="shared" si="15"/>
        <v>15</v>
      </c>
      <c r="V133">
        <f t="shared" si="16"/>
        <v>384</v>
      </c>
      <c r="W133" s="8">
        <f t="shared" si="17"/>
        <v>-1.1686586985391711E-2</v>
      </c>
      <c r="X133" s="1">
        <f>IF(Q133=0,(nazione[[#This Row],[nuovi_attualmente_positivi]]/nazione[[#This Row],[test_per_giorno]])*100,(nazione[[#This Row],[nuovi_attualmente_positivi]]/nazione[[#This Row],[test_per_giorno]])*100)</f>
        <v>0.86838006230529596</v>
      </c>
      <c r="Y133">
        <f>IF(nazione[[#This Row],[casi_testati]]=0,nazione[[#This Row],[tamponi]]-P132,IF(Q132=0,nazione[[#This Row],[casi_testati]]-Y132,nazione[[#This Row],[casi_testati]]-Q132))</f>
        <v>25680</v>
      </c>
      <c r="Z133" s="4">
        <f>IF(Q133=0,(nazione[[#This Row],[test_per_giorno]]/AG$3)*100,(nazione[[#This Row],[test_per_giorno]]/AG$3)*100)</f>
        <v>4.2626199486397454E-2</v>
      </c>
      <c r="AA133" s="4">
        <f>(nazione[[#This Row],[ricoverati_con_sintomi]]/nazione[[#This Row],[totale_attualmente_positivi]])*100</f>
        <v>6.4230045686643384</v>
      </c>
      <c r="AB133" s="4">
        <f>(nazione[[#This Row],[terapia_intensiva]]/nazione[[#This Row],[totale_attualmente_positivi]])*100</f>
        <v>0.53077129803816181</v>
      </c>
      <c r="AC133" s="4">
        <f>((nazione[[#This Row],[totale_attualmente_positivi]]-(nazione[[#This Row],[totale_ospedalizzati]]))/nazione[[#This Row],[totale_attualmente_positivi]])*100</f>
        <v>93.0462241332975</v>
      </c>
      <c r="AD133" s="8">
        <f>(nazione[[#This Row],[Deceaded by day]]/nazione[[#This Row],[totale_attualmente_positivi]])*100</f>
        <v>0.10077936038699274</v>
      </c>
      <c r="AE133" s="8">
        <f>(nazione[[#This Row],[Deceaded by day]]/morti_per_regione!D$2) *100</f>
        <v>2.369170458655606E-3</v>
      </c>
    </row>
    <row r="134" spans="1:31" x14ac:dyDescent="0.2">
      <c r="A134">
        <v>132</v>
      </c>
      <c r="B134" s="6">
        <v>44016.708333333336</v>
      </c>
      <c r="C134" s="1" t="s">
        <v>42</v>
      </c>
      <c r="D134">
        <v>940</v>
      </c>
      <c r="E134">
        <v>71</v>
      </c>
      <c r="F134">
        <v>1011</v>
      </c>
      <c r="G134">
        <v>13610</v>
      </c>
      <c r="H134">
        <v>14621</v>
      </c>
      <c r="I134">
        <v>-263</v>
      </c>
      <c r="J134">
        <v>235</v>
      </c>
      <c r="K134">
        <v>191944</v>
      </c>
      <c r="L134">
        <v>34854</v>
      </c>
      <c r="M134">
        <v>222324</v>
      </c>
      <c r="N134">
        <v>19095</v>
      </c>
      <c r="O134">
        <v>241419</v>
      </c>
      <c r="P134">
        <v>5600826</v>
      </c>
      <c r="Q134">
        <v>3377073</v>
      </c>
      <c r="R134" s="1" t="s">
        <v>82</v>
      </c>
      <c r="S134" s="1">
        <f t="shared" si="18"/>
        <v>-24</v>
      </c>
      <c r="T134" s="1">
        <f t="shared" si="19"/>
        <v>-8</v>
      </c>
      <c r="U134">
        <f t="shared" si="15"/>
        <v>21</v>
      </c>
      <c r="V134">
        <f t="shared" si="16"/>
        <v>477</v>
      </c>
      <c r="W134" s="8">
        <f t="shared" si="17"/>
        <v>-1.7669981187852679E-2</v>
      </c>
      <c r="X134" s="1">
        <f>IF(Q134=0,(nazione[[#This Row],[nuovi_attualmente_positivi]]/nazione[[#This Row],[test_per_giorno]])*100,(nazione[[#This Row],[nuovi_attualmente_positivi]]/nazione[[#This Row],[test_per_giorno]])*100)</f>
        <v>0.81185656049195043</v>
      </c>
      <c r="Y134">
        <f>IF(nazione[[#This Row],[casi_testati]]=0,nazione[[#This Row],[tamponi]]-P133,IF(Q133=0,nazione[[#This Row],[casi_testati]]-Y133,nazione[[#This Row],[casi_testati]]-Q133))</f>
        <v>28946</v>
      </c>
      <c r="Z134" s="4">
        <f>IF(Q134=0,(nazione[[#This Row],[test_per_giorno]]/AG$3)*100,(nazione[[#This Row],[test_per_giorno]]/AG$3)*100)</f>
        <v>4.8047428751295196E-2</v>
      </c>
      <c r="AA134" s="4">
        <f>(nazione[[#This Row],[ricoverati_con_sintomi]]/nazione[[#This Row],[totale_attualmente_positivi]])*100</f>
        <v>6.4291088160864511</v>
      </c>
      <c r="AB134" s="4">
        <f>(nazione[[#This Row],[terapia_intensiva]]/nazione[[#This Row],[totale_attualmente_positivi]])*100</f>
        <v>0.48560289993844469</v>
      </c>
      <c r="AC134" s="4">
        <f>((nazione[[#This Row],[totale_attualmente_positivi]]-(nazione[[#This Row],[totale_ospedalizzati]]))/nazione[[#This Row],[totale_attualmente_positivi]])*100</f>
        <v>93.085288283975103</v>
      </c>
      <c r="AD134" s="8">
        <f>(nazione[[#This Row],[Deceaded by day]]/nazione[[#This Row],[totale_attualmente_positivi]])*100</f>
        <v>0.14362902674235686</v>
      </c>
      <c r="AE134" s="8">
        <f>(nazione[[#This Row],[Deceaded by day]]/morti_per_regione!D$2) *100</f>
        <v>3.3168386421178488E-3</v>
      </c>
    </row>
    <row r="135" spans="1:31" x14ac:dyDescent="0.2">
      <c r="A135">
        <v>133</v>
      </c>
      <c r="B135" s="6">
        <v>44017.708333333336</v>
      </c>
      <c r="C135" s="1" t="s">
        <v>42</v>
      </c>
      <c r="D135">
        <v>945</v>
      </c>
      <c r="E135">
        <v>74</v>
      </c>
      <c r="F135">
        <v>1019</v>
      </c>
      <c r="G135">
        <v>13623</v>
      </c>
      <c r="H135">
        <v>14642</v>
      </c>
      <c r="I135">
        <v>21</v>
      </c>
      <c r="J135">
        <v>192</v>
      </c>
      <c r="K135">
        <v>192108</v>
      </c>
      <c r="L135">
        <v>34861</v>
      </c>
      <c r="M135">
        <v>222368</v>
      </c>
      <c r="N135">
        <v>19243</v>
      </c>
      <c r="O135">
        <v>241611</v>
      </c>
      <c r="P135">
        <v>5638288</v>
      </c>
      <c r="Q135">
        <v>3398239</v>
      </c>
      <c r="R135" s="1" t="s">
        <v>82</v>
      </c>
      <c r="S135" s="1">
        <f t="shared" si="18"/>
        <v>8</v>
      </c>
      <c r="T135" s="1">
        <f t="shared" si="19"/>
        <v>3</v>
      </c>
      <c r="U135">
        <f t="shared" si="15"/>
        <v>7</v>
      </c>
      <c r="V135">
        <f t="shared" si="16"/>
        <v>164</v>
      </c>
      <c r="W135" s="8">
        <f t="shared" si="17"/>
        <v>1.4362902674236455E-3</v>
      </c>
      <c r="X135" s="1">
        <f>IF(Q135=0,(nazione[[#This Row],[nuovi_attualmente_positivi]]/nazione[[#This Row],[test_per_giorno]])*100,(nazione[[#This Row],[nuovi_attualmente_positivi]]/nazione[[#This Row],[test_per_giorno]])*100)</f>
        <v>0.90711518473022767</v>
      </c>
      <c r="Y135">
        <f>IF(nazione[[#This Row],[casi_testati]]=0,nazione[[#This Row],[tamponi]]-P134,IF(Q134=0,nazione[[#This Row],[casi_testati]]-Y134,nazione[[#This Row],[casi_testati]]-Q134))</f>
        <v>21166</v>
      </c>
      <c r="Z135" s="4">
        <f>IF(Q135=0,(nazione[[#This Row],[test_per_giorno]]/AG$3)*100,(nazione[[#This Row],[test_per_giorno]]/AG$3)*100)</f>
        <v>3.513341660160002E-2</v>
      </c>
      <c r="AA135" s="4">
        <f>(nazione[[#This Row],[ricoverati_con_sintomi]]/nazione[[#This Row],[totale_attualmente_positivi]])*100</f>
        <v>6.4540363338341757</v>
      </c>
      <c r="AB135" s="4">
        <f>(nazione[[#This Row],[terapia_intensiva]]/nazione[[#This Row],[totale_attualmente_positivi]])*100</f>
        <v>0.5053954377817238</v>
      </c>
      <c r="AC135" s="4">
        <f>((nazione[[#This Row],[totale_attualmente_positivi]]-(nazione[[#This Row],[totale_ospedalizzati]]))/nazione[[#This Row],[totale_attualmente_positivi]])*100</f>
        <v>93.040568228384103</v>
      </c>
      <c r="AD135" s="8">
        <f>(nazione[[#This Row],[Deceaded by day]]/nazione[[#This Row],[totale_attualmente_positivi]])*100</f>
        <v>4.7807676546919822E-2</v>
      </c>
      <c r="AE135" s="8">
        <f>(nazione[[#This Row],[Deceaded by day]]/morti_per_regione!D$2) *100</f>
        <v>1.1056128807059495E-3</v>
      </c>
    </row>
    <row r="136" spans="1:31" x14ac:dyDescent="0.2">
      <c r="A136">
        <v>134</v>
      </c>
      <c r="B136" s="6">
        <v>44018.708333333336</v>
      </c>
      <c r="C136" s="1" t="s">
        <v>42</v>
      </c>
      <c r="D136">
        <v>946</v>
      </c>
      <c r="E136">
        <v>72</v>
      </c>
      <c r="F136">
        <v>1018</v>
      </c>
      <c r="G136">
        <v>13691</v>
      </c>
      <c r="H136">
        <v>14709</v>
      </c>
      <c r="I136">
        <v>67</v>
      </c>
      <c r="J136">
        <v>208</v>
      </c>
      <c r="K136">
        <v>192241</v>
      </c>
      <c r="L136">
        <v>34869</v>
      </c>
      <c r="M136">
        <v>222410</v>
      </c>
      <c r="N136">
        <v>19409</v>
      </c>
      <c r="O136">
        <v>241819</v>
      </c>
      <c r="P136">
        <v>5660454</v>
      </c>
      <c r="Q136">
        <v>3412010</v>
      </c>
      <c r="R136" s="1" t="s">
        <v>82</v>
      </c>
      <c r="S136" s="1">
        <f t="shared" si="18"/>
        <v>-1</v>
      </c>
      <c r="T136" s="1">
        <f t="shared" si="19"/>
        <v>-2</v>
      </c>
      <c r="U136">
        <f t="shared" si="15"/>
        <v>8</v>
      </c>
      <c r="V136">
        <f t="shared" si="16"/>
        <v>133</v>
      </c>
      <c r="W136" s="8">
        <f t="shared" si="17"/>
        <v>4.5758776123481226E-3</v>
      </c>
      <c r="X136" s="1">
        <f>IF(Q136=0,(nazione[[#This Row],[nuovi_attualmente_positivi]]/nazione[[#This Row],[test_per_giorno]])*100,(nazione[[#This Row],[nuovi_attualmente_positivi]]/nazione[[#This Row],[test_per_giorno]])*100)</f>
        <v>1.5104204487691526</v>
      </c>
      <c r="Y136">
        <f>IF(nazione[[#This Row],[casi_testati]]=0,nazione[[#This Row],[tamponi]]-P135,IF(Q135=0,nazione[[#This Row],[casi_testati]]-Y135,nazione[[#This Row],[casi_testati]]-Q135))</f>
        <v>13771</v>
      </c>
      <c r="Z136" s="4">
        <f>IF(Q136=0,(nazione[[#This Row],[test_per_giorno]]/AG$3)*100,(nazione[[#This Row],[test_per_giorno]]/AG$3)*100)</f>
        <v>2.2858465464454022E-2</v>
      </c>
      <c r="AA136" s="4">
        <f>(nazione[[#This Row],[ricoverati_con_sintomi]]/nazione[[#This Row],[totale_attualmente_positivi]])*100</f>
        <v>6.431436535454484</v>
      </c>
      <c r="AB136" s="4">
        <f>(nazione[[#This Row],[terapia_intensiva]]/nazione[[#This Row],[totale_attualmente_positivi]])*100</f>
        <v>0.48949622679991844</v>
      </c>
      <c r="AC136" s="4">
        <f>((nazione[[#This Row],[totale_attualmente_positivi]]-(nazione[[#This Row],[totale_ospedalizzati]]))/nazione[[#This Row],[totale_attualmente_positivi]])*100</f>
        <v>93.079067237745591</v>
      </c>
      <c r="AD136" s="8">
        <f>(nazione[[#This Row],[Deceaded by day]]/nazione[[#This Row],[totale_attualmente_positivi]])*100</f>
        <v>5.4388469644435382E-2</v>
      </c>
      <c r="AE136" s="8">
        <f>(nazione[[#This Row],[Deceaded by day]]/morti_per_regione!D$2) *100</f>
        <v>1.2635575779496567E-3</v>
      </c>
    </row>
    <row r="137" spans="1:31" x14ac:dyDescent="0.2">
      <c r="A137">
        <v>135</v>
      </c>
      <c r="B137" s="6">
        <v>44019.708333333336</v>
      </c>
      <c r="C137" s="1" t="s">
        <v>42</v>
      </c>
      <c r="D137">
        <v>940</v>
      </c>
      <c r="E137">
        <v>70</v>
      </c>
      <c r="F137">
        <v>1010</v>
      </c>
      <c r="G137">
        <v>13232</v>
      </c>
      <c r="H137">
        <v>14242</v>
      </c>
      <c r="I137">
        <v>-467</v>
      </c>
      <c r="J137">
        <v>138</v>
      </c>
      <c r="K137">
        <v>192815</v>
      </c>
      <c r="L137">
        <v>34899</v>
      </c>
      <c r="M137">
        <v>222292</v>
      </c>
      <c r="N137">
        <v>19664</v>
      </c>
      <c r="O137">
        <v>241956</v>
      </c>
      <c r="P137">
        <v>5703673</v>
      </c>
      <c r="Q137">
        <v>3434500</v>
      </c>
      <c r="R137" s="1" t="s">
        <v>82</v>
      </c>
      <c r="S137" s="1">
        <f t="shared" si="18"/>
        <v>-8</v>
      </c>
      <c r="T137" s="1">
        <f t="shared" si="19"/>
        <v>-2</v>
      </c>
      <c r="U137">
        <f t="shared" si="15"/>
        <v>30</v>
      </c>
      <c r="V137">
        <f t="shared" si="16"/>
        <v>574</v>
      </c>
      <c r="W137" s="8">
        <f t="shared" si="17"/>
        <v>-3.1749269154939141E-2</v>
      </c>
      <c r="X137" s="1">
        <f>IF(Q137=0,(nazione[[#This Row],[nuovi_attualmente_positivi]]/nazione[[#This Row],[test_per_giorno]])*100,(nazione[[#This Row],[nuovi_attualmente_positivi]]/nazione[[#This Row],[test_per_giorno]])*100)</f>
        <v>0.61360604713205869</v>
      </c>
      <c r="Y137">
        <f>IF(nazione[[#This Row],[casi_testati]]=0,nazione[[#This Row],[tamponi]]-P136,IF(Q136=0,nazione[[#This Row],[casi_testati]]-Y136,nazione[[#This Row],[casi_testati]]-Q136))</f>
        <v>22490</v>
      </c>
      <c r="Z137" s="4">
        <f>IF(Q137=0,(nazione[[#This Row],[test_per_giorno]]/AG$3)*100,(nazione[[#This Row],[test_per_giorno]]/AG$3)*100)</f>
        <v>3.7331122525275651E-2</v>
      </c>
      <c r="AA137" s="4">
        <f>(nazione[[#This Row],[ricoverati_con_sintomi]]/nazione[[#This Row],[totale_attualmente_positivi]])*100</f>
        <v>6.6001966016008984</v>
      </c>
      <c r="AB137" s="4">
        <f>(nazione[[#This Row],[terapia_intensiva]]/nazione[[#This Row],[totale_attualmente_positivi]])*100</f>
        <v>0.4915040022468754</v>
      </c>
      <c r="AC137" s="4">
        <f>((nazione[[#This Row],[totale_attualmente_positivi]]-(nazione[[#This Row],[totale_ospedalizzati]]))/nazione[[#This Row],[totale_attualmente_positivi]])*100</f>
        <v>92.908299396152231</v>
      </c>
      <c r="AD137" s="8">
        <f>(nazione[[#This Row],[Deceaded by day]]/nazione[[#This Row],[totale_attualmente_positivi]])*100</f>
        <v>0.21064457239151807</v>
      </c>
      <c r="AE137" s="8">
        <f>(nazione[[#This Row],[Deceaded by day]]/morti_per_regione!D$2) *100</f>
        <v>4.738340917311212E-3</v>
      </c>
    </row>
    <row r="138" spans="1:31" x14ac:dyDescent="0.2">
      <c r="A138">
        <v>136</v>
      </c>
      <c r="B138" s="6">
        <v>44020.708333333336</v>
      </c>
      <c r="C138" s="1" t="s">
        <v>42</v>
      </c>
      <c r="D138">
        <v>899</v>
      </c>
      <c r="E138">
        <v>71</v>
      </c>
      <c r="F138">
        <v>970</v>
      </c>
      <c r="G138">
        <v>12625</v>
      </c>
      <c r="H138">
        <v>13595</v>
      </c>
      <c r="I138">
        <v>-647</v>
      </c>
      <c r="J138">
        <v>193</v>
      </c>
      <c r="K138">
        <v>193640</v>
      </c>
      <c r="L138">
        <v>34914</v>
      </c>
      <c r="M138">
        <v>222145</v>
      </c>
      <c r="N138">
        <v>20004</v>
      </c>
      <c r="O138">
        <v>242149</v>
      </c>
      <c r="P138">
        <v>5754116</v>
      </c>
      <c r="Q138">
        <v>3463179</v>
      </c>
      <c r="R138" s="1" t="s">
        <v>82</v>
      </c>
      <c r="S138" s="1">
        <f t="shared" si="18"/>
        <v>-40</v>
      </c>
      <c r="T138" s="1">
        <f t="shared" si="19"/>
        <v>1</v>
      </c>
      <c r="U138">
        <f t="shared" si="15"/>
        <v>15</v>
      </c>
      <c r="V138">
        <f t="shared" si="16"/>
        <v>825</v>
      </c>
      <c r="W138" s="8">
        <f t="shared" si="17"/>
        <v>-4.542901277910405E-2</v>
      </c>
      <c r="X138" s="1">
        <f>IF(Q138=0,(nazione[[#This Row],[nuovi_attualmente_positivi]]/nazione[[#This Row],[test_per_giorno]])*100,(nazione[[#This Row],[nuovi_attualmente_positivi]]/nazione[[#This Row],[test_per_giorno]])*100)</f>
        <v>0.67296628194846408</v>
      </c>
      <c r="Y138">
        <f>IF(nazione[[#This Row],[casi_testati]]=0,nazione[[#This Row],[tamponi]]-P137,IF(Q137=0,nazione[[#This Row],[casi_testati]]-Y137,nazione[[#This Row],[casi_testati]]-Q137))</f>
        <v>28679</v>
      </c>
      <c r="Z138" s="4">
        <f>IF(Q138=0,(nazione[[#This Row],[test_per_giorno]]/AG$3)*100,(nazione[[#This Row],[test_per_giorno]]/AG$3)*100)</f>
        <v>4.76042357893455E-2</v>
      </c>
      <c r="AA138" s="4">
        <f>(nazione[[#This Row],[ricoverati_con_sintomi]]/nazione[[#This Row],[totale_attualmente_positivi]])*100</f>
        <v>6.6127252666421485</v>
      </c>
      <c r="AB138" s="4">
        <f>(nazione[[#This Row],[terapia_intensiva]]/nazione[[#This Row],[totale_attualmente_positivi]])*100</f>
        <v>0.52225082751011409</v>
      </c>
      <c r="AC138" s="4">
        <f>((nazione[[#This Row],[totale_attualmente_positivi]]-(nazione[[#This Row],[totale_ospedalizzati]]))/nazione[[#This Row],[totale_attualmente_positivi]])*100</f>
        <v>92.86502390584775</v>
      </c>
      <c r="AD138" s="8">
        <f>(nazione[[#This Row],[Deceaded by day]]/nazione[[#This Row],[totale_attualmente_positivi]])*100</f>
        <v>0.11033468186833395</v>
      </c>
      <c r="AE138" s="8">
        <f>(nazione[[#This Row],[Deceaded by day]]/morti_per_regione!D$2) *100</f>
        <v>2.369170458655606E-3</v>
      </c>
    </row>
    <row r="139" spans="1:31" x14ac:dyDescent="0.2">
      <c r="A139">
        <v>137</v>
      </c>
      <c r="B139" s="6">
        <v>44021.708333333336</v>
      </c>
      <c r="C139" s="1" t="s">
        <v>42</v>
      </c>
      <c r="D139">
        <v>871</v>
      </c>
      <c r="E139">
        <v>69</v>
      </c>
      <c r="F139">
        <v>940</v>
      </c>
      <c r="G139">
        <v>12519</v>
      </c>
      <c r="H139">
        <v>13459</v>
      </c>
      <c r="I139">
        <v>-136</v>
      </c>
      <c r="J139">
        <v>229</v>
      </c>
      <c r="K139">
        <v>193978</v>
      </c>
      <c r="L139">
        <v>34926</v>
      </c>
      <c r="M139">
        <v>222106</v>
      </c>
      <c r="N139">
        <v>20257</v>
      </c>
      <c r="O139">
        <v>242363</v>
      </c>
      <c r="P139">
        <v>5806668</v>
      </c>
      <c r="Q139">
        <v>3493126</v>
      </c>
      <c r="R139" s="1" t="s">
        <v>82</v>
      </c>
      <c r="S139" s="1">
        <f t="shared" si="18"/>
        <v>-30</v>
      </c>
      <c r="T139" s="1">
        <f t="shared" si="19"/>
        <v>-2</v>
      </c>
      <c r="U139">
        <f t="shared" si="15"/>
        <v>12</v>
      </c>
      <c r="V139">
        <f t="shared" si="16"/>
        <v>338</v>
      </c>
      <c r="W139" s="8">
        <f t="shared" si="17"/>
        <v>-1.0003677822728929E-2</v>
      </c>
      <c r="X139" s="1">
        <f>IF(Q139=0,(nazione[[#This Row],[nuovi_attualmente_positivi]]/nazione[[#This Row],[test_per_giorno]])*100,(nazione[[#This Row],[nuovi_attualmente_positivi]]/nazione[[#This Row],[test_per_giorno]])*100)</f>
        <v>0.76468427555347784</v>
      </c>
      <c r="Y139">
        <f>IF(nazione[[#This Row],[casi_testati]]=0,nazione[[#This Row],[tamponi]]-P138,IF(Q138=0,nazione[[#This Row],[casi_testati]]-Y138,nazione[[#This Row],[casi_testati]]-Q138))</f>
        <v>29947</v>
      </c>
      <c r="Z139" s="4">
        <f>IF(Q139=0,(nazione[[#This Row],[test_per_giorno]]/AG$3)*100,(nazione[[#This Row],[test_per_giorno]]/AG$3)*100)</f>
        <v>4.970898738392307E-2</v>
      </c>
      <c r="AA139" s="4">
        <f>(nazione[[#This Row],[ricoverati_con_sintomi]]/nazione[[#This Row],[totale_attualmente_positivi]])*100</f>
        <v>6.4715060554275947</v>
      </c>
      <c r="AB139" s="4">
        <f>(nazione[[#This Row],[terapia_intensiva]]/nazione[[#This Row],[totale_attualmente_positivi]])*100</f>
        <v>0.51266810312801847</v>
      </c>
      <c r="AC139" s="4">
        <f>((nazione[[#This Row],[totale_attualmente_positivi]]-(nazione[[#This Row],[totale_ospedalizzati]]))/nazione[[#This Row],[totale_attualmente_positivi]])*100</f>
        <v>93.015825841444382</v>
      </c>
      <c r="AD139" s="8">
        <f>(nazione[[#This Row],[Deceaded by day]]/nazione[[#This Row],[totale_attualmente_positivi]])*100</f>
        <v>8.9159670109220587E-2</v>
      </c>
      <c r="AE139" s="8">
        <f>(nazione[[#This Row],[Deceaded by day]]/morti_per_regione!D$2) *100</f>
        <v>1.895336366924485E-3</v>
      </c>
    </row>
    <row r="140" spans="1:31" x14ac:dyDescent="0.2">
      <c r="A140">
        <v>138</v>
      </c>
      <c r="B140" s="6">
        <v>44022.708333333336</v>
      </c>
      <c r="C140" s="1" t="s">
        <v>42</v>
      </c>
      <c r="D140">
        <v>844</v>
      </c>
      <c r="E140">
        <v>65</v>
      </c>
      <c r="F140">
        <v>909</v>
      </c>
      <c r="G140">
        <v>12519</v>
      </c>
      <c r="H140">
        <v>13428</v>
      </c>
      <c r="I140">
        <v>-31</v>
      </c>
      <c r="J140">
        <v>276</v>
      </c>
      <c r="K140">
        <v>194273</v>
      </c>
      <c r="L140">
        <v>34938</v>
      </c>
      <c r="M140">
        <v>222079</v>
      </c>
      <c r="N140">
        <v>20560</v>
      </c>
      <c r="O140">
        <v>242639</v>
      </c>
      <c r="P140">
        <v>5854621</v>
      </c>
      <c r="Q140">
        <v>3520377</v>
      </c>
      <c r="R140" s="1" t="s">
        <v>82</v>
      </c>
      <c r="S140" s="1">
        <f t="shared" si="18"/>
        <v>-31</v>
      </c>
      <c r="T140" s="1">
        <f t="shared" si="19"/>
        <v>-4</v>
      </c>
      <c r="U140">
        <f t="shared" si="15"/>
        <v>12</v>
      </c>
      <c r="V140">
        <f t="shared" si="16"/>
        <v>295</v>
      </c>
      <c r="W140" s="8">
        <f t="shared" si="17"/>
        <v>-2.3032914778214897E-3</v>
      </c>
      <c r="X140" s="1">
        <f>IF(Q140=0,(nazione[[#This Row],[nuovi_attualmente_positivi]]/nazione[[#This Row],[test_per_giorno]])*100,(nazione[[#This Row],[nuovi_attualmente_positivi]]/nazione[[#This Row],[test_per_giorno]])*100)</f>
        <v>1.0128068694726799</v>
      </c>
      <c r="Y140">
        <f>IF(nazione[[#This Row],[casi_testati]]=0,nazione[[#This Row],[tamponi]]-P139,IF(Q139=0,nazione[[#This Row],[casi_testati]]-Y139,nazione[[#This Row],[casi_testati]]-Q139))</f>
        <v>27251</v>
      </c>
      <c r="Z140" s="4">
        <f>IF(Q140=0,(nazione[[#This Row],[test_per_giorno]]/AG$3)*100,(nazione[[#This Row],[test_per_giorno]]/AG$3)*100)</f>
        <v>4.5233900397344894E-2</v>
      </c>
      <c r="AA140" s="4">
        <f>(nazione[[#This Row],[ricoverati_con_sintomi]]/nazione[[#This Row],[totale_attualmente_positivi]])*100</f>
        <v>6.2853738456955615</v>
      </c>
      <c r="AB140" s="4">
        <f>(nazione[[#This Row],[terapia_intensiva]]/nazione[[#This Row],[totale_attualmente_positivi]])*100</f>
        <v>0.48406315162347335</v>
      </c>
      <c r="AC140" s="4">
        <f>((nazione[[#This Row],[totale_attualmente_positivi]]-(nazione[[#This Row],[totale_ospedalizzati]]))/nazione[[#This Row],[totale_attualmente_positivi]])*100</f>
        <v>93.230563002680967</v>
      </c>
      <c r="AD140" s="8">
        <f>(nazione[[#This Row],[Deceaded by day]]/nazione[[#This Row],[totale_attualmente_positivi]])*100</f>
        <v>8.936550491510277E-2</v>
      </c>
      <c r="AE140" s="8">
        <f>(nazione[[#This Row],[Deceaded by day]]/morti_per_regione!D$2) *100</f>
        <v>1.895336366924485E-3</v>
      </c>
    </row>
    <row r="141" spans="1:31" x14ac:dyDescent="0.2">
      <c r="A141">
        <v>139</v>
      </c>
      <c r="B141" s="6">
        <v>44023.708333333336</v>
      </c>
      <c r="C141" s="1" t="s">
        <v>42</v>
      </c>
      <c r="D141">
        <v>826</v>
      </c>
      <c r="E141">
        <v>67</v>
      </c>
      <c r="F141">
        <v>893</v>
      </c>
      <c r="G141">
        <v>12410</v>
      </c>
      <c r="H141">
        <v>13303</v>
      </c>
      <c r="I141">
        <v>-125</v>
      </c>
      <c r="J141">
        <v>188</v>
      </c>
      <c r="K141">
        <v>194579</v>
      </c>
      <c r="L141">
        <v>34945</v>
      </c>
      <c r="M141">
        <v>221994</v>
      </c>
      <c r="N141">
        <v>20833</v>
      </c>
      <c r="O141">
        <v>242827</v>
      </c>
      <c r="P141">
        <v>5900552</v>
      </c>
      <c r="Q141">
        <v>3545826</v>
      </c>
      <c r="R141" s="1" t="s">
        <v>82</v>
      </c>
      <c r="S141" s="1">
        <f t="shared" si="18"/>
        <v>-16</v>
      </c>
      <c r="T141" s="1">
        <f t="shared" si="19"/>
        <v>2</v>
      </c>
      <c r="U141">
        <f t="shared" si="15"/>
        <v>7</v>
      </c>
      <c r="V141">
        <f t="shared" si="16"/>
        <v>306</v>
      </c>
      <c r="W141" s="8">
        <f t="shared" si="17"/>
        <v>-9.3089067619899213E-3</v>
      </c>
      <c r="X141" s="1">
        <f>IF(Q141=0,(nazione[[#This Row],[nuovi_attualmente_positivi]]/nazione[[#This Row],[test_per_giorno]])*100,(nazione[[#This Row],[nuovi_attualmente_positivi]]/nazione[[#This Row],[test_per_giorno]])*100)</f>
        <v>0.73873236669417275</v>
      </c>
      <c r="Y141">
        <f>IF(nazione[[#This Row],[casi_testati]]=0,nazione[[#This Row],[tamponi]]-P140,IF(Q140=0,nazione[[#This Row],[casi_testati]]-Y140,nazione[[#This Row],[casi_testati]]-Q140))</f>
        <v>25449</v>
      </c>
      <c r="Z141" s="4">
        <f>IF(Q141=0,(nazione[[#This Row],[test_per_giorno]]/AG$3)*100,(nazione[[#This Row],[test_per_giorno]]/AG$3)*100)</f>
        <v>4.2242762878867947E-2</v>
      </c>
      <c r="AA141" s="4">
        <f>(nazione[[#This Row],[ricoverati_con_sintomi]]/nazione[[#This Row],[totale_attualmente_positivi]])*100</f>
        <v>6.2091257611065176</v>
      </c>
      <c r="AB141" s="4">
        <f>(nazione[[#This Row],[terapia_intensiva]]/nazione[[#This Row],[totale_attualmente_positivi]])*100</f>
        <v>0.50364579418176358</v>
      </c>
      <c r="AC141" s="4">
        <f>((nazione[[#This Row],[totale_attualmente_positivi]]-(nazione[[#This Row],[totale_ospedalizzati]]))/nazione[[#This Row],[totale_attualmente_positivi]])*100</f>
        <v>93.287228444711729</v>
      </c>
      <c r="AD141" s="8">
        <f>(nazione[[#This Row],[Deceaded by day]]/nazione[[#This Row],[totale_attualmente_positivi]])*100</f>
        <v>5.2619709839885738E-2</v>
      </c>
      <c r="AE141" s="8">
        <f>(nazione[[#This Row],[Deceaded by day]]/morti_per_regione!D$2) *100</f>
        <v>1.1056128807059495E-3</v>
      </c>
    </row>
    <row r="142" spans="1:31" x14ac:dyDescent="0.2">
      <c r="A142">
        <v>140</v>
      </c>
      <c r="B142" s="6">
        <v>44024.708333333336</v>
      </c>
      <c r="C142" s="1" t="s">
        <v>42</v>
      </c>
      <c r="D142">
        <v>776</v>
      </c>
      <c r="E142">
        <v>68</v>
      </c>
      <c r="F142">
        <v>844</v>
      </c>
      <c r="G142">
        <v>12335</v>
      </c>
      <c r="H142">
        <v>13179</v>
      </c>
      <c r="I142">
        <v>-124</v>
      </c>
      <c r="J142">
        <v>234</v>
      </c>
      <c r="K142">
        <v>194928</v>
      </c>
      <c r="L142">
        <v>34954</v>
      </c>
      <c r="M142">
        <v>222036</v>
      </c>
      <c r="N142">
        <v>21025</v>
      </c>
      <c r="O142">
        <v>243061</v>
      </c>
      <c r="P142">
        <v>5938811</v>
      </c>
      <c r="Q142">
        <v>3568887</v>
      </c>
      <c r="R142" s="1" t="s">
        <v>82</v>
      </c>
      <c r="S142" s="1">
        <f t="shared" si="18"/>
        <v>-49</v>
      </c>
      <c r="T142" s="1">
        <f t="shared" si="19"/>
        <v>1</v>
      </c>
      <c r="U142">
        <f t="shared" si="15"/>
        <v>9</v>
      </c>
      <c r="V142">
        <f t="shared" si="16"/>
        <v>349</v>
      </c>
      <c r="W142" s="8">
        <f t="shared" si="17"/>
        <v>-9.3212057430654971E-3</v>
      </c>
      <c r="X142" s="1">
        <f>IF(Q142=0,(nazione[[#This Row],[nuovi_attualmente_positivi]]/nazione[[#This Row],[test_per_giorno]])*100,(nazione[[#This Row],[nuovi_attualmente_positivi]]/nazione[[#This Row],[test_per_giorno]])*100)</f>
        <v>1.0147001430987381</v>
      </c>
      <c r="Y142">
        <f>IF(nazione[[#This Row],[casi_testati]]=0,nazione[[#This Row],[tamponi]]-P141,IF(Q141=0,nazione[[#This Row],[casi_testati]]-Y141,nazione[[#This Row],[casi_testati]]-Q141))</f>
        <v>23061</v>
      </c>
      <c r="Z142" s="4">
        <f>IF(Q142=0,(nazione[[#This Row],[test_per_giorno]]/AG$3)*100,(nazione[[#This Row],[test_per_giorno]]/AG$3)*100)</f>
        <v>3.8278924702329117E-2</v>
      </c>
      <c r="AA142" s="4">
        <f>(nazione[[#This Row],[ricoverati_con_sintomi]]/nazione[[#This Row],[totale_attualmente_positivi]])*100</f>
        <v>5.8881553987404205</v>
      </c>
      <c r="AB142" s="4">
        <f>(nazione[[#This Row],[terapia_intensiva]]/nazione[[#This Row],[totale_attualmente_positivi]])*100</f>
        <v>0.51597238030199555</v>
      </c>
      <c r="AC142" s="4">
        <f>((nazione[[#This Row],[totale_attualmente_positivi]]-(nazione[[#This Row],[totale_ospedalizzati]]))/nazione[[#This Row],[totale_attualmente_positivi]])*100</f>
        <v>93.595872220957588</v>
      </c>
      <c r="AD142" s="8">
        <f>(nazione[[#This Row],[Deceaded by day]]/nazione[[#This Row],[totale_attualmente_positivi]])*100</f>
        <v>6.8290462098793539E-2</v>
      </c>
      <c r="AE142" s="8">
        <f>(nazione[[#This Row],[Deceaded by day]]/morti_per_regione!D$2) *100</f>
        <v>1.4215022751933638E-3</v>
      </c>
    </row>
    <row r="143" spans="1:31" x14ac:dyDescent="0.2">
      <c r="A143">
        <v>141</v>
      </c>
      <c r="B143" s="6">
        <v>44025.708333333336</v>
      </c>
      <c r="C143" s="1" t="s">
        <v>42</v>
      </c>
      <c r="D143">
        <v>768</v>
      </c>
      <c r="E143">
        <v>65</v>
      </c>
      <c r="F143">
        <v>833</v>
      </c>
      <c r="G143">
        <v>12324</v>
      </c>
      <c r="H143">
        <v>13157</v>
      </c>
      <c r="I143">
        <v>-22</v>
      </c>
      <c r="J143">
        <v>169</v>
      </c>
      <c r="K143">
        <v>195106</v>
      </c>
      <c r="L143">
        <v>34967</v>
      </c>
      <c r="M143">
        <v>222074</v>
      </c>
      <c r="N143">
        <v>21156</v>
      </c>
      <c r="O143">
        <v>243230</v>
      </c>
      <c r="P143">
        <v>5962744</v>
      </c>
      <c r="Q143">
        <v>3582893</v>
      </c>
      <c r="R143" s="1" t="s">
        <v>82</v>
      </c>
      <c r="S143" s="1">
        <f t="shared" si="18"/>
        <v>-11</v>
      </c>
      <c r="T143" s="1">
        <f t="shared" si="19"/>
        <v>-3</v>
      </c>
      <c r="U143">
        <f t="shared" si="15"/>
        <v>13</v>
      </c>
      <c r="V143">
        <f t="shared" si="16"/>
        <v>178</v>
      </c>
      <c r="W143" s="8">
        <f t="shared" si="17"/>
        <v>-1.6693224068593526E-3</v>
      </c>
      <c r="X143" s="1">
        <f>IF(Q143=0,(nazione[[#This Row],[nuovi_attualmente_positivi]]/nazione[[#This Row],[test_per_giorno]])*100,(nazione[[#This Row],[nuovi_attualmente_positivi]]/nazione[[#This Row],[test_per_giorno]])*100)</f>
        <v>1.206625731829216</v>
      </c>
      <c r="Y143">
        <f>IF(nazione[[#This Row],[casi_testati]]=0,nazione[[#This Row],[tamponi]]-P142,IF(Q142=0,nazione[[#This Row],[casi_testati]]-Y142,nazione[[#This Row],[casi_testati]]-Q142))</f>
        <v>14006</v>
      </c>
      <c r="Z143" s="4">
        <f>IF(Q143=0,(nazione[[#This Row],[test_per_giorno]]/AG$3)*100,(nazione[[#This Row],[test_per_giorno]]/AG$3)*100)</f>
        <v>2.3248541666919108E-2</v>
      </c>
      <c r="AA143" s="4">
        <f>(nazione[[#This Row],[ricoverati_con_sintomi]]/nazione[[#This Row],[totale_attualmente_positivi]])*100</f>
        <v>5.8371969293911992</v>
      </c>
      <c r="AB143" s="4">
        <f>(nazione[[#This Row],[terapia_intensiva]]/nazione[[#This Row],[totale_attualmente_positivi]])*100</f>
        <v>0.49403359428441135</v>
      </c>
      <c r="AC143" s="4">
        <f>((nazione[[#This Row],[totale_attualmente_positivi]]-(nazione[[#This Row],[totale_ospedalizzati]]))/nazione[[#This Row],[totale_attualmente_positivi]])*100</f>
        <v>93.668769476324385</v>
      </c>
      <c r="AD143" s="8">
        <f>(nazione[[#This Row],[Deceaded by day]]/nazione[[#This Row],[totale_attualmente_positivi]])*100</f>
        <v>9.8806718856882275E-2</v>
      </c>
      <c r="AE143" s="8">
        <f>(nazione[[#This Row],[Deceaded by day]]/morti_per_regione!D$2) *100</f>
        <v>2.0532810641681921E-3</v>
      </c>
    </row>
    <row r="144" spans="1:31" x14ac:dyDescent="0.2">
      <c r="A144">
        <v>142</v>
      </c>
      <c r="B144" s="6">
        <v>44026.708333333336</v>
      </c>
      <c r="C144" s="1" t="s">
        <v>42</v>
      </c>
      <c r="D144">
        <v>777</v>
      </c>
      <c r="E144">
        <v>60</v>
      </c>
      <c r="F144">
        <v>837</v>
      </c>
      <c r="G144">
        <v>12082</v>
      </c>
      <c r="H144">
        <v>12919</v>
      </c>
      <c r="I144">
        <v>-238</v>
      </c>
      <c r="J144">
        <v>114</v>
      </c>
      <c r="K144">
        <v>195441</v>
      </c>
      <c r="L144">
        <v>34984</v>
      </c>
      <c r="M144">
        <v>222053</v>
      </c>
      <c r="N144">
        <v>21291</v>
      </c>
      <c r="O144">
        <v>243344</v>
      </c>
      <c r="P144">
        <v>6004611</v>
      </c>
      <c r="Q144">
        <v>3607115</v>
      </c>
      <c r="R144" s="1" t="s">
        <v>82</v>
      </c>
      <c r="S144" s="1">
        <f t="shared" si="18"/>
        <v>4</v>
      </c>
      <c r="T144" s="1">
        <f t="shared" si="19"/>
        <v>-5</v>
      </c>
      <c r="U144">
        <f t="shared" si="15"/>
        <v>17</v>
      </c>
      <c r="V144">
        <f t="shared" si="16"/>
        <v>335</v>
      </c>
      <c r="W144" s="8">
        <f t="shared" si="17"/>
        <v>-1.8089230067644624E-2</v>
      </c>
      <c r="X144" s="1">
        <f>IF(Q144=0,(nazione[[#This Row],[nuovi_attualmente_positivi]]/nazione[[#This Row],[test_per_giorno]])*100,(nazione[[#This Row],[nuovi_attualmente_positivi]]/nazione[[#This Row],[test_per_giorno]])*100)</f>
        <v>0.47064651969284121</v>
      </c>
      <c r="Y144">
        <f>IF(nazione[[#This Row],[casi_testati]]=0,nazione[[#This Row],[tamponi]]-P143,IF(Q143=0,nazione[[#This Row],[casi_testati]]-Y143,nazione[[#This Row],[casi_testati]]-Q143))</f>
        <v>24222</v>
      </c>
      <c r="Z144" s="4">
        <f>IF(Q144=0,(nazione[[#This Row],[test_per_giorno]]/AG$3)*100,(nazione[[#This Row],[test_per_giorno]]/AG$3)*100)</f>
        <v>4.0206067132380029E-2</v>
      </c>
      <c r="AA144" s="4">
        <f>(nazione[[#This Row],[ricoverati_con_sintomi]]/nazione[[#This Row],[totale_attualmente_positivi]])*100</f>
        <v>6.0143973991795034</v>
      </c>
      <c r="AB144" s="4">
        <f>(nazione[[#This Row],[terapia_intensiva]]/nazione[[#This Row],[totale_attualmente_positivi]])*100</f>
        <v>0.4644322315968728</v>
      </c>
      <c r="AC144" s="4">
        <f>((nazione[[#This Row],[totale_attualmente_positivi]]-(nazione[[#This Row],[totale_ospedalizzati]]))/nazione[[#This Row],[totale_attualmente_positivi]])*100</f>
        <v>93.521170369223626</v>
      </c>
      <c r="AD144" s="8">
        <f>(nazione[[#This Row],[Deceaded by day]]/nazione[[#This Row],[totale_attualmente_positivi]])*100</f>
        <v>0.13158913228578062</v>
      </c>
      <c r="AE144" s="8">
        <f>(nazione[[#This Row],[Deceaded by day]]/morti_per_regione!D$2) *100</f>
        <v>2.6850598531430203E-3</v>
      </c>
    </row>
    <row r="145" spans="1:31" x14ac:dyDescent="0.2">
      <c r="A145">
        <v>143</v>
      </c>
      <c r="B145" s="6">
        <v>44027.708333333336</v>
      </c>
      <c r="C145" s="1" t="s">
        <v>42</v>
      </c>
      <c r="D145">
        <v>797</v>
      </c>
      <c r="E145">
        <v>57</v>
      </c>
      <c r="F145">
        <v>854</v>
      </c>
      <c r="G145">
        <v>11639</v>
      </c>
      <c r="H145">
        <v>12493</v>
      </c>
      <c r="I145">
        <v>-426</v>
      </c>
      <c r="J145">
        <v>163</v>
      </c>
      <c r="K145">
        <v>196016</v>
      </c>
      <c r="L145">
        <v>34997</v>
      </c>
      <c r="M145">
        <v>222075</v>
      </c>
      <c r="N145">
        <v>21431</v>
      </c>
      <c r="O145">
        <v>243506</v>
      </c>
      <c r="P145">
        <v>6053060</v>
      </c>
      <c r="Q145">
        <v>3635507</v>
      </c>
      <c r="R145" s="1" t="s">
        <v>82</v>
      </c>
      <c r="S145" s="1">
        <f t="shared" si="18"/>
        <v>17</v>
      </c>
      <c r="T145" s="1">
        <f t="shared" si="19"/>
        <v>-3</v>
      </c>
      <c r="U145">
        <f t="shared" si="15"/>
        <v>13</v>
      </c>
      <c r="V145">
        <f t="shared" si="16"/>
        <v>575</v>
      </c>
      <c r="W145" s="8">
        <f t="shared" si="17"/>
        <v>-3.297468844337792E-2</v>
      </c>
      <c r="X145" s="1">
        <f>IF(Q145=0,(nazione[[#This Row],[nuovi_attualmente_positivi]]/nazione[[#This Row],[test_per_giorno]])*100,(nazione[[#This Row],[nuovi_attualmente_positivi]]/nazione[[#This Row],[test_per_giorno]])*100)</f>
        <v>0.57410538179768944</v>
      </c>
      <c r="Y145">
        <f>IF(nazione[[#This Row],[casi_testati]]=0,nazione[[#This Row],[tamponi]]-P144,IF(Q144=0,nazione[[#This Row],[casi_testati]]-Y144,nazione[[#This Row],[casi_testati]]-Q144))</f>
        <v>28392</v>
      </c>
      <c r="Z145" s="4">
        <f>IF(Q145=0,(nazione[[#This Row],[test_per_giorno]]/AG$3)*100,(nazione[[#This Row],[test_per_giorno]]/AG$3)*100)</f>
        <v>4.7127844852717933E-2</v>
      </c>
      <c r="AA145" s="4">
        <f>(nazione[[#This Row],[ricoverati_con_sintomi]]/nazione[[#This Row],[totale_attualmente_positivi]])*100</f>
        <v>6.3795725606339548</v>
      </c>
      <c r="AB145" s="4">
        <f>(nazione[[#This Row],[terapia_intensiva]]/nazione[[#This Row],[totale_attualmente_positivi]])*100</f>
        <v>0.4562555030817258</v>
      </c>
      <c r="AC145" s="4">
        <f>((nazione[[#This Row],[totale_attualmente_positivi]]-(nazione[[#This Row],[totale_ospedalizzati]]))/nazione[[#This Row],[totale_attualmente_positivi]])*100</f>
        <v>93.164171936284319</v>
      </c>
      <c r="AD145" s="8">
        <f>(nazione[[#This Row],[Deceaded by day]]/nazione[[#This Row],[totale_attualmente_positivi]])*100</f>
        <v>0.10405827263267431</v>
      </c>
      <c r="AE145" s="8">
        <f>(nazione[[#This Row],[Deceaded by day]]/morti_per_regione!D$2) *100</f>
        <v>2.0532810641681921E-3</v>
      </c>
    </row>
    <row r="146" spans="1:31" x14ac:dyDescent="0.2">
      <c r="A146">
        <v>144</v>
      </c>
      <c r="B146" s="6">
        <v>44028.708333333336</v>
      </c>
      <c r="C146" s="1" t="s">
        <v>42</v>
      </c>
      <c r="D146">
        <v>750</v>
      </c>
      <c r="E146">
        <v>53</v>
      </c>
      <c r="F146">
        <v>803</v>
      </c>
      <c r="G146">
        <v>11670</v>
      </c>
      <c r="H146">
        <v>12473</v>
      </c>
      <c r="I146">
        <v>-20</v>
      </c>
      <c r="J146">
        <v>230</v>
      </c>
      <c r="K146">
        <v>196246</v>
      </c>
      <c r="L146">
        <v>35017</v>
      </c>
      <c r="M146">
        <v>222079</v>
      </c>
      <c r="N146">
        <v>21657</v>
      </c>
      <c r="O146">
        <v>243736</v>
      </c>
      <c r="P146">
        <v>6103492</v>
      </c>
      <c r="Q146">
        <v>3663596</v>
      </c>
      <c r="R146" s="1" t="s">
        <v>82</v>
      </c>
      <c r="S146" s="1">
        <f t="shared" si="18"/>
        <v>-51</v>
      </c>
      <c r="T146" s="1">
        <f t="shared" si="19"/>
        <v>-4</v>
      </c>
      <c r="U146">
        <f t="shared" si="15"/>
        <v>20</v>
      </c>
      <c r="V146">
        <f t="shared" si="16"/>
        <v>230</v>
      </c>
      <c r="W146" s="8">
        <f t="shared" si="17"/>
        <v>-1.6008965020410937E-3</v>
      </c>
      <c r="X146" s="1">
        <f>IF(Q146=0,(nazione[[#This Row],[nuovi_attualmente_positivi]]/nazione[[#This Row],[test_per_giorno]])*100,(nazione[[#This Row],[nuovi_attualmente_positivi]]/nazione[[#This Row],[test_per_giorno]])*100)</f>
        <v>0.8188258748976468</v>
      </c>
      <c r="Y146">
        <f>IF(nazione[[#This Row],[casi_testati]]=0,nazione[[#This Row],[tamponi]]-P145,IF(Q145=0,nazione[[#This Row],[casi_testati]]-Y145,nazione[[#This Row],[casi_testati]]-Q145))</f>
        <v>28089</v>
      </c>
      <c r="Z146" s="4">
        <f>IF(Q146=0,(nazione[[#This Row],[test_per_giorno]]/AG$3)*100,(nazione[[#This Row],[test_per_giorno]]/AG$3)*100)</f>
        <v>4.6624895536348056E-2</v>
      </c>
      <c r="AA146" s="4">
        <f>(nazione[[#This Row],[ricoverati_con_sintomi]]/nazione[[#This Row],[totale_attualmente_positivi]])*100</f>
        <v>6.0129880541970664</v>
      </c>
      <c r="AB146" s="4">
        <f>(nazione[[#This Row],[terapia_intensiva]]/nazione[[#This Row],[totale_attualmente_positivi]])*100</f>
        <v>0.4249178224965926</v>
      </c>
      <c r="AC146" s="4">
        <f>((nazione[[#This Row],[totale_attualmente_positivi]]-(nazione[[#This Row],[totale_ospedalizzati]]))/nazione[[#This Row],[totale_attualmente_positivi]])*100</f>
        <v>93.562094123306338</v>
      </c>
      <c r="AD146" s="8">
        <f>(nazione[[#This Row],[Deceaded by day]]/nazione[[#This Row],[totale_attualmente_positivi]])*100</f>
        <v>0.16034634811192175</v>
      </c>
      <c r="AE146" s="8">
        <f>(nazione[[#This Row],[Deceaded by day]]/morti_per_regione!D$2) *100</f>
        <v>3.1588939448741419E-3</v>
      </c>
    </row>
    <row r="147" spans="1:31" x14ac:dyDescent="0.2">
      <c r="A147">
        <v>145</v>
      </c>
      <c r="B147" s="6">
        <v>44029.708333333336</v>
      </c>
      <c r="C147" s="1" t="s">
        <v>42</v>
      </c>
      <c r="D147">
        <v>771</v>
      </c>
      <c r="E147">
        <v>50</v>
      </c>
      <c r="F147">
        <v>821</v>
      </c>
      <c r="G147">
        <v>11635</v>
      </c>
      <c r="H147">
        <v>12456</v>
      </c>
      <c r="I147">
        <v>-17</v>
      </c>
      <c r="J147">
        <v>233</v>
      </c>
      <c r="K147">
        <v>196483</v>
      </c>
      <c r="L147">
        <v>35028</v>
      </c>
      <c r="M147">
        <v>222072</v>
      </c>
      <c r="N147">
        <v>21895</v>
      </c>
      <c r="O147">
        <v>243967</v>
      </c>
      <c r="P147">
        <v>6154259</v>
      </c>
      <c r="Q147">
        <v>3692257</v>
      </c>
      <c r="R147" s="1" t="s">
        <v>82</v>
      </c>
      <c r="S147" s="1">
        <f t="shared" si="18"/>
        <v>18</v>
      </c>
      <c r="T147" s="1">
        <f t="shared" si="19"/>
        <v>-3</v>
      </c>
      <c r="U147">
        <f t="shared" si="15"/>
        <v>11</v>
      </c>
      <c r="V147">
        <f t="shared" si="16"/>
        <v>237</v>
      </c>
      <c r="W147" s="8">
        <f t="shared" si="17"/>
        <v>-1.3629439589513126E-3</v>
      </c>
      <c r="X147" s="1">
        <f>IF(Q147=0,(nazione[[#This Row],[nuovi_attualmente_positivi]]/nazione[[#This Row],[test_per_giorno]])*100,(nazione[[#This Row],[nuovi_attualmente_positivi]]/nazione[[#This Row],[test_per_giorno]])*100)</f>
        <v>0.81295139736924737</v>
      </c>
      <c r="Y147">
        <f>IF(nazione[[#This Row],[casi_testati]]=0,nazione[[#This Row],[tamponi]]-P146,IF(Q146=0,nazione[[#This Row],[casi_testati]]-Y146,nazione[[#This Row],[casi_testati]]-Q146))</f>
        <v>28661</v>
      </c>
      <c r="Z147" s="4">
        <f>IF(Q147=0,(nazione[[#This Row],[test_per_giorno]]/AG$3)*100,(nazione[[#This Row],[test_per_giorno]]/AG$3)*100)</f>
        <v>4.7574357612135409E-2</v>
      </c>
      <c r="AA147" s="4">
        <f>(nazione[[#This Row],[ricoverati_con_sintomi]]/nazione[[#This Row],[totale_attualmente_positivi]])*100</f>
        <v>6.1897880539499042</v>
      </c>
      <c r="AB147" s="4">
        <f>(nazione[[#This Row],[terapia_intensiva]]/nazione[[#This Row],[totale_attualmente_positivi]])*100</f>
        <v>0.40141297366730899</v>
      </c>
      <c r="AC147" s="4">
        <f>((nazione[[#This Row],[totale_attualmente_positivi]]-(nazione[[#This Row],[totale_ospedalizzati]]))/nazione[[#This Row],[totale_attualmente_positivi]])*100</f>
        <v>93.408798972382783</v>
      </c>
      <c r="AD147" s="8">
        <f>(nazione[[#This Row],[Deceaded by day]]/nazione[[#This Row],[totale_attualmente_positivi]])*100</f>
        <v>8.8310854206807968E-2</v>
      </c>
      <c r="AE147" s="8">
        <f>(nazione[[#This Row],[Deceaded by day]]/morti_per_regione!D$2) *100</f>
        <v>1.7373916696807779E-3</v>
      </c>
    </row>
    <row r="148" spans="1:31" x14ac:dyDescent="0.2">
      <c r="A148">
        <v>146</v>
      </c>
      <c r="B148" s="6">
        <v>44030.708333333336</v>
      </c>
      <c r="C148" s="1" t="s">
        <v>42</v>
      </c>
      <c r="D148">
        <v>757</v>
      </c>
      <c r="E148">
        <v>50</v>
      </c>
      <c r="F148">
        <v>807</v>
      </c>
      <c r="G148">
        <v>11561</v>
      </c>
      <c r="H148">
        <v>12368</v>
      </c>
      <c r="I148">
        <v>-88</v>
      </c>
      <c r="J148">
        <v>249</v>
      </c>
      <c r="K148">
        <v>196806</v>
      </c>
      <c r="L148">
        <v>35042</v>
      </c>
      <c r="M148">
        <v>222138</v>
      </c>
      <c r="N148">
        <v>22078</v>
      </c>
      <c r="O148">
        <v>244216</v>
      </c>
      <c r="P148">
        <v>6202524</v>
      </c>
      <c r="Q148">
        <v>3719826</v>
      </c>
      <c r="R148" s="1" t="s">
        <v>82</v>
      </c>
      <c r="S148" s="1">
        <f t="shared" si="18"/>
        <v>-14</v>
      </c>
      <c r="T148" s="1">
        <f t="shared" si="19"/>
        <v>0</v>
      </c>
      <c r="U148">
        <f t="shared" si="15"/>
        <v>14</v>
      </c>
      <c r="V148">
        <f t="shared" si="16"/>
        <v>323</v>
      </c>
      <c r="W148" s="8">
        <f t="shared" si="17"/>
        <v>-7.0648683365446274E-3</v>
      </c>
      <c r="X148" s="1">
        <f>IF(Q148=0,(nazione[[#This Row],[nuovi_attualmente_positivi]]/nazione[[#This Row],[test_per_giorno]])*100,(nazione[[#This Row],[nuovi_attualmente_positivi]]/nazione[[#This Row],[test_per_giorno]])*100)</f>
        <v>0.90318836374188394</v>
      </c>
      <c r="Y148">
        <f>IF(nazione[[#This Row],[casi_testati]]=0,nazione[[#This Row],[tamponi]]-P147,IF(Q147=0,nazione[[#This Row],[casi_testati]]-Y147,nazione[[#This Row],[casi_testati]]-Q147))</f>
        <v>27569</v>
      </c>
      <c r="Z148" s="4">
        <f>IF(Q148=0,(nazione[[#This Row],[test_per_giorno]]/AG$3)*100,(nazione[[#This Row],[test_per_giorno]]/AG$3)*100)</f>
        <v>4.5761748194723187E-2</v>
      </c>
      <c r="AA148" s="4">
        <f>(nazione[[#This Row],[ricoverati_con_sintomi]]/nazione[[#This Row],[totale_attualmente_positivi]])*100</f>
        <v>6.1206338939197931</v>
      </c>
      <c r="AB148" s="4">
        <f>(nazione[[#This Row],[terapia_intensiva]]/nazione[[#This Row],[totale_attualmente_positivi]])*100</f>
        <v>0.40426908150064683</v>
      </c>
      <c r="AC148" s="4">
        <f>((nazione[[#This Row],[totale_attualmente_positivi]]-(nazione[[#This Row],[totale_ospedalizzati]]))/nazione[[#This Row],[totale_attualmente_positivi]])*100</f>
        <v>93.475097024579554</v>
      </c>
      <c r="AD148" s="8">
        <f>(nazione[[#This Row],[Deceaded by day]]/nazione[[#This Row],[totale_attualmente_positivi]])*100</f>
        <v>0.11319534282018111</v>
      </c>
      <c r="AE148" s="8">
        <f>(nazione[[#This Row],[Deceaded by day]]/morti_per_regione!D$2) *100</f>
        <v>2.2112257614118991E-3</v>
      </c>
    </row>
    <row r="149" spans="1:31" x14ac:dyDescent="0.2">
      <c r="A149">
        <v>147</v>
      </c>
      <c r="B149" s="6">
        <v>44031.708333333336</v>
      </c>
      <c r="C149" s="1" t="s">
        <v>42</v>
      </c>
      <c r="D149">
        <v>743</v>
      </c>
      <c r="E149">
        <v>49</v>
      </c>
      <c r="F149">
        <v>792</v>
      </c>
      <c r="G149">
        <v>11648</v>
      </c>
      <c r="H149">
        <v>12440</v>
      </c>
      <c r="I149">
        <v>72</v>
      </c>
      <c r="J149">
        <v>219</v>
      </c>
      <c r="K149">
        <v>196949</v>
      </c>
      <c r="L149">
        <v>35045</v>
      </c>
      <c r="M149">
        <v>222180</v>
      </c>
      <c r="N149">
        <v>22254</v>
      </c>
      <c r="O149">
        <v>244434</v>
      </c>
      <c r="P149">
        <v>6238049</v>
      </c>
      <c r="Q149">
        <v>3740447</v>
      </c>
      <c r="R149" s="1" t="s">
        <v>82</v>
      </c>
      <c r="S149" s="1">
        <f t="shared" si="18"/>
        <v>-15</v>
      </c>
      <c r="T149" s="1">
        <f t="shared" si="19"/>
        <v>-1</v>
      </c>
      <c r="U149">
        <f t="shared" si="15"/>
        <v>3</v>
      </c>
      <c r="V149">
        <f t="shared" si="16"/>
        <v>143</v>
      </c>
      <c r="W149" s="8">
        <f t="shared" si="17"/>
        <v>5.8214747736093919E-3</v>
      </c>
      <c r="X149" s="1">
        <f>IF(Q149=0,(nazione[[#This Row],[nuovi_attualmente_positivi]]/nazione[[#This Row],[test_per_giorno]])*100,(nazione[[#This Row],[nuovi_attualmente_positivi]]/nazione[[#This Row],[test_per_giorno]])*100)</f>
        <v>1.0620241501382086</v>
      </c>
      <c r="Y149">
        <f>IF(nazione[[#This Row],[casi_testati]]=0,nazione[[#This Row],[tamponi]]-P148,IF(Q148=0,nazione[[#This Row],[casi_testati]]-Y148,nazione[[#This Row],[casi_testati]]-Q148))</f>
        <v>20621</v>
      </c>
      <c r="Z149" s="4">
        <f>IF(Q149=0,(nazione[[#This Row],[test_per_giorno]]/AG$3)*100,(nazione[[#This Row],[test_per_giorno]]/AG$3)*100)</f>
        <v>3.4228771791627803E-2</v>
      </c>
      <c r="AA149" s="4">
        <f>(nazione[[#This Row],[ricoverati_con_sintomi]]/nazione[[#This Row],[totale_attualmente_positivi]])*100</f>
        <v>5.972668810289389</v>
      </c>
      <c r="AB149" s="4">
        <f>(nazione[[#This Row],[terapia_intensiva]]/nazione[[#This Row],[totale_attualmente_positivi]])*100</f>
        <v>0.39389067524115756</v>
      </c>
      <c r="AC149" s="4">
        <f>((nazione[[#This Row],[totale_attualmente_positivi]]-(nazione[[#This Row],[totale_ospedalizzati]]))/nazione[[#This Row],[totale_attualmente_positivi]])*100</f>
        <v>93.633440514469456</v>
      </c>
      <c r="AD149" s="8">
        <f>(nazione[[#This Row],[Deceaded by day]]/nazione[[#This Row],[totale_attualmente_positivi]])*100</f>
        <v>2.4115755627009645E-2</v>
      </c>
      <c r="AE149" s="8">
        <f>(nazione[[#This Row],[Deceaded by day]]/morti_per_regione!D$2) *100</f>
        <v>4.7383409173112125E-4</v>
      </c>
    </row>
    <row r="150" spans="1:31" x14ac:dyDescent="0.2">
      <c r="A150">
        <v>148</v>
      </c>
      <c r="B150" s="6">
        <v>44032.708333333336</v>
      </c>
      <c r="C150" s="1" t="s">
        <v>42</v>
      </c>
      <c r="D150">
        <v>745</v>
      </c>
      <c r="E150">
        <v>47</v>
      </c>
      <c r="F150">
        <v>792</v>
      </c>
      <c r="G150">
        <v>11612</v>
      </c>
      <c r="H150">
        <v>12404</v>
      </c>
      <c r="I150">
        <v>-36</v>
      </c>
      <c r="J150">
        <v>190</v>
      </c>
      <c r="K150">
        <v>197162</v>
      </c>
      <c r="L150">
        <v>35058</v>
      </c>
      <c r="M150">
        <v>222212</v>
      </c>
      <c r="N150">
        <v>22412</v>
      </c>
      <c r="O150">
        <v>244624</v>
      </c>
      <c r="P150">
        <v>6262302</v>
      </c>
      <c r="Q150">
        <v>3754568</v>
      </c>
      <c r="R150" s="1" t="s">
        <v>82</v>
      </c>
      <c r="S150" s="1">
        <f t="shared" si="18"/>
        <v>0</v>
      </c>
      <c r="T150" s="1">
        <f t="shared" si="19"/>
        <v>-2</v>
      </c>
      <c r="U150">
        <f t="shared" si="15"/>
        <v>13</v>
      </c>
      <c r="V150">
        <f t="shared" si="16"/>
        <v>213</v>
      </c>
      <c r="W150" s="8">
        <f t="shared" si="17"/>
        <v>-2.8938906752411508E-3</v>
      </c>
      <c r="X150" s="1">
        <f>IF(Q150=0,(nazione[[#This Row],[nuovi_attualmente_positivi]]/nazione[[#This Row],[test_per_giorno]])*100,(nazione[[#This Row],[nuovi_attualmente_positivi]]/nazione[[#This Row],[test_per_giorno]])*100)</f>
        <v>1.3455137738120528</v>
      </c>
      <c r="Y150">
        <f>IF(nazione[[#This Row],[casi_testati]]=0,nazione[[#This Row],[tamponi]]-P149,IF(Q149=0,nazione[[#This Row],[casi_testati]]-Y149,nazione[[#This Row],[casi_testati]]-Q149))</f>
        <v>14121</v>
      </c>
      <c r="Z150" s="4">
        <f>IF(Q150=0,(nazione[[#This Row],[test_per_giorno]]/AG$3)*100,(nazione[[#This Row],[test_per_giorno]]/AG$3)*100)</f>
        <v>2.3439430021316918E-2</v>
      </c>
      <c r="AA150" s="4">
        <f>(nazione[[#This Row],[ricoverati_con_sintomi]]/nazione[[#This Row],[totale_attualmente_positivi]])*100</f>
        <v>6.006127055788455</v>
      </c>
      <c r="AB150" s="4">
        <f>(nazione[[#This Row],[terapia_intensiva]]/nazione[[#This Row],[totale_attualmente_positivi]])*100</f>
        <v>0.37891002902289583</v>
      </c>
      <c r="AC150" s="4">
        <f>((nazione[[#This Row],[totale_attualmente_positivi]]-(nazione[[#This Row],[totale_ospedalizzati]]))/nazione[[#This Row],[totale_attualmente_positivi]])*100</f>
        <v>93.614962915188642</v>
      </c>
      <c r="AD150" s="8">
        <f>(nazione[[#This Row],[Deceaded by day]]/nazione[[#This Row],[totale_attualmente_positivi]])*100</f>
        <v>0.10480490164463076</v>
      </c>
      <c r="AE150" s="8">
        <f>(nazione[[#This Row],[Deceaded by day]]/morti_per_regione!D$2) *100</f>
        <v>2.0532810641681921E-3</v>
      </c>
    </row>
    <row r="151" spans="1:31" x14ac:dyDescent="0.2">
      <c r="A151">
        <v>149</v>
      </c>
      <c r="B151" s="6">
        <v>44033.708333333336</v>
      </c>
      <c r="C151" s="1" t="s">
        <v>42</v>
      </c>
      <c r="D151">
        <v>732</v>
      </c>
      <c r="E151">
        <v>49</v>
      </c>
      <c r="F151">
        <v>781</v>
      </c>
      <c r="G151">
        <v>11467</v>
      </c>
      <c r="H151">
        <v>12248</v>
      </c>
      <c r="I151">
        <v>-156</v>
      </c>
      <c r="J151">
        <v>129</v>
      </c>
      <c r="K151">
        <v>197431</v>
      </c>
      <c r="L151">
        <v>35073</v>
      </c>
      <c r="M151">
        <v>222232</v>
      </c>
      <c r="N151">
        <v>22520</v>
      </c>
      <c r="O151">
        <v>244752</v>
      </c>
      <c r="P151">
        <v>6305412</v>
      </c>
      <c r="Q151">
        <v>3778483</v>
      </c>
      <c r="R151" s="1" t="s">
        <v>82</v>
      </c>
      <c r="S151" s="1">
        <f t="shared" si="18"/>
        <v>-11</v>
      </c>
      <c r="T151" s="1">
        <f t="shared" si="19"/>
        <v>2</v>
      </c>
      <c r="U151">
        <f t="shared" si="15"/>
        <v>15</v>
      </c>
      <c r="V151">
        <f t="shared" si="16"/>
        <v>269</v>
      </c>
      <c r="W151" s="8">
        <f t="shared" si="17"/>
        <v>-1.2576588197355743E-2</v>
      </c>
      <c r="X151" s="1">
        <f>IF(Q151=0,(nazione[[#This Row],[nuovi_attualmente_positivi]]/nazione[[#This Row],[test_per_giorno]])*100,(nazione[[#This Row],[nuovi_attualmente_positivi]]/nazione[[#This Row],[test_per_giorno]])*100)</f>
        <v>0.53941041187539196</v>
      </c>
      <c r="Y151">
        <f>IF(nazione[[#This Row],[casi_testati]]=0,nazione[[#This Row],[tamponi]]-P150,IF(Q150=0,nazione[[#This Row],[casi_testati]]-Y150,nazione[[#This Row],[casi_testati]]-Q150))</f>
        <v>23915</v>
      </c>
      <c r="Z151" s="4">
        <f>IF(Q151=0,(nazione[[#This Row],[test_per_giorno]]/AG$3)*100,(nazione[[#This Row],[test_per_giorno]]/AG$3)*100)</f>
        <v>3.9696478221074576E-2</v>
      </c>
      <c r="AA151" s="4">
        <f>(nazione[[#This Row],[ricoverati_con_sintomi]]/nazione[[#This Row],[totale_attualmente_positivi]])*100</f>
        <v>5.9764859568909205</v>
      </c>
      <c r="AB151" s="4">
        <f>(nazione[[#This Row],[terapia_intensiva]]/nazione[[#This Row],[totale_attualmente_positivi]])*100</f>
        <v>0.4000653167864141</v>
      </c>
      <c r="AC151" s="4">
        <f>((nazione[[#This Row],[totale_attualmente_positivi]]-(nazione[[#This Row],[totale_ospedalizzati]]))/nazione[[#This Row],[totale_attualmente_positivi]])*100</f>
        <v>93.623448726322664</v>
      </c>
      <c r="AD151" s="8">
        <f>(nazione[[#This Row],[Deceaded by day]]/nazione[[#This Row],[totale_attualmente_positivi]])*100</f>
        <v>0.12246897452645329</v>
      </c>
      <c r="AE151" s="8">
        <f>(nazione[[#This Row],[Deceaded by day]]/morti_per_regione!D$2) *100</f>
        <v>2.369170458655606E-3</v>
      </c>
    </row>
    <row r="152" spans="1:31" x14ac:dyDescent="0.2">
      <c r="A152">
        <v>150</v>
      </c>
      <c r="B152" s="6">
        <v>44034.708333333336</v>
      </c>
      <c r="C152" s="1" t="s">
        <v>42</v>
      </c>
      <c r="D152">
        <v>724</v>
      </c>
      <c r="E152">
        <v>48</v>
      </c>
      <c r="F152">
        <v>772</v>
      </c>
      <c r="G152">
        <v>11550</v>
      </c>
      <c r="H152">
        <v>12322</v>
      </c>
      <c r="I152">
        <v>74</v>
      </c>
      <c r="J152">
        <v>282</v>
      </c>
      <c r="K152">
        <v>197628</v>
      </c>
      <c r="L152">
        <v>35082</v>
      </c>
      <c r="M152">
        <v>222220</v>
      </c>
      <c r="N152">
        <v>22812</v>
      </c>
      <c r="O152">
        <v>245032</v>
      </c>
      <c r="P152">
        <v>6354730</v>
      </c>
      <c r="Q152">
        <v>3807771</v>
      </c>
      <c r="R152" s="1" t="s">
        <v>82</v>
      </c>
      <c r="S152" s="1">
        <f t="shared" si="18"/>
        <v>-9</v>
      </c>
      <c r="T152" s="1">
        <f t="shared" si="19"/>
        <v>-1</v>
      </c>
      <c r="U152">
        <f t="shared" si="15"/>
        <v>9</v>
      </c>
      <c r="V152">
        <f t="shared" si="16"/>
        <v>197</v>
      </c>
      <c r="W152" s="8">
        <f t="shared" si="17"/>
        <v>6.0418027433051247E-3</v>
      </c>
      <c r="X152" s="1">
        <f>IF(Q152=0,(nazione[[#This Row],[nuovi_attualmente_positivi]]/nazione[[#This Row],[test_per_giorno]])*100,(nazione[[#This Row],[nuovi_attualmente_positivi]]/nazione[[#This Row],[test_per_giorno]])*100)</f>
        <v>0.9628516798688882</v>
      </c>
      <c r="Y152">
        <f>IF(nazione[[#This Row],[casi_testati]]=0,nazione[[#This Row],[tamponi]]-P151,IF(Q151=0,nazione[[#This Row],[casi_testati]]-Y151,nazione[[#This Row],[casi_testati]]-Q151))</f>
        <v>29288</v>
      </c>
      <c r="Z152" s="4">
        <f>IF(Q152=0,(nazione[[#This Row],[test_per_giorno]]/AG$3)*100,(nazione[[#This Row],[test_per_giorno]]/AG$3)*100)</f>
        <v>4.8615114118286944E-2</v>
      </c>
      <c r="AA152" s="4">
        <f>(nazione[[#This Row],[ricoverati_con_sintomi]]/nazione[[#This Row],[totale_attualmente_positivi]])*100</f>
        <v>5.8756695341665308</v>
      </c>
      <c r="AB152" s="4">
        <f>(nazione[[#This Row],[terapia_intensiva]]/nazione[[#This Row],[totale_attualmente_positivi]])*100</f>
        <v>0.38954715143645513</v>
      </c>
      <c r="AC152" s="4">
        <f>((nazione[[#This Row],[totale_attualmente_positivi]]-(nazione[[#This Row],[totale_ospedalizzati]]))/nazione[[#This Row],[totale_attualmente_positivi]])*100</f>
        <v>93.734783314397021</v>
      </c>
      <c r="AD152" s="8">
        <f>(nazione[[#This Row],[Deceaded by day]]/nazione[[#This Row],[totale_attualmente_positivi]])*100</f>
        <v>7.3040090894335344E-2</v>
      </c>
      <c r="AE152" s="8">
        <f>(nazione[[#This Row],[Deceaded by day]]/morti_per_regione!D$2) *100</f>
        <v>1.4215022751933638E-3</v>
      </c>
    </row>
    <row r="153" spans="1:31" x14ac:dyDescent="0.2">
      <c r="A153">
        <v>151</v>
      </c>
      <c r="B153" s="6">
        <v>44035.708333333336</v>
      </c>
      <c r="C153" s="1" t="s">
        <v>42</v>
      </c>
      <c r="D153">
        <v>713</v>
      </c>
      <c r="E153">
        <v>49</v>
      </c>
      <c r="F153">
        <v>762</v>
      </c>
      <c r="G153">
        <v>11642</v>
      </c>
      <c r="H153">
        <v>12404</v>
      </c>
      <c r="I153">
        <v>82</v>
      </c>
      <c r="J153">
        <v>306</v>
      </c>
      <c r="K153">
        <v>197842</v>
      </c>
      <c r="L153">
        <v>35092</v>
      </c>
      <c r="M153">
        <v>222279</v>
      </c>
      <c r="N153">
        <v>23059</v>
      </c>
      <c r="O153">
        <v>245338</v>
      </c>
      <c r="P153">
        <v>6415041</v>
      </c>
      <c r="Q153">
        <v>3840789</v>
      </c>
      <c r="R153" s="1" t="s">
        <v>82</v>
      </c>
      <c r="S153" s="1">
        <f t="shared" si="18"/>
        <v>-10</v>
      </c>
      <c r="T153" s="1">
        <f t="shared" si="19"/>
        <v>1</v>
      </c>
      <c r="U153">
        <f t="shared" si="15"/>
        <v>10</v>
      </c>
      <c r="V153">
        <f t="shared" si="16"/>
        <v>214</v>
      </c>
      <c r="W153" s="8">
        <f t="shared" si="17"/>
        <v>6.6547638370393347E-3</v>
      </c>
      <c r="X153" s="1">
        <f>IF(Q153=0,(nazione[[#This Row],[nuovi_attualmente_positivi]]/nazione[[#This Row],[test_per_giorno]])*100,(nazione[[#This Row],[nuovi_attualmente_positivi]]/nazione[[#This Row],[test_per_giorno]])*100)</f>
        <v>0.92676721788115568</v>
      </c>
      <c r="Y153">
        <f>IF(nazione[[#This Row],[casi_testati]]=0,nazione[[#This Row],[tamponi]]-P152,IF(Q152=0,nazione[[#This Row],[casi_testati]]-Y152,nazione[[#This Row],[casi_testati]]-Q152))</f>
        <v>33018</v>
      </c>
      <c r="Z153" s="4">
        <f>IF(Q153=0,(nazione[[#This Row],[test_per_giorno]]/AG$3)*100,(nazione[[#This Row],[test_per_giorno]]/AG$3)*100)</f>
        <v>5.4806536395711494E-2</v>
      </c>
      <c r="AA153" s="4">
        <f>(nazione[[#This Row],[ricoverati_con_sintomi]]/nazione[[#This Row],[totale_attualmente_positivi]])*100</f>
        <v>5.7481457594324405</v>
      </c>
      <c r="AB153" s="4">
        <f>(nazione[[#This Row],[terapia_intensiva]]/nazione[[#This Row],[totale_attualmente_positivi]])*100</f>
        <v>0.39503386004514673</v>
      </c>
      <c r="AC153" s="4">
        <f>((nazione[[#This Row],[totale_attualmente_positivi]]-(nazione[[#This Row],[totale_ospedalizzati]]))/nazione[[#This Row],[totale_attualmente_positivi]])*100</f>
        <v>93.856820380522407</v>
      </c>
      <c r="AD153" s="8">
        <f>(nazione[[#This Row],[Deceaded by day]]/nazione[[#This Row],[totale_attualmente_positivi]])*100</f>
        <v>8.0619155111254434E-2</v>
      </c>
      <c r="AE153" s="8">
        <f>(nazione[[#This Row],[Deceaded by day]]/morti_per_regione!D$2) *100</f>
        <v>1.5794469724370709E-3</v>
      </c>
    </row>
    <row r="154" spans="1:31" x14ac:dyDescent="0.2">
      <c r="A154">
        <v>152</v>
      </c>
      <c r="B154" s="6">
        <v>44036.708333333336</v>
      </c>
      <c r="C154" s="1" t="s">
        <v>42</v>
      </c>
      <c r="D154">
        <v>713</v>
      </c>
      <c r="E154">
        <v>46</v>
      </c>
      <c r="F154">
        <v>759</v>
      </c>
      <c r="G154">
        <v>11542</v>
      </c>
      <c r="H154">
        <v>12301</v>
      </c>
      <c r="I154">
        <v>-103</v>
      </c>
      <c r="J154">
        <v>252</v>
      </c>
      <c r="K154">
        <v>198192</v>
      </c>
      <c r="L154">
        <v>35097</v>
      </c>
      <c r="M154">
        <v>222294</v>
      </c>
      <c r="N154">
        <v>23296</v>
      </c>
      <c r="O154">
        <v>245590</v>
      </c>
      <c r="P154">
        <v>6468375</v>
      </c>
      <c r="Q154">
        <v>3869759</v>
      </c>
      <c r="R154" s="1" t="s">
        <v>82</v>
      </c>
      <c r="S154" s="1">
        <f t="shared" si="18"/>
        <v>-3</v>
      </c>
      <c r="T154" s="1">
        <f t="shared" si="19"/>
        <v>-3</v>
      </c>
      <c r="U154">
        <f t="shared" si="15"/>
        <v>5</v>
      </c>
      <c r="V154">
        <f t="shared" si="16"/>
        <v>350</v>
      </c>
      <c r="W154" s="8">
        <f t="shared" si="17"/>
        <v>-8.3037729764592338E-3</v>
      </c>
      <c r="X154" s="1">
        <f>IF(Q154=0,(nazione[[#This Row],[nuovi_attualmente_positivi]]/nazione[[#This Row],[test_per_giorno]])*100,(nazione[[#This Row],[nuovi_attualmente_positivi]]/nazione[[#This Row],[test_per_giorno]])*100)</f>
        <v>0.86986537797721786</v>
      </c>
      <c r="Y154">
        <f>IF(nazione[[#This Row],[casi_testati]]=0,nazione[[#This Row],[tamponi]]-P153,IF(Q153=0,nazione[[#This Row],[casi_testati]]-Y153,nazione[[#This Row],[casi_testati]]-Q153))</f>
        <v>28970</v>
      </c>
      <c r="Z154" s="4">
        <f>IF(Q154=0,(nazione[[#This Row],[test_per_giorno]]/AG$3)*100,(nazione[[#This Row],[test_per_giorno]]/AG$3)*100)</f>
        <v>4.808726632090865E-2</v>
      </c>
      <c r="AA154" s="4">
        <f>(nazione[[#This Row],[ricoverati_con_sintomi]]/nazione[[#This Row],[totale_attualmente_positivi]])*100</f>
        <v>5.7962767254694745</v>
      </c>
      <c r="AB154" s="4">
        <f>(nazione[[#This Row],[terapia_intensiva]]/nazione[[#This Row],[totale_attualmente_positivi]])*100</f>
        <v>0.37395333712706286</v>
      </c>
      <c r="AC154" s="4">
        <f>((nazione[[#This Row],[totale_attualmente_positivi]]-(nazione[[#This Row],[totale_ospedalizzati]]))/nazione[[#This Row],[totale_attualmente_positivi]])*100</f>
        <v>93.829769937403455</v>
      </c>
      <c r="AD154" s="8">
        <f>(nazione[[#This Row],[Deceaded by day]]/nazione[[#This Row],[totale_attualmente_positivi]])*100</f>
        <v>4.0647101861637266E-2</v>
      </c>
      <c r="AE154" s="8">
        <f>(nazione[[#This Row],[Deceaded by day]]/morti_per_regione!D$2) *100</f>
        <v>7.8972348621853547E-4</v>
      </c>
    </row>
    <row r="155" spans="1:31" x14ac:dyDescent="0.2">
      <c r="A155">
        <v>153</v>
      </c>
      <c r="B155" s="6">
        <v>44037.708333333336</v>
      </c>
      <c r="C155" s="1" t="s">
        <v>42</v>
      </c>
      <c r="D155">
        <v>731</v>
      </c>
      <c r="E155">
        <v>41</v>
      </c>
      <c r="F155">
        <v>772</v>
      </c>
      <c r="G155">
        <v>11670</v>
      </c>
      <c r="H155">
        <v>12442</v>
      </c>
      <c r="I155">
        <v>141</v>
      </c>
      <c r="J155">
        <v>275</v>
      </c>
      <c r="K155">
        <v>198320</v>
      </c>
      <c r="L155">
        <v>35102</v>
      </c>
      <c r="M155">
        <v>222348</v>
      </c>
      <c r="N155">
        <v>23516</v>
      </c>
      <c r="O155">
        <v>245864</v>
      </c>
      <c r="P155">
        <v>6520046</v>
      </c>
      <c r="Q155">
        <v>3897818</v>
      </c>
      <c r="R155" s="1" t="s">
        <v>82</v>
      </c>
      <c r="S155" s="1">
        <f t="shared" si="18"/>
        <v>13</v>
      </c>
      <c r="T155" s="1">
        <f t="shared" si="19"/>
        <v>-5</v>
      </c>
      <c r="U155">
        <f t="shared" si="15"/>
        <v>5</v>
      </c>
      <c r="V155">
        <f t="shared" si="16"/>
        <v>128</v>
      </c>
      <c r="W155" s="8">
        <f t="shared" si="17"/>
        <v>1.1462482724981626E-2</v>
      </c>
      <c r="X155" s="1">
        <f>IF(Q155=0,(nazione[[#This Row],[nuovi_attualmente_positivi]]/nazione[[#This Row],[test_per_giorno]])*100,(nazione[[#This Row],[nuovi_attualmente_positivi]]/nazione[[#This Row],[test_per_giorno]])*100)</f>
        <v>0.98007769343169748</v>
      </c>
      <c r="Y155">
        <f>IF(nazione[[#This Row],[casi_testati]]=0,nazione[[#This Row],[tamponi]]-P154,IF(Q154=0,nazione[[#This Row],[casi_testati]]-Y154,nazione[[#This Row],[casi_testati]]-Q154))</f>
        <v>28059</v>
      </c>
      <c r="Z155" s="4">
        <f>IF(Q155=0,(nazione[[#This Row],[test_per_giorno]]/AG$3)*100,(nazione[[#This Row],[test_per_giorno]]/AG$3)*100)</f>
        <v>4.6575098574331238E-2</v>
      </c>
      <c r="AA155" s="4">
        <f>(nazione[[#This Row],[ricoverati_con_sintomi]]/nazione[[#This Row],[totale_attualmente_positivi]])*100</f>
        <v>5.8752612120237906</v>
      </c>
      <c r="AB155" s="4">
        <f>(nazione[[#This Row],[terapia_intensiva]]/nazione[[#This Row],[totale_attualmente_positivi]])*100</f>
        <v>0.32952901462787332</v>
      </c>
      <c r="AC155" s="4">
        <f>((nazione[[#This Row],[totale_attualmente_positivi]]-(nazione[[#This Row],[totale_ospedalizzati]]))/nazione[[#This Row],[totale_attualmente_positivi]])*100</f>
        <v>93.795209773348333</v>
      </c>
      <c r="AD155" s="8">
        <f>(nazione[[#This Row],[Deceaded by day]]/nazione[[#This Row],[totale_attualmente_positivi]])*100</f>
        <v>4.0186465198521135E-2</v>
      </c>
      <c r="AE155" s="8">
        <f>(nazione[[#This Row],[Deceaded by day]]/morti_per_regione!D$2) *100</f>
        <v>7.8972348621853547E-4</v>
      </c>
    </row>
    <row r="156" spans="1:31" x14ac:dyDescent="0.2">
      <c r="A156">
        <v>154</v>
      </c>
      <c r="B156" s="6">
        <v>44038.708333333336</v>
      </c>
      <c r="C156" s="1" t="s">
        <v>42</v>
      </c>
      <c r="D156">
        <v>735</v>
      </c>
      <c r="E156">
        <v>44</v>
      </c>
      <c r="F156">
        <v>779</v>
      </c>
      <c r="G156">
        <v>11786</v>
      </c>
      <c r="H156">
        <v>12565</v>
      </c>
      <c r="I156">
        <v>123</v>
      </c>
      <c r="J156">
        <v>255</v>
      </c>
      <c r="K156">
        <v>198446</v>
      </c>
      <c r="L156">
        <v>35107</v>
      </c>
      <c r="M156">
        <v>222382</v>
      </c>
      <c r="N156">
        <v>23736</v>
      </c>
      <c r="O156">
        <v>246118</v>
      </c>
      <c r="P156">
        <v>6560572</v>
      </c>
      <c r="Q156">
        <v>3922995</v>
      </c>
      <c r="R156" s="1" t="s">
        <v>82</v>
      </c>
      <c r="S156" s="1">
        <f t="shared" si="18"/>
        <v>7</v>
      </c>
      <c r="T156" s="1">
        <f t="shared" si="19"/>
        <v>3</v>
      </c>
      <c r="U156">
        <f t="shared" si="15"/>
        <v>5</v>
      </c>
      <c r="V156">
        <f t="shared" si="16"/>
        <v>126</v>
      </c>
      <c r="W156" s="8">
        <f t="shared" si="17"/>
        <v>9.8858704388362639E-3</v>
      </c>
      <c r="X156" s="1">
        <f>IF(Q156=0,(nazione[[#This Row],[nuovi_attualmente_positivi]]/nazione[[#This Row],[test_per_giorno]])*100,(nazione[[#This Row],[nuovi_attualmente_positivi]]/nazione[[#This Row],[test_per_giorno]])*100)</f>
        <v>1.0128291694800811</v>
      </c>
      <c r="Y156">
        <f>IF(nazione[[#This Row],[casi_testati]]=0,nazione[[#This Row],[tamponi]]-P155,IF(Q155=0,nazione[[#This Row],[casi_testati]]-Y155,nazione[[#This Row],[casi_testati]]-Q155))</f>
        <v>25177</v>
      </c>
      <c r="Z156" s="4">
        <f>IF(Q156=0,(nazione[[#This Row],[test_per_giorno]]/AG$3)*100,(nazione[[#This Row],[test_per_giorno]]/AG$3)*100)</f>
        <v>4.1791270423248782E-2</v>
      </c>
      <c r="AA156" s="4">
        <f>(nazione[[#This Row],[ricoverati_con_sintomi]]/nazione[[#This Row],[totale_attualmente_positivi]])*100</f>
        <v>5.8495821727019495</v>
      </c>
      <c r="AB156" s="4">
        <f>(nazione[[#This Row],[terapia_intensiva]]/nazione[[#This Row],[totale_attualmente_positivi]])*100</f>
        <v>0.35017906884202149</v>
      </c>
      <c r="AC156" s="4">
        <f>((nazione[[#This Row],[totale_attualmente_positivi]]-(nazione[[#This Row],[totale_ospedalizzati]]))/nazione[[#This Row],[totale_attualmente_positivi]])*100</f>
        <v>93.800238758456032</v>
      </c>
      <c r="AD156" s="8">
        <f>(nazione[[#This Row],[Deceaded by day]]/nazione[[#This Row],[totale_attualmente_positivi]])*100</f>
        <v>3.979307600477517E-2</v>
      </c>
      <c r="AE156" s="8">
        <f>(nazione[[#This Row],[Deceaded by day]]/morti_per_regione!D$2) *100</f>
        <v>7.8972348621853547E-4</v>
      </c>
    </row>
    <row r="157" spans="1:31" x14ac:dyDescent="0.2">
      <c r="A157">
        <v>155</v>
      </c>
      <c r="B157" s="6">
        <v>44039.708333333336</v>
      </c>
      <c r="C157" s="1" t="s">
        <v>42</v>
      </c>
      <c r="D157">
        <v>740</v>
      </c>
      <c r="E157">
        <v>45</v>
      </c>
      <c r="F157">
        <v>785</v>
      </c>
      <c r="G157">
        <v>11796</v>
      </c>
      <c r="H157">
        <v>12581</v>
      </c>
      <c r="I157">
        <v>16</v>
      </c>
      <c r="J157">
        <v>170</v>
      </c>
      <c r="K157">
        <v>198593</v>
      </c>
      <c r="L157">
        <v>35112</v>
      </c>
      <c r="M157">
        <v>222442</v>
      </c>
      <c r="N157">
        <v>23844</v>
      </c>
      <c r="O157">
        <v>246286</v>
      </c>
      <c r="P157">
        <v>6586123</v>
      </c>
      <c r="Q157">
        <v>3942369</v>
      </c>
      <c r="R157" s="1" t="s">
        <v>82</v>
      </c>
      <c r="S157" s="1">
        <f t="shared" si="18"/>
        <v>6</v>
      </c>
      <c r="T157" s="1">
        <f t="shared" si="19"/>
        <v>1</v>
      </c>
      <c r="U157">
        <f t="shared" si="15"/>
        <v>5</v>
      </c>
      <c r="V157">
        <f t="shared" si="16"/>
        <v>147</v>
      </c>
      <c r="W157" s="8">
        <f t="shared" si="17"/>
        <v>1.2733784321528052E-3</v>
      </c>
      <c r="X157" s="1">
        <f>IF(Q157=0,(nazione[[#This Row],[nuovi_attualmente_positivi]]/nazione[[#This Row],[test_per_giorno]])*100,(nazione[[#This Row],[nuovi_attualmente_positivi]]/nazione[[#This Row],[test_per_giorno]])*100)</f>
        <v>0.87746464333643037</v>
      </c>
      <c r="Y157">
        <f>IF(nazione[[#This Row],[casi_testati]]=0,nazione[[#This Row],[tamponi]]-P156,IF(Q156=0,nazione[[#This Row],[casi_testati]]-Y156,nazione[[#This Row],[casi_testati]]-Q156))</f>
        <v>19374</v>
      </c>
      <c r="Z157" s="4">
        <f>IF(Q157=0,(nazione[[#This Row],[test_per_giorno]]/AG$3)*100,(nazione[[#This Row],[test_per_giorno]]/AG$3)*100)</f>
        <v>3.2158878070461999E-2</v>
      </c>
      <c r="AA157" s="4">
        <f>(nazione[[#This Row],[ricoverati_con_sintomi]]/nazione[[#This Row],[totale_attualmente_positivi]])*100</f>
        <v>5.8818853827199744</v>
      </c>
      <c r="AB157" s="4">
        <f>(nazione[[#This Row],[terapia_intensiva]]/nazione[[#This Row],[totale_attualmente_positivi]])*100</f>
        <v>0.35768221921945792</v>
      </c>
      <c r="AC157" s="4">
        <f>((nazione[[#This Row],[totale_attualmente_positivi]]-(nazione[[#This Row],[totale_ospedalizzati]]))/nazione[[#This Row],[totale_attualmente_positivi]])*100</f>
        <v>93.760432398060573</v>
      </c>
      <c r="AD157" s="8">
        <f>(nazione[[#This Row],[Deceaded by day]]/nazione[[#This Row],[totale_attualmente_positivi]])*100</f>
        <v>3.9742468802161986E-2</v>
      </c>
      <c r="AE157" s="8">
        <f>(nazione[[#This Row],[Deceaded by day]]/morti_per_regione!D$2) *100</f>
        <v>7.8972348621853547E-4</v>
      </c>
    </row>
    <row r="158" spans="1:31" x14ac:dyDescent="0.2">
      <c r="A158">
        <v>156</v>
      </c>
      <c r="B158" s="6">
        <v>44040.708333333336</v>
      </c>
      <c r="C158" s="1" t="s">
        <v>42</v>
      </c>
      <c r="D158">
        <v>749</v>
      </c>
      <c r="E158">
        <v>40</v>
      </c>
      <c r="F158">
        <v>789</v>
      </c>
      <c r="G158">
        <v>11820</v>
      </c>
      <c r="H158">
        <v>12609</v>
      </c>
      <c r="I158">
        <v>28</v>
      </c>
      <c r="J158">
        <v>212</v>
      </c>
      <c r="K158">
        <v>198756</v>
      </c>
      <c r="L158">
        <v>35123</v>
      </c>
      <c r="M158">
        <v>222473</v>
      </c>
      <c r="N158">
        <v>24015</v>
      </c>
      <c r="O158">
        <v>246488</v>
      </c>
      <c r="P158">
        <v>6634293</v>
      </c>
      <c r="Q158">
        <v>3967710</v>
      </c>
      <c r="R158" s="1" t="s">
        <v>82</v>
      </c>
      <c r="S158" s="1">
        <f t="shared" si="18"/>
        <v>4</v>
      </c>
      <c r="T158" s="1">
        <f t="shared" si="19"/>
        <v>-5</v>
      </c>
      <c r="U158">
        <f t="shared" si="15"/>
        <v>11</v>
      </c>
      <c r="V158">
        <f t="shared" si="16"/>
        <v>163</v>
      </c>
      <c r="W158" s="8">
        <f t="shared" si="17"/>
        <v>2.2255782529210233E-3</v>
      </c>
      <c r="X158" s="1">
        <f>IF(Q158=0,(nazione[[#This Row],[nuovi_attualmente_positivi]]/nazione[[#This Row],[test_per_giorno]])*100,(nazione[[#This Row],[nuovi_attualmente_positivi]]/nazione[[#This Row],[test_per_giorno]])*100)</f>
        <v>0.83658892703523924</v>
      </c>
      <c r="Y158">
        <f>IF(nazione[[#This Row],[casi_testati]]=0,nazione[[#This Row],[tamponi]]-P157,IF(Q157=0,nazione[[#This Row],[casi_testati]]-Y157,nazione[[#This Row],[casi_testati]]-Q157))</f>
        <v>25341</v>
      </c>
      <c r="Z158" s="4">
        <f>IF(Q158=0,(nazione[[#This Row],[test_per_giorno]]/AG$3)*100,(nazione[[#This Row],[test_per_giorno]]/AG$3)*100)</f>
        <v>4.2063493815607395E-2</v>
      </c>
      <c r="AA158" s="4">
        <f>(nazione[[#This Row],[ricoverati_con_sintomi]]/nazione[[#This Row],[totale_attualmente_positivi]])*100</f>
        <v>5.9402014434134349</v>
      </c>
      <c r="AB158" s="4">
        <f>(nazione[[#This Row],[terapia_intensiva]]/nazione[[#This Row],[totale_attualmente_positivi]])*100</f>
        <v>0.31723372194464272</v>
      </c>
      <c r="AC158" s="4">
        <f>((nazione[[#This Row],[totale_attualmente_positivi]]-(nazione[[#This Row],[totale_ospedalizzati]]))/nazione[[#This Row],[totale_attualmente_positivi]])*100</f>
        <v>93.742564834641911</v>
      </c>
      <c r="AD158" s="8">
        <f>(nazione[[#This Row],[Deceaded by day]]/nazione[[#This Row],[totale_attualmente_positivi]])*100</f>
        <v>8.7239273534776743E-2</v>
      </c>
      <c r="AE158" s="8">
        <f>(nazione[[#This Row],[Deceaded by day]]/morti_per_regione!D$2) *100</f>
        <v>1.7373916696807779E-3</v>
      </c>
    </row>
    <row r="159" spans="1:31" x14ac:dyDescent="0.2">
      <c r="A159">
        <v>157</v>
      </c>
      <c r="B159" s="6">
        <v>44041.708333333336</v>
      </c>
      <c r="C159" s="1" t="s">
        <v>42</v>
      </c>
      <c r="D159">
        <v>731</v>
      </c>
      <c r="E159">
        <v>38</v>
      </c>
      <c r="F159">
        <v>769</v>
      </c>
      <c r="G159">
        <v>11847</v>
      </c>
      <c r="H159">
        <v>12616</v>
      </c>
      <c r="I159">
        <v>7</v>
      </c>
      <c r="J159">
        <v>289</v>
      </c>
      <c r="K159">
        <v>199031</v>
      </c>
      <c r="L159">
        <v>35129</v>
      </c>
      <c r="M159">
        <v>222569</v>
      </c>
      <c r="N159">
        <v>24207</v>
      </c>
      <c r="O159">
        <v>246776</v>
      </c>
      <c r="P159">
        <v>6690311</v>
      </c>
      <c r="Q159">
        <v>3998585</v>
      </c>
      <c r="R159" s="1" t="s">
        <v>82</v>
      </c>
      <c r="S159" s="1">
        <f t="shared" si="18"/>
        <v>-20</v>
      </c>
      <c r="T159" s="1">
        <f t="shared" si="19"/>
        <v>-2</v>
      </c>
      <c r="U159">
        <f t="shared" ref="U159:U222" si="20">L159-L158</f>
        <v>6</v>
      </c>
      <c r="V159">
        <f t="shared" ref="V159:V222" si="21">K159-K158</f>
        <v>275</v>
      </c>
      <c r="W159" s="8">
        <f t="shared" si="17"/>
        <v>5.5515901340319473E-4</v>
      </c>
      <c r="X159" s="1">
        <f>IF(Q159=0,(nazione[[#This Row],[nuovi_attualmente_positivi]]/nazione[[#This Row],[test_per_giorno]])*100,(nazione[[#This Row],[nuovi_attualmente_positivi]]/nazione[[#This Row],[test_per_giorno]])*100)</f>
        <v>0.93603238866396765</v>
      </c>
      <c r="Y159">
        <f>IF(nazione[[#This Row],[casi_testati]]=0,nazione[[#This Row],[tamponi]]-P158,IF(Q158=0,nazione[[#This Row],[casi_testati]]-Y158,nazione[[#This Row],[casi_testati]]-Q158))</f>
        <v>30875</v>
      </c>
      <c r="Z159" s="4">
        <f>IF(Q159=0,(nazione[[#This Row],[test_per_giorno]]/AG$3)*100,(nazione[[#This Row],[test_per_giorno]]/AG$3)*100)</f>
        <v>5.1249373408976687E-2</v>
      </c>
      <c r="AA159" s="4">
        <f>(nazione[[#This Row],[ricoverati_con_sintomi]]/nazione[[#This Row],[totale_attualmente_positivi]])*100</f>
        <v>5.79422954977806</v>
      </c>
      <c r="AB159" s="4">
        <f>(nazione[[#This Row],[terapia_intensiva]]/nazione[[#This Row],[totale_attualmente_positivi]])*100</f>
        <v>0.30120481927710846</v>
      </c>
      <c r="AC159" s="4">
        <f>((nazione[[#This Row],[totale_attualmente_positivi]]-(nazione[[#This Row],[totale_ospedalizzati]]))/nazione[[#This Row],[totale_attualmente_positivi]])*100</f>
        <v>93.90456563094483</v>
      </c>
      <c r="AD159" s="8">
        <f>(nazione[[#This Row],[Deceaded by day]]/nazione[[#This Row],[totale_attualmente_positivi]])*100</f>
        <v>4.7558655675332913E-2</v>
      </c>
      <c r="AE159" s="8">
        <f>(nazione[[#This Row],[Deceaded by day]]/morti_per_regione!D$2) *100</f>
        <v>9.476681834622425E-4</v>
      </c>
    </row>
    <row r="160" spans="1:31" x14ac:dyDescent="0.2">
      <c r="A160">
        <v>158</v>
      </c>
      <c r="B160" s="6">
        <v>44042.708333333336</v>
      </c>
      <c r="C160" s="1" t="s">
        <v>42</v>
      </c>
      <c r="D160">
        <v>748</v>
      </c>
      <c r="E160">
        <v>47</v>
      </c>
      <c r="F160">
        <v>795</v>
      </c>
      <c r="G160">
        <v>11435</v>
      </c>
      <c r="H160">
        <v>12230</v>
      </c>
      <c r="I160">
        <v>-386</v>
      </c>
      <c r="J160">
        <v>386</v>
      </c>
      <c r="K160">
        <v>199796</v>
      </c>
      <c r="L160">
        <v>35132</v>
      </c>
      <c r="M160">
        <v>222720</v>
      </c>
      <c r="N160">
        <v>24438</v>
      </c>
      <c r="O160">
        <v>247158</v>
      </c>
      <c r="P160">
        <v>6752169</v>
      </c>
      <c r="Q160">
        <v>4031981</v>
      </c>
      <c r="R160" s="1" t="s">
        <v>82</v>
      </c>
      <c r="S160" s="1">
        <f t="shared" si="18"/>
        <v>26</v>
      </c>
      <c r="T160" s="1">
        <f t="shared" si="19"/>
        <v>9</v>
      </c>
      <c r="U160">
        <f t="shared" si="20"/>
        <v>3</v>
      </c>
      <c r="V160">
        <f t="shared" si="21"/>
        <v>765</v>
      </c>
      <c r="W160" s="8">
        <f t="shared" si="17"/>
        <v>-3.0596068484464167E-2</v>
      </c>
      <c r="X160" s="1">
        <f>IF(Q160=0,(nazione[[#This Row],[nuovi_attualmente_positivi]]/nazione[[#This Row],[test_per_giorno]])*100,(nazione[[#This Row],[nuovi_attualmente_positivi]]/nazione[[#This Row],[test_per_giorno]])*100)</f>
        <v>1.1558270451551085</v>
      </c>
      <c r="Y160">
        <f>IF(nazione[[#This Row],[casi_testati]]=0,nazione[[#This Row],[tamponi]]-P159,IF(Q159=0,nazione[[#This Row],[casi_testati]]-Y159,nazione[[#This Row],[casi_testati]]-Q159))</f>
        <v>33396</v>
      </c>
      <c r="Z160" s="4">
        <f>IF(Q160=0,(nazione[[#This Row],[test_per_giorno]]/AG$3)*100,(nazione[[#This Row],[test_per_giorno]]/AG$3)*100)</f>
        <v>5.5433978117123417E-2</v>
      </c>
      <c r="AA160" s="4">
        <f>(nazione[[#This Row],[ricoverati_con_sintomi]]/nazione[[#This Row],[totale_attualmente_positivi]])*100</f>
        <v>6.116107931316435</v>
      </c>
      <c r="AB160" s="4">
        <f>(nazione[[#This Row],[terapia_intensiva]]/nazione[[#This Row],[totale_attualmente_positivi]])*100</f>
        <v>0.38430089942763695</v>
      </c>
      <c r="AC160" s="4">
        <f>((nazione[[#This Row],[totale_attualmente_positivi]]-(nazione[[#This Row],[totale_ospedalizzati]]))/nazione[[#This Row],[totale_attualmente_positivi]])*100</f>
        <v>93.499591169255922</v>
      </c>
      <c r="AD160" s="8">
        <f>(nazione[[#This Row],[Deceaded by day]]/nazione[[#This Row],[totale_attualmente_positivi]])*100</f>
        <v>2.4529844644317254E-2</v>
      </c>
      <c r="AE160" s="8">
        <f>(nazione[[#This Row],[Deceaded by day]]/morti_per_regione!D$2) *100</f>
        <v>4.7383409173112125E-4</v>
      </c>
    </row>
    <row r="161" spans="1:31" x14ac:dyDescent="0.2">
      <c r="A161">
        <v>159</v>
      </c>
      <c r="B161" s="6">
        <v>44043.708333333336</v>
      </c>
      <c r="C161" s="1" t="s">
        <v>42</v>
      </c>
      <c r="D161">
        <v>716</v>
      </c>
      <c r="E161">
        <v>41</v>
      </c>
      <c r="F161">
        <v>757</v>
      </c>
      <c r="G161">
        <v>11665</v>
      </c>
      <c r="H161">
        <v>12422</v>
      </c>
      <c r="I161">
        <v>192</v>
      </c>
      <c r="J161">
        <v>379</v>
      </c>
      <c r="K161">
        <v>199974</v>
      </c>
      <c r="L161">
        <v>35141</v>
      </c>
      <c r="M161">
        <v>222744</v>
      </c>
      <c r="N161">
        <v>24793</v>
      </c>
      <c r="O161">
        <v>247537</v>
      </c>
      <c r="P161">
        <v>6813113</v>
      </c>
      <c r="Q161">
        <v>4061667</v>
      </c>
      <c r="R161" s="1" t="s">
        <v>82</v>
      </c>
      <c r="S161" s="1">
        <f t="shared" si="18"/>
        <v>-38</v>
      </c>
      <c r="T161" s="1">
        <f t="shared" si="19"/>
        <v>-6</v>
      </c>
      <c r="U161">
        <f t="shared" si="20"/>
        <v>9</v>
      </c>
      <c r="V161">
        <f t="shared" si="21"/>
        <v>178</v>
      </c>
      <c r="W161" s="8">
        <f t="shared" si="17"/>
        <v>1.5699100572363012E-2</v>
      </c>
      <c r="X161" s="1">
        <f>IF(Q161=0,(nazione[[#This Row],[nuovi_attualmente_positivi]]/nazione[[#This Row],[test_per_giorno]])*100,(nazione[[#This Row],[nuovi_attualmente_positivi]]/nazione[[#This Row],[test_per_giorno]])*100)</f>
        <v>1.2766960856969616</v>
      </c>
      <c r="Y161">
        <f>IF(nazione[[#This Row],[casi_testati]]=0,nazione[[#This Row],[tamponi]]-P160,IF(Q160=0,nazione[[#This Row],[casi_testati]]-Y160,nazione[[#This Row],[casi_testati]]-Q160))</f>
        <v>29686</v>
      </c>
      <c r="Z161" s="4">
        <f>IF(Q161=0,(nazione[[#This Row],[test_per_giorno]]/AG$3)*100,(nazione[[#This Row],[test_per_giorno]]/AG$3)*100)</f>
        <v>4.9275753814376745E-2</v>
      </c>
      <c r="AA161" s="4">
        <f>(nazione[[#This Row],[ricoverati_con_sintomi]]/nazione[[#This Row],[totale_attualmente_positivi]])*100</f>
        <v>5.7639671550474958</v>
      </c>
      <c r="AB161" s="4">
        <f>(nazione[[#This Row],[terapia_intensiva]]/nazione[[#This Row],[totale_attualmente_positivi]])*100</f>
        <v>0.3300595717275801</v>
      </c>
      <c r="AC161" s="4">
        <f>((nazione[[#This Row],[totale_attualmente_positivi]]-(nazione[[#This Row],[totale_ospedalizzati]]))/nazione[[#This Row],[totale_attualmente_positivi]])*100</f>
        <v>93.905973273224916</v>
      </c>
      <c r="AD161" s="8">
        <f>(nazione[[#This Row],[Deceaded by day]]/nazione[[#This Row],[totale_attualmente_positivi]])*100</f>
        <v>7.2452101110932213E-2</v>
      </c>
      <c r="AE161" s="8">
        <f>(nazione[[#This Row],[Deceaded by day]]/morti_per_regione!D$2) *100</f>
        <v>1.4215022751933638E-3</v>
      </c>
    </row>
    <row r="162" spans="1:31" x14ac:dyDescent="0.2">
      <c r="A162">
        <v>160</v>
      </c>
      <c r="B162" s="6">
        <v>44044.708333333336</v>
      </c>
      <c r="C162" s="1" t="s">
        <v>42</v>
      </c>
      <c r="D162">
        <v>705</v>
      </c>
      <c r="E162">
        <v>43</v>
      </c>
      <c r="F162">
        <v>748</v>
      </c>
      <c r="G162">
        <v>11709</v>
      </c>
      <c r="H162">
        <v>12457</v>
      </c>
      <c r="I162">
        <v>35</v>
      </c>
      <c r="J162">
        <v>295</v>
      </c>
      <c r="K162">
        <v>200229</v>
      </c>
      <c r="L162">
        <v>35146</v>
      </c>
      <c r="M162">
        <v>222815</v>
      </c>
      <c r="N162">
        <v>25017</v>
      </c>
      <c r="O162">
        <v>247832</v>
      </c>
      <c r="P162">
        <v>6873496</v>
      </c>
      <c r="Q162">
        <v>4093572</v>
      </c>
      <c r="R162" s="1" t="s">
        <v>82</v>
      </c>
      <c r="S162" s="1">
        <f t="shared" si="18"/>
        <v>-9</v>
      </c>
      <c r="T162" s="1">
        <f t="shared" si="19"/>
        <v>2</v>
      </c>
      <c r="U162">
        <f t="shared" si="20"/>
        <v>5</v>
      </c>
      <c r="V162">
        <f t="shared" si="21"/>
        <v>255</v>
      </c>
      <c r="W162" s="8">
        <f t="shared" si="17"/>
        <v>2.8175817098696765E-3</v>
      </c>
      <c r="X162" s="1">
        <f>IF(Q162=0,(nazione[[#This Row],[nuovi_attualmente_positivi]]/nazione[[#This Row],[test_per_giorno]])*100,(nazione[[#This Row],[nuovi_attualmente_positivi]]/nazione[[#This Row],[test_per_giorno]])*100)</f>
        <v>0.92461996552264525</v>
      </c>
      <c r="Y162">
        <f>IF(nazione[[#This Row],[casi_testati]]=0,nazione[[#This Row],[tamponi]]-P161,IF(Q161=0,nazione[[#This Row],[casi_testati]]-Y161,nazione[[#This Row],[casi_testati]]-Q161))</f>
        <v>31905</v>
      </c>
      <c r="Z162" s="4">
        <f>IF(Q162=0,(nazione[[#This Row],[test_per_giorno]]/AG$3)*100,(nazione[[#This Row],[test_per_giorno]]/AG$3)*100)</f>
        <v>5.2959069104887492E-2</v>
      </c>
      <c r="AA162" s="4">
        <f>(nazione[[#This Row],[ricoverati_con_sintomi]]/nazione[[#This Row],[totale_attualmente_positivi]])*100</f>
        <v>5.6594685718872926</v>
      </c>
      <c r="AB162" s="4">
        <f>(nazione[[#This Row],[terapia_intensiva]]/nazione[[#This Row],[totale_attualmente_positivi]])*100</f>
        <v>0.3451874448101469</v>
      </c>
      <c r="AC162" s="4">
        <f>((nazione[[#This Row],[totale_attualmente_positivi]]-(nazione[[#This Row],[totale_ospedalizzati]]))/nazione[[#This Row],[totale_attualmente_positivi]])*100</f>
        <v>93.995343983302561</v>
      </c>
      <c r="AD162" s="8">
        <f>(nazione[[#This Row],[Deceaded by day]]/nazione[[#This Row],[totale_attualmente_positivi]])*100</f>
        <v>4.0138074977924057E-2</v>
      </c>
      <c r="AE162" s="8">
        <f>(nazione[[#This Row],[Deceaded by day]]/morti_per_regione!D$2) *100</f>
        <v>7.8972348621853547E-4</v>
      </c>
    </row>
    <row r="163" spans="1:31" x14ac:dyDescent="0.2">
      <c r="A163">
        <v>161</v>
      </c>
      <c r="B163" s="6">
        <v>44045.708333333336</v>
      </c>
      <c r="C163" s="1" t="s">
        <v>42</v>
      </c>
      <c r="D163">
        <v>708</v>
      </c>
      <c r="E163">
        <v>42</v>
      </c>
      <c r="F163">
        <v>750</v>
      </c>
      <c r="G163">
        <v>11706</v>
      </c>
      <c r="H163">
        <v>12456</v>
      </c>
      <c r="I163">
        <v>-1</v>
      </c>
      <c r="J163">
        <v>239</v>
      </c>
      <c r="K163">
        <v>200460</v>
      </c>
      <c r="L163">
        <v>35154</v>
      </c>
      <c r="M163">
        <v>222877</v>
      </c>
      <c r="N163">
        <v>25193</v>
      </c>
      <c r="O163">
        <v>248070</v>
      </c>
      <c r="P163">
        <v>6916765</v>
      </c>
      <c r="Q163">
        <v>4118068</v>
      </c>
      <c r="R163" s="1" t="s">
        <v>82</v>
      </c>
      <c r="S163" s="1">
        <f t="shared" si="18"/>
        <v>2</v>
      </c>
      <c r="T163" s="1">
        <f t="shared" si="19"/>
        <v>-1</v>
      </c>
      <c r="U163">
        <f t="shared" si="20"/>
        <v>8</v>
      </c>
      <c r="V163">
        <f t="shared" si="21"/>
        <v>231</v>
      </c>
      <c r="W163" s="8">
        <f t="shared" si="17"/>
        <v>-8.027614995587129E-5</v>
      </c>
      <c r="X163" s="1">
        <f>IF(Q163=0,(nazione[[#This Row],[nuovi_attualmente_positivi]]/nazione[[#This Row],[test_per_giorno]])*100,(nazione[[#This Row],[nuovi_attualmente_positivi]]/nazione[[#This Row],[test_per_giorno]])*100)</f>
        <v>0.97566949706074468</v>
      </c>
      <c r="Y163">
        <f>IF(nazione[[#This Row],[casi_testati]]=0,nazione[[#This Row],[tamponi]]-P162,IF(Q162=0,nazione[[#This Row],[casi_testati]]-Y162,nazione[[#This Row],[casi_testati]]-Q162))</f>
        <v>24496</v>
      </c>
      <c r="Z163" s="4">
        <f>IF(Q163=0,(nazione[[#This Row],[test_per_giorno]]/AG$3)*100,(nazione[[#This Row],[test_per_giorno]]/AG$3)*100)</f>
        <v>4.0660879385466982E-2</v>
      </c>
      <c r="AA163" s="4">
        <f>(nazione[[#This Row],[ricoverati_con_sintomi]]/nazione[[#This Row],[totale_attualmente_positivi]])*100</f>
        <v>5.6840077071290942</v>
      </c>
      <c r="AB163" s="4">
        <f>(nazione[[#This Row],[terapia_intensiva]]/nazione[[#This Row],[totale_attualmente_positivi]])*100</f>
        <v>0.33718689788053952</v>
      </c>
      <c r="AC163" s="4">
        <f>((nazione[[#This Row],[totale_attualmente_positivi]]-(nazione[[#This Row],[totale_ospedalizzati]]))/nazione[[#This Row],[totale_attualmente_positivi]])*100</f>
        <v>93.97880539499036</v>
      </c>
      <c r="AD163" s="8">
        <f>(nazione[[#This Row],[Deceaded by day]]/nazione[[#This Row],[totale_attualmente_positivi]])*100</f>
        <v>6.4226075786769421E-2</v>
      </c>
      <c r="AE163" s="8">
        <f>(nazione[[#This Row],[Deceaded by day]]/morti_per_regione!D$2) *100</f>
        <v>1.2635575779496567E-3</v>
      </c>
    </row>
    <row r="164" spans="1:31" x14ac:dyDescent="0.2">
      <c r="A164">
        <v>162</v>
      </c>
      <c r="B164" s="6">
        <v>44046.708333333336</v>
      </c>
      <c r="C164" s="1" t="s">
        <v>42</v>
      </c>
      <c r="D164">
        <v>734</v>
      </c>
      <c r="E164">
        <v>41</v>
      </c>
      <c r="F164">
        <v>775</v>
      </c>
      <c r="G164">
        <v>11699</v>
      </c>
      <c r="H164">
        <v>12474</v>
      </c>
      <c r="I164">
        <v>18</v>
      </c>
      <c r="J164">
        <v>159</v>
      </c>
      <c r="K164">
        <v>200589</v>
      </c>
      <c r="L164">
        <v>35166</v>
      </c>
      <c r="M164">
        <v>222891</v>
      </c>
      <c r="N164">
        <v>25338</v>
      </c>
      <c r="O164">
        <v>248229</v>
      </c>
      <c r="P164">
        <v>6940801</v>
      </c>
      <c r="Q164">
        <v>4131535</v>
      </c>
      <c r="R164" s="1" t="s">
        <v>82</v>
      </c>
      <c r="S164" s="1">
        <f t="shared" si="18"/>
        <v>25</v>
      </c>
      <c r="T164" s="1">
        <f t="shared" si="19"/>
        <v>-1</v>
      </c>
      <c r="U164">
        <f t="shared" si="20"/>
        <v>12</v>
      </c>
      <c r="V164">
        <f t="shared" si="21"/>
        <v>129</v>
      </c>
      <c r="W164" s="8">
        <f t="shared" si="17"/>
        <v>1.4450867052022698E-3</v>
      </c>
      <c r="X164" s="1">
        <f>IF(Q164=0,(nazione[[#This Row],[nuovi_attualmente_positivi]]/nazione[[#This Row],[test_per_giorno]])*100,(nazione[[#This Row],[nuovi_attualmente_positivi]]/nazione[[#This Row],[test_per_giorno]])*100)</f>
        <v>1.1806638449543327</v>
      </c>
      <c r="Y164">
        <f>IF(nazione[[#This Row],[casi_testati]]=0,nazione[[#This Row],[tamponi]]-P163,IF(Q163=0,nazione[[#This Row],[casi_testati]]-Y163,nazione[[#This Row],[casi_testati]]-Q163))</f>
        <v>13467</v>
      </c>
      <c r="Z164" s="4">
        <f>IF(Q164=0,(nazione[[#This Row],[test_per_giorno]]/AG$3)*100,(nazione[[#This Row],[test_per_giorno]]/AG$3)*100)</f>
        <v>2.2353856249350254E-2</v>
      </c>
      <c r="AA164" s="4">
        <f>(nazione[[#This Row],[ricoverati_con_sintomi]]/nazione[[#This Row],[totale_attualmente_positivi]])*100</f>
        <v>5.8842392175725511</v>
      </c>
      <c r="AB164" s="4">
        <f>(nazione[[#This Row],[terapia_intensiva]]/nazione[[#This Row],[totale_attualmente_positivi]])*100</f>
        <v>0.32868366201699534</v>
      </c>
      <c r="AC164" s="4">
        <f>((nazione[[#This Row],[totale_attualmente_positivi]]-(nazione[[#This Row],[totale_ospedalizzati]]))/nazione[[#This Row],[totale_attualmente_positivi]])*100</f>
        <v>93.787077120410459</v>
      </c>
      <c r="AD164" s="8">
        <f>(nazione[[#This Row],[Deceaded by day]]/nazione[[#This Row],[totale_attualmente_positivi]])*100</f>
        <v>9.6200096200096202E-2</v>
      </c>
      <c r="AE164" s="8">
        <f>(nazione[[#This Row],[Deceaded by day]]/morti_per_regione!D$2) *100</f>
        <v>1.895336366924485E-3</v>
      </c>
    </row>
    <row r="165" spans="1:31" x14ac:dyDescent="0.2">
      <c r="A165">
        <v>163</v>
      </c>
      <c r="B165" s="6">
        <v>44047.708333333336</v>
      </c>
      <c r="C165" s="1" t="s">
        <v>42</v>
      </c>
      <c r="D165">
        <v>761</v>
      </c>
      <c r="E165">
        <v>41</v>
      </c>
      <c r="F165">
        <v>802</v>
      </c>
      <c r="G165">
        <v>11680</v>
      </c>
      <c r="H165">
        <v>12482</v>
      </c>
      <c r="I165">
        <v>8</v>
      </c>
      <c r="J165">
        <v>190</v>
      </c>
      <c r="K165">
        <v>200766</v>
      </c>
      <c r="L165">
        <v>35171</v>
      </c>
      <c r="M165">
        <v>222954</v>
      </c>
      <c r="N165">
        <v>25465</v>
      </c>
      <c r="O165">
        <v>248419</v>
      </c>
      <c r="P165">
        <v>6984589</v>
      </c>
      <c r="Q165">
        <v>4155026</v>
      </c>
      <c r="R165" s="1" t="s">
        <v>82</v>
      </c>
      <c r="S165" s="1">
        <f t="shared" si="18"/>
        <v>27</v>
      </c>
      <c r="T165" s="1">
        <f t="shared" si="19"/>
        <v>0</v>
      </c>
      <c r="U165">
        <f t="shared" si="20"/>
        <v>5</v>
      </c>
      <c r="V165">
        <f t="shared" si="21"/>
        <v>177</v>
      </c>
      <c r="W165" s="8">
        <f t="shared" si="17"/>
        <v>6.4133397466736852E-4</v>
      </c>
      <c r="X165" s="1">
        <f>IF(Q165=0,(nazione[[#This Row],[nuovi_attualmente_positivi]]/nazione[[#This Row],[test_per_giorno]])*100,(nazione[[#This Row],[nuovi_attualmente_positivi]]/nazione[[#This Row],[test_per_giorno]])*100)</f>
        <v>0.80882039930186034</v>
      </c>
      <c r="Y165">
        <f>IF(nazione[[#This Row],[casi_testati]]=0,nazione[[#This Row],[tamponi]]-P164,IF(Q164=0,nazione[[#This Row],[casi_testati]]-Y164,nazione[[#This Row],[casi_testati]]-Q164))</f>
        <v>23491</v>
      </c>
      <c r="Z165" s="4">
        <f>IF(Q165=0,(nazione[[#This Row],[test_per_giorno]]/AG$3)*100,(nazione[[#This Row],[test_per_giorno]]/AG$3)*100)</f>
        <v>3.8992681157903525E-2</v>
      </c>
      <c r="AA165" s="4">
        <f>(nazione[[#This Row],[ricoverati_con_sintomi]]/nazione[[#This Row],[totale_attualmente_positivi]])*100</f>
        <v>6.0967793622816853</v>
      </c>
      <c r="AB165" s="4">
        <f>(nazione[[#This Row],[terapia_intensiva]]/nazione[[#This Row],[totale_attualmente_positivi]])*100</f>
        <v>0.32847300112161515</v>
      </c>
      <c r="AC165" s="4">
        <f>((nazione[[#This Row],[totale_attualmente_positivi]]-(nazione[[#This Row],[totale_ospedalizzati]]))/nazione[[#This Row],[totale_attualmente_positivi]])*100</f>
        <v>93.574747636596697</v>
      </c>
      <c r="AD165" s="8">
        <f>(nazione[[#This Row],[Deceaded by day]]/nazione[[#This Row],[totale_attualmente_positivi]])*100</f>
        <v>4.0057683063611599E-2</v>
      </c>
      <c r="AE165" s="8">
        <f>(nazione[[#This Row],[Deceaded by day]]/morti_per_regione!D$2) *100</f>
        <v>7.8972348621853547E-4</v>
      </c>
    </row>
    <row r="166" spans="1:31" x14ac:dyDescent="0.2">
      <c r="A166">
        <v>164</v>
      </c>
      <c r="B166" s="6">
        <v>44048.708333333336</v>
      </c>
      <c r="C166" s="1" t="s">
        <v>42</v>
      </c>
      <c r="D166">
        <v>764</v>
      </c>
      <c r="E166">
        <v>41</v>
      </c>
      <c r="F166">
        <v>805</v>
      </c>
      <c r="G166">
        <v>11841</v>
      </c>
      <c r="H166">
        <v>12646</v>
      </c>
      <c r="I166">
        <v>164</v>
      </c>
      <c r="J166">
        <v>384</v>
      </c>
      <c r="K166">
        <v>200976</v>
      </c>
      <c r="L166">
        <v>35181</v>
      </c>
      <c r="M166">
        <v>223044</v>
      </c>
      <c r="N166">
        <v>25759</v>
      </c>
      <c r="O166">
        <v>248803</v>
      </c>
      <c r="P166">
        <v>7041040</v>
      </c>
      <c r="Q166">
        <v>4184765</v>
      </c>
      <c r="R166" s="1" t="s">
        <v>82</v>
      </c>
      <c r="S166" s="1">
        <f t="shared" si="18"/>
        <v>3</v>
      </c>
      <c r="T166" s="1">
        <f t="shared" si="19"/>
        <v>0</v>
      </c>
      <c r="U166">
        <f t="shared" si="20"/>
        <v>10</v>
      </c>
      <c r="V166">
        <f t="shared" si="21"/>
        <v>210</v>
      </c>
      <c r="W166" s="8">
        <f t="shared" si="17"/>
        <v>1.313892004486461E-2</v>
      </c>
      <c r="X166" s="1">
        <f>IF(Q166=0,(nazione[[#This Row],[nuovi_attualmente_positivi]]/nazione[[#This Row],[test_per_giorno]])*100,(nazione[[#This Row],[nuovi_attualmente_positivi]]/nazione[[#This Row],[test_per_giorno]])*100)</f>
        <v>1.2912337334812871</v>
      </c>
      <c r="Y166">
        <f>IF(nazione[[#This Row],[casi_testati]]=0,nazione[[#This Row],[tamponi]]-P165,IF(Q165=0,nazione[[#This Row],[casi_testati]]-Y165,nazione[[#This Row],[casi_testati]]-Q165))</f>
        <v>29739</v>
      </c>
      <c r="Z166" s="4">
        <f>IF(Q166=0,(nazione[[#This Row],[test_per_giorno]]/AG$3)*100,(nazione[[#This Row],[test_per_giorno]]/AG$3)*100)</f>
        <v>4.9363728447273131E-2</v>
      </c>
      <c r="AA166" s="4">
        <f>(nazione[[#This Row],[ricoverati_con_sintomi]]/nazione[[#This Row],[totale_attualmente_positivi]])*100</f>
        <v>6.0414360272022769</v>
      </c>
      <c r="AB166" s="4">
        <f>(nazione[[#This Row],[terapia_intensiva]]/nazione[[#This Row],[totale_attualmente_positivi]])*100</f>
        <v>0.32421318994148346</v>
      </c>
      <c r="AC166" s="4">
        <f>((nazione[[#This Row],[totale_attualmente_positivi]]-(nazione[[#This Row],[totale_ospedalizzati]]))/nazione[[#This Row],[totale_attualmente_positivi]])*100</f>
        <v>93.634350782856231</v>
      </c>
      <c r="AD166" s="8">
        <f>(nazione[[#This Row],[Deceaded by day]]/nazione[[#This Row],[totale_attualmente_positivi]])*100</f>
        <v>7.9076387790605732E-2</v>
      </c>
      <c r="AE166" s="8">
        <f>(nazione[[#This Row],[Deceaded by day]]/morti_per_regione!D$2) *100</f>
        <v>1.5794469724370709E-3</v>
      </c>
    </row>
    <row r="167" spans="1:31" x14ac:dyDescent="0.2">
      <c r="A167">
        <v>165</v>
      </c>
      <c r="B167" s="6">
        <v>44049.708333333336</v>
      </c>
      <c r="C167" s="1" t="s">
        <v>42</v>
      </c>
      <c r="D167">
        <v>762</v>
      </c>
      <c r="E167">
        <v>42</v>
      </c>
      <c r="F167">
        <v>804</v>
      </c>
      <c r="G167">
        <v>11890</v>
      </c>
      <c r="H167">
        <v>12694</v>
      </c>
      <c r="I167">
        <v>48</v>
      </c>
      <c r="J167">
        <v>402</v>
      </c>
      <c r="K167">
        <v>201323</v>
      </c>
      <c r="L167">
        <v>35187</v>
      </c>
      <c r="M167">
        <v>223113</v>
      </c>
      <c r="N167">
        <v>26091</v>
      </c>
      <c r="O167">
        <v>249204</v>
      </c>
      <c r="P167">
        <v>7099713</v>
      </c>
      <c r="Q167">
        <v>4216934</v>
      </c>
      <c r="R167" s="1" t="s">
        <v>82</v>
      </c>
      <c r="S167" s="1">
        <f t="shared" si="18"/>
        <v>-1</v>
      </c>
      <c r="T167" s="1">
        <f t="shared" si="19"/>
        <v>1</v>
      </c>
      <c r="U167">
        <f t="shared" si="20"/>
        <v>6</v>
      </c>
      <c r="V167">
        <f t="shared" si="21"/>
        <v>347</v>
      </c>
      <c r="W167" s="8">
        <f t="shared" si="17"/>
        <v>3.7956666139491446E-3</v>
      </c>
      <c r="X167" s="1">
        <f>IF(Q167=0,(nazione[[#This Row],[nuovi_attualmente_positivi]]/nazione[[#This Row],[test_per_giorno]])*100,(nazione[[#This Row],[nuovi_attualmente_positivi]]/nazione[[#This Row],[test_per_giorno]])*100)</f>
        <v>1.2496502844353259</v>
      </c>
      <c r="Y167">
        <f>IF(nazione[[#This Row],[casi_testati]]=0,nazione[[#This Row],[tamponi]]-P166,IF(Q166=0,nazione[[#This Row],[casi_testati]]-Y166,nazione[[#This Row],[casi_testati]]-Q166))</f>
        <v>32169</v>
      </c>
      <c r="Z167" s="4">
        <f>IF(Q167=0,(nazione[[#This Row],[test_per_giorno]]/AG$3)*100,(nazione[[#This Row],[test_per_giorno]]/AG$3)*100)</f>
        <v>5.3397282370635506E-2</v>
      </c>
      <c r="AA167" s="4">
        <f>(nazione[[#This Row],[ricoverati_con_sintomi]]/nazione[[#This Row],[totale_attualmente_positivi]])*100</f>
        <v>6.0028359855049631</v>
      </c>
      <c r="AB167" s="4">
        <f>(nazione[[#This Row],[terapia_intensiva]]/nazione[[#This Row],[totale_attualmente_positivi]])*100</f>
        <v>0.33086497557901368</v>
      </c>
      <c r="AC167" s="4">
        <f>((nazione[[#This Row],[totale_attualmente_positivi]]-(nazione[[#This Row],[totale_ospedalizzati]]))/nazione[[#This Row],[totale_attualmente_positivi]])*100</f>
        <v>93.666299038916023</v>
      </c>
      <c r="AD167" s="8">
        <f>(nazione[[#This Row],[Deceaded by day]]/nazione[[#This Row],[totale_attualmente_positivi]])*100</f>
        <v>4.7266425082716244E-2</v>
      </c>
      <c r="AE167" s="8">
        <f>(nazione[[#This Row],[Deceaded by day]]/morti_per_regione!D$2) *100</f>
        <v>9.476681834622425E-4</v>
      </c>
    </row>
    <row r="168" spans="1:31" x14ac:dyDescent="0.2">
      <c r="A168">
        <v>166</v>
      </c>
      <c r="B168" s="6">
        <v>44050.708333333336</v>
      </c>
      <c r="C168" s="1" t="s">
        <v>42</v>
      </c>
      <c r="D168">
        <v>779</v>
      </c>
      <c r="E168">
        <v>42</v>
      </c>
      <c r="F168">
        <v>821</v>
      </c>
      <c r="G168">
        <v>12103</v>
      </c>
      <c r="H168">
        <v>12924</v>
      </c>
      <c r="I168">
        <v>230</v>
      </c>
      <c r="J168">
        <v>552</v>
      </c>
      <c r="K168">
        <v>201642</v>
      </c>
      <c r="L168">
        <v>35190</v>
      </c>
      <c r="M168">
        <v>223201</v>
      </c>
      <c r="N168">
        <v>26555</v>
      </c>
      <c r="O168">
        <v>249756</v>
      </c>
      <c r="P168">
        <v>7158909</v>
      </c>
      <c r="Q168">
        <v>4247326</v>
      </c>
      <c r="R168" s="1" t="s">
        <v>82</v>
      </c>
      <c r="S168" s="1">
        <f t="shared" si="18"/>
        <v>17</v>
      </c>
      <c r="T168" s="1">
        <f t="shared" si="19"/>
        <v>0</v>
      </c>
      <c r="U168">
        <f t="shared" si="20"/>
        <v>3</v>
      </c>
      <c r="V168">
        <f t="shared" si="21"/>
        <v>319</v>
      </c>
      <c r="W168" s="8">
        <f t="shared" si="17"/>
        <v>1.8118796281707983E-2</v>
      </c>
      <c r="X168" s="1">
        <f>IF(Q168=0,(nazione[[#This Row],[nuovi_attualmente_positivi]]/nazione[[#This Row],[test_per_giorno]])*100,(nazione[[#This Row],[nuovi_attualmente_positivi]]/nazione[[#This Row],[test_per_giorno]])*100)</f>
        <v>1.816267438799684</v>
      </c>
      <c r="Y168">
        <f>IF(nazione[[#This Row],[casi_testati]]=0,nazione[[#This Row],[tamponi]]-P167,IF(Q167=0,nazione[[#This Row],[casi_testati]]-Y167,nazione[[#This Row],[casi_testati]]-Q167))</f>
        <v>30392</v>
      </c>
      <c r="Z168" s="4">
        <f>IF(Q168=0,(nazione[[#This Row],[test_per_giorno]]/AG$3)*100,(nazione[[#This Row],[test_per_giorno]]/AG$3)*100)</f>
        <v>5.04476423205059E-2</v>
      </c>
      <c r="AA168" s="4">
        <f>(nazione[[#This Row],[ricoverati_con_sintomi]]/nazione[[#This Row],[totale_attualmente_positivi]])*100</f>
        <v>6.0275456515010832</v>
      </c>
      <c r="AB168" s="4">
        <f>(nazione[[#This Row],[terapia_intensiva]]/nazione[[#This Row],[totale_attualmente_positivi]])*100</f>
        <v>0.32497678737233054</v>
      </c>
      <c r="AC168" s="4">
        <f>((nazione[[#This Row],[totale_attualmente_positivi]]-(nazione[[#This Row],[totale_ospedalizzati]]))/nazione[[#This Row],[totale_attualmente_positivi]])*100</f>
        <v>93.647477561126593</v>
      </c>
      <c r="AD168" s="8">
        <f>(nazione[[#This Row],[Deceaded by day]]/nazione[[#This Row],[totale_attualmente_positivi]])*100</f>
        <v>2.3212627669452181E-2</v>
      </c>
      <c r="AE168" s="8">
        <f>(nazione[[#This Row],[Deceaded by day]]/morti_per_regione!D$2) *100</f>
        <v>4.7383409173112125E-4</v>
      </c>
    </row>
    <row r="169" spans="1:31" x14ac:dyDescent="0.2">
      <c r="A169">
        <v>167</v>
      </c>
      <c r="B169" s="6">
        <v>44051.708333333336</v>
      </c>
      <c r="C169" s="1" t="s">
        <v>42</v>
      </c>
      <c r="D169">
        <v>771</v>
      </c>
      <c r="E169">
        <v>43</v>
      </c>
      <c r="F169">
        <v>814</v>
      </c>
      <c r="G169">
        <v>12139</v>
      </c>
      <c r="H169">
        <v>12953</v>
      </c>
      <c r="I169">
        <v>29</v>
      </c>
      <c r="J169">
        <v>347</v>
      </c>
      <c r="K169">
        <v>201947</v>
      </c>
      <c r="L169">
        <v>35203</v>
      </c>
      <c r="M169">
        <v>223232</v>
      </c>
      <c r="N169">
        <v>26871</v>
      </c>
      <c r="O169">
        <v>250103</v>
      </c>
      <c r="P169">
        <v>7212207</v>
      </c>
      <c r="Q169">
        <v>4273957</v>
      </c>
      <c r="R169" s="1" t="s">
        <v>82</v>
      </c>
      <c r="S169" s="1">
        <f t="shared" si="18"/>
        <v>-7</v>
      </c>
      <c r="T169" s="1">
        <f t="shared" si="19"/>
        <v>1</v>
      </c>
      <c r="U169">
        <f t="shared" si="20"/>
        <v>13</v>
      </c>
      <c r="V169">
        <f t="shared" si="21"/>
        <v>305</v>
      </c>
      <c r="W169" s="8">
        <f t="shared" si="17"/>
        <v>2.2438873413803684E-3</v>
      </c>
      <c r="X169" s="1">
        <f>IF(Q169=0,(nazione[[#This Row],[nuovi_attualmente_positivi]]/nazione[[#This Row],[test_per_giorno]])*100,(nazione[[#This Row],[nuovi_attualmente_positivi]]/nazione[[#This Row],[test_per_giorno]])*100)</f>
        <v>1.3029927528068792</v>
      </c>
      <c r="Y169">
        <f>IF(nazione[[#This Row],[casi_testati]]=0,nazione[[#This Row],[tamponi]]-P168,IF(Q168=0,nazione[[#This Row],[casi_testati]]-Y168,nazione[[#This Row],[casi_testati]]-Q168))</f>
        <v>26631</v>
      </c>
      <c r="Z169" s="4">
        <f>IF(Q169=0,(nazione[[#This Row],[test_per_giorno]]/AG$3)*100,(nazione[[#This Row],[test_per_giorno]]/AG$3)*100)</f>
        <v>4.4204763182330631E-2</v>
      </c>
      <c r="AA169" s="4">
        <f>(nazione[[#This Row],[ricoverati_con_sintomi]]/nazione[[#This Row],[totale_attualmente_positivi]])*100</f>
        <v>5.9522890450088779</v>
      </c>
      <c r="AB169" s="4">
        <f>(nazione[[#This Row],[terapia_intensiva]]/nazione[[#This Row],[totale_attualmente_positivi]])*100</f>
        <v>0.33196942793175321</v>
      </c>
      <c r="AC169" s="4">
        <f>((nazione[[#This Row],[totale_attualmente_positivi]]-(nazione[[#This Row],[totale_ospedalizzati]]))/nazione[[#This Row],[totale_attualmente_positivi]])*100</f>
        <v>93.715741527059365</v>
      </c>
      <c r="AD169" s="8">
        <f>(nazione[[#This Row],[Deceaded by day]]/nazione[[#This Row],[totale_attualmente_positivi]])*100</f>
        <v>0.10036285030494865</v>
      </c>
      <c r="AE169" s="8">
        <f>(nazione[[#This Row],[Deceaded by day]]/morti_per_regione!D$2) *100</f>
        <v>2.0532810641681921E-3</v>
      </c>
    </row>
    <row r="170" spans="1:31" x14ac:dyDescent="0.2">
      <c r="A170">
        <v>168</v>
      </c>
      <c r="B170" s="6">
        <v>44052.708333333336</v>
      </c>
      <c r="C170" s="1" t="s">
        <v>42</v>
      </c>
      <c r="D170">
        <v>763</v>
      </c>
      <c r="E170">
        <v>45</v>
      </c>
      <c r="F170">
        <v>808</v>
      </c>
      <c r="G170">
        <v>12455</v>
      </c>
      <c r="H170">
        <v>13263</v>
      </c>
      <c r="I170">
        <v>310</v>
      </c>
      <c r="J170">
        <v>463</v>
      </c>
      <c r="K170">
        <v>202098</v>
      </c>
      <c r="L170">
        <v>35205</v>
      </c>
      <c r="M170">
        <v>223440</v>
      </c>
      <c r="N170">
        <v>27126</v>
      </c>
      <c r="O170">
        <v>250566</v>
      </c>
      <c r="P170">
        <v>7249844</v>
      </c>
      <c r="Q170">
        <v>4296730</v>
      </c>
      <c r="R170" s="1" t="s">
        <v>82</v>
      </c>
      <c r="S170" s="1">
        <f t="shared" si="18"/>
        <v>-6</v>
      </c>
      <c r="T170" s="1">
        <f t="shared" si="19"/>
        <v>2</v>
      </c>
      <c r="U170">
        <f t="shared" si="20"/>
        <v>2</v>
      </c>
      <c r="V170">
        <f t="shared" si="21"/>
        <v>151</v>
      </c>
      <c r="W170" s="8">
        <f t="shared" si="17"/>
        <v>2.3932679688103198E-2</v>
      </c>
      <c r="X170" s="1">
        <f>IF(Q170=0,(nazione[[#This Row],[nuovi_attualmente_positivi]]/nazione[[#This Row],[test_per_giorno]])*100,(nazione[[#This Row],[nuovi_attualmente_positivi]]/nazione[[#This Row],[test_per_giorno]])*100)</f>
        <v>2.0331093839195535</v>
      </c>
      <c r="Y170">
        <f>IF(nazione[[#This Row],[casi_testati]]=0,nazione[[#This Row],[tamponi]]-P169,IF(Q169=0,nazione[[#This Row],[casi_testati]]-Y169,nazione[[#This Row],[casi_testati]]-Q169))</f>
        <v>22773</v>
      </c>
      <c r="Z170" s="4">
        <f>IF(Q170=0,(nazione[[#This Row],[test_per_giorno]]/AG$3)*100,(nazione[[#This Row],[test_per_giorno]]/AG$3)*100)</f>
        <v>3.7800873866967649E-2</v>
      </c>
      <c r="AA170" s="4">
        <f>(nazione[[#This Row],[ricoverati_con_sintomi]]/nazione[[#This Row],[totale_attualmente_positivi]])*100</f>
        <v>5.7528462640428257</v>
      </c>
      <c r="AB170" s="4">
        <f>(nazione[[#This Row],[terapia_intensiva]]/nazione[[#This Row],[totale_attualmente_positivi]])*100</f>
        <v>0.33928975344944584</v>
      </c>
      <c r="AC170" s="4">
        <f>((nazione[[#This Row],[totale_attualmente_positivi]]-(nazione[[#This Row],[totale_ospedalizzati]]))/nazione[[#This Row],[totale_attualmente_positivi]])*100</f>
        <v>93.907863982507735</v>
      </c>
      <c r="AD170" s="8">
        <f>(nazione[[#This Row],[Deceaded by day]]/nazione[[#This Row],[totale_attualmente_positivi]])*100</f>
        <v>1.5079544597753148E-2</v>
      </c>
      <c r="AE170" s="8">
        <f>(nazione[[#This Row],[Deceaded by day]]/morti_per_regione!D$2) *100</f>
        <v>3.1588939448741417E-4</v>
      </c>
    </row>
    <row r="171" spans="1:31" x14ac:dyDescent="0.2">
      <c r="A171">
        <v>169</v>
      </c>
      <c r="B171" s="6">
        <v>44053.708333333336</v>
      </c>
      <c r="C171" s="1" t="s">
        <v>42</v>
      </c>
      <c r="D171">
        <v>779</v>
      </c>
      <c r="E171">
        <v>46</v>
      </c>
      <c r="F171">
        <v>825</v>
      </c>
      <c r="G171">
        <v>12543</v>
      </c>
      <c r="H171">
        <v>13368</v>
      </c>
      <c r="I171">
        <v>105</v>
      </c>
      <c r="J171">
        <v>259</v>
      </c>
      <c r="K171">
        <v>202248</v>
      </c>
      <c r="L171">
        <v>35209</v>
      </c>
      <c r="M171">
        <v>223556</v>
      </c>
      <c r="N171">
        <v>27269</v>
      </c>
      <c r="O171">
        <v>250825</v>
      </c>
      <c r="P171">
        <v>7276276</v>
      </c>
      <c r="Q171">
        <v>4307634</v>
      </c>
      <c r="R171" s="1" t="s">
        <v>82</v>
      </c>
      <c r="S171" s="1">
        <f t="shared" si="18"/>
        <v>17</v>
      </c>
      <c r="T171" s="1">
        <f t="shared" si="19"/>
        <v>1</v>
      </c>
      <c r="U171">
        <f t="shared" si="20"/>
        <v>4</v>
      </c>
      <c r="V171">
        <f t="shared" si="21"/>
        <v>150</v>
      </c>
      <c r="W171" s="8">
        <f t="shared" si="17"/>
        <v>7.9167609138204309E-3</v>
      </c>
      <c r="X171" s="1">
        <f>IF(Q171=0,(nazione[[#This Row],[nuovi_attualmente_positivi]]/nazione[[#This Row],[test_per_giorno]])*100,(nazione[[#This Row],[nuovi_attualmente_positivi]]/nazione[[#This Row],[test_per_giorno]])*100)</f>
        <v>2.3752751283932501</v>
      </c>
      <c r="Y171">
        <f>IF(nazione[[#This Row],[casi_testati]]=0,nazione[[#This Row],[tamponi]]-P170,IF(Q170=0,nazione[[#This Row],[casi_testati]]-Y170,nazione[[#This Row],[casi_testati]]-Q170))</f>
        <v>10904</v>
      </c>
      <c r="Z171" s="4">
        <f>IF(Q171=0,(nazione[[#This Row],[test_per_giorno]]/AG$3)*100,(nazione[[#This Row],[test_per_giorno]]/AG$3)*100)</f>
        <v>1.8099535794379978E-2</v>
      </c>
      <c r="AA171" s="4">
        <f>(nazione[[#This Row],[ricoverati_con_sintomi]]/nazione[[#This Row],[totale_attualmente_positivi]])*100</f>
        <v>5.8273488928785158</v>
      </c>
      <c r="AB171" s="4">
        <f>(nazione[[#This Row],[terapia_intensiva]]/nazione[[#This Row],[totale_attualmente_positivi]])*100</f>
        <v>0.34410532615200479</v>
      </c>
      <c r="AC171" s="4">
        <f>((nazione[[#This Row],[totale_attualmente_positivi]]-(nazione[[#This Row],[totale_ospedalizzati]]))/nazione[[#This Row],[totale_attualmente_positivi]])*100</f>
        <v>93.828545780969478</v>
      </c>
      <c r="AD171" s="8">
        <f>(nazione[[#This Row],[Deceaded by day]]/nazione[[#This Row],[totale_attualmente_positivi]])*100</f>
        <v>2.9922202274087373E-2</v>
      </c>
      <c r="AE171" s="8">
        <f>(nazione[[#This Row],[Deceaded by day]]/morti_per_regione!D$2) *100</f>
        <v>6.3177878897482834E-4</v>
      </c>
    </row>
    <row r="172" spans="1:31" x14ac:dyDescent="0.2">
      <c r="A172">
        <v>170</v>
      </c>
      <c r="B172" s="6">
        <v>44054.708333333336</v>
      </c>
      <c r="C172" s="1" t="s">
        <v>42</v>
      </c>
      <c r="D172">
        <v>801</v>
      </c>
      <c r="E172">
        <v>49</v>
      </c>
      <c r="F172">
        <v>850</v>
      </c>
      <c r="G172">
        <v>12711</v>
      </c>
      <c r="H172">
        <v>13561</v>
      </c>
      <c r="I172">
        <v>193</v>
      </c>
      <c r="J172">
        <v>412</v>
      </c>
      <c r="K172">
        <v>202461</v>
      </c>
      <c r="L172">
        <v>35215</v>
      </c>
      <c r="M172">
        <v>223674</v>
      </c>
      <c r="N172">
        <v>27563</v>
      </c>
      <c r="O172">
        <v>251237</v>
      </c>
      <c r="P172">
        <v>7316918</v>
      </c>
      <c r="Q172">
        <v>4329697</v>
      </c>
      <c r="R172" s="1" t="s">
        <v>82</v>
      </c>
      <c r="S172" s="1">
        <f t="shared" si="18"/>
        <v>25</v>
      </c>
      <c r="T172" s="1">
        <f t="shared" si="19"/>
        <v>3</v>
      </c>
      <c r="U172">
        <f t="shared" si="20"/>
        <v>6</v>
      </c>
      <c r="V172">
        <f t="shared" si="21"/>
        <v>213</v>
      </c>
      <c r="W172" s="8">
        <f t="shared" si="17"/>
        <v>1.4437462597247208E-2</v>
      </c>
      <c r="X172" s="1">
        <f>IF(Q172=0,(nazione[[#This Row],[nuovi_attualmente_positivi]]/nazione[[#This Row],[test_per_giorno]])*100,(nazione[[#This Row],[nuovi_attualmente_positivi]]/nazione[[#This Row],[test_per_giorno]])*100)</f>
        <v>1.8673797760957258</v>
      </c>
      <c r="Y172">
        <f>IF(nazione[[#This Row],[casi_testati]]=0,nazione[[#This Row],[tamponi]]-P171,IF(Q171=0,nazione[[#This Row],[casi_testati]]-Y171,nazione[[#This Row],[casi_testati]]-Q171))</f>
        <v>22063</v>
      </c>
      <c r="Z172" s="4">
        <f>IF(Q172=0,(nazione[[#This Row],[test_per_giorno]]/AG$3)*100,(nazione[[#This Row],[test_per_giorno]]/AG$3)*100)</f>
        <v>3.6622345765902918E-2</v>
      </c>
      <c r="AA172" s="4">
        <f>(nazione[[#This Row],[ricoverati_con_sintomi]]/nazione[[#This Row],[totale_attualmente_positivi]])*100</f>
        <v>5.906644052798466</v>
      </c>
      <c r="AB172" s="4">
        <f>(nazione[[#This Row],[terapia_intensiva]]/nazione[[#This Row],[totale_attualmente_positivi]])*100</f>
        <v>0.36133028537718459</v>
      </c>
      <c r="AC172" s="4">
        <f>((nazione[[#This Row],[totale_attualmente_positivi]]-(nazione[[#This Row],[totale_ospedalizzati]]))/nazione[[#This Row],[totale_attualmente_positivi]])*100</f>
        <v>93.732025661824352</v>
      </c>
      <c r="AD172" s="8">
        <f>(nazione[[#This Row],[Deceaded by day]]/nazione[[#This Row],[totale_attualmente_positivi]])*100</f>
        <v>4.4244524740063421E-2</v>
      </c>
      <c r="AE172" s="8">
        <f>(nazione[[#This Row],[Deceaded by day]]/morti_per_regione!D$2) *100</f>
        <v>9.476681834622425E-4</v>
      </c>
    </row>
    <row r="173" spans="1:31" x14ac:dyDescent="0.2">
      <c r="A173">
        <v>171</v>
      </c>
      <c r="B173" s="6">
        <v>44055.708333333336</v>
      </c>
      <c r="C173" s="1" t="s">
        <v>42</v>
      </c>
      <c r="D173">
        <v>779</v>
      </c>
      <c r="E173">
        <v>53</v>
      </c>
      <c r="F173">
        <v>832</v>
      </c>
      <c r="G173">
        <v>12959</v>
      </c>
      <c r="H173">
        <v>13791</v>
      </c>
      <c r="I173">
        <v>230</v>
      </c>
      <c r="J173">
        <v>481</v>
      </c>
      <c r="K173">
        <v>202697</v>
      </c>
      <c r="L173">
        <v>35225</v>
      </c>
      <c r="M173">
        <v>223844</v>
      </c>
      <c r="N173">
        <v>27869</v>
      </c>
      <c r="O173">
        <v>251713</v>
      </c>
      <c r="P173">
        <v>7369576</v>
      </c>
      <c r="Q173">
        <v>4357027</v>
      </c>
      <c r="R173" s="1" t="s">
        <v>82</v>
      </c>
      <c r="S173" s="1">
        <f t="shared" si="18"/>
        <v>-18</v>
      </c>
      <c r="T173" s="1">
        <f t="shared" si="19"/>
        <v>4</v>
      </c>
      <c r="U173">
        <f t="shared" si="20"/>
        <v>10</v>
      </c>
      <c r="V173">
        <f t="shared" si="21"/>
        <v>236</v>
      </c>
      <c r="W173" s="8">
        <f t="shared" si="17"/>
        <v>1.6960401150357685E-2</v>
      </c>
      <c r="X173" s="1">
        <f>IF(Q173=0,(nazione[[#This Row],[nuovi_attualmente_positivi]]/nazione[[#This Row],[test_per_giorno]])*100,(nazione[[#This Row],[nuovi_attualmente_positivi]]/nazione[[#This Row],[test_per_giorno]])*100)</f>
        <v>1.7599707281375776</v>
      </c>
      <c r="Y173">
        <f>IF(nazione[[#This Row],[casi_testati]]=0,nazione[[#This Row],[tamponi]]-P172,IF(Q172=0,nazione[[#This Row],[casi_testati]]-Y172,nazione[[#This Row],[casi_testati]]-Q172))</f>
        <v>27330</v>
      </c>
      <c r="Z173" s="4">
        <f>IF(Q173=0,(nazione[[#This Row],[test_per_giorno]]/AG$3)*100,(nazione[[#This Row],[test_per_giorno]]/AG$3)*100)</f>
        <v>4.5365032397322522E-2</v>
      </c>
      <c r="AA173" s="4">
        <f>(nazione[[#This Row],[ricoverati_con_sintomi]]/nazione[[#This Row],[totale_attualmente_positivi]])*100</f>
        <v>5.6486114132405199</v>
      </c>
      <c r="AB173" s="4">
        <f>(nazione[[#This Row],[terapia_intensiva]]/nazione[[#This Row],[totale_attualmente_positivi]])*100</f>
        <v>0.38430860706257702</v>
      </c>
      <c r="AC173" s="4">
        <f>((nazione[[#This Row],[totale_attualmente_positivi]]-(nazione[[#This Row],[totale_ospedalizzati]]))/nazione[[#This Row],[totale_attualmente_positivi]])*100</f>
        <v>93.967079979696905</v>
      </c>
      <c r="AD173" s="8">
        <f>(nazione[[#This Row],[Deceaded by day]]/nazione[[#This Row],[totale_attualmente_positivi]])*100</f>
        <v>7.2511057936335291E-2</v>
      </c>
      <c r="AE173" s="8">
        <f>(nazione[[#This Row],[Deceaded by day]]/morti_per_regione!D$2) *100</f>
        <v>1.5794469724370709E-3</v>
      </c>
    </row>
    <row r="174" spans="1:31" x14ac:dyDescent="0.2">
      <c r="A174">
        <v>172</v>
      </c>
      <c r="B174" s="6">
        <v>44056.708333333336</v>
      </c>
      <c r="C174" s="1" t="s">
        <v>42</v>
      </c>
      <c r="D174">
        <v>786</v>
      </c>
      <c r="E174">
        <v>55</v>
      </c>
      <c r="F174">
        <v>841</v>
      </c>
      <c r="G174">
        <v>13240</v>
      </c>
      <c r="H174">
        <v>14081</v>
      </c>
      <c r="I174">
        <v>290</v>
      </c>
      <c r="J174">
        <v>523</v>
      </c>
      <c r="K174">
        <v>202923</v>
      </c>
      <c r="L174">
        <v>35231</v>
      </c>
      <c r="M174">
        <v>224058</v>
      </c>
      <c r="N174">
        <v>28177</v>
      </c>
      <c r="O174">
        <v>252235</v>
      </c>
      <c r="P174">
        <v>7420764</v>
      </c>
      <c r="Q174">
        <v>4382656</v>
      </c>
      <c r="R174" s="1" t="s">
        <v>82</v>
      </c>
      <c r="S174" s="1">
        <f t="shared" si="18"/>
        <v>9</v>
      </c>
      <c r="T174" s="1">
        <f t="shared" si="19"/>
        <v>2</v>
      </c>
      <c r="U174">
        <f t="shared" si="20"/>
        <v>6</v>
      </c>
      <c r="V174">
        <f t="shared" si="21"/>
        <v>226</v>
      </c>
      <c r="W174" s="8">
        <f t="shared" si="17"/>
        <v>2.1028206801537275E-2</v>
      </c>
      <c r="X174" s="1">
        <f>IF(Q174=0,(nazione[[#This Row],[nuovi_attualmente_positivi]]/nazione[[#This Row],[test_per_giorno]])*100,(nazione[[#This Row],[nuovi_attualmente_positivi]]/nazione[[#This Row],[test_per_giorno]])*100)</f>
        <v>2.0406570681649692</v>
      </c>
      <c r="Y174">
        <f>IF(nazione[[#This Row],[casi_testati]]=0,nazione[[#This Row],[tamponi]]-P173,IF(Q173=0,nazione[[#This Row],[casi_testati]]-Y173,nazione[[#This Row],[casi_testati]]-Q173))</f>
        <v>25629</v>
      </c>
      <c r="Z174" s="4">
        <f>IF(Q174=0,(nazione[[#This Row],[test_per_giorno]]/AG$3)*100,(nazione[[#This Row],[test_per_giorno]]/AG$3)*100)</f>
        <v>4.2541544650968863E-2</v>
      </c>
      <c r="AA174" s="4">
        <f>(nazione[[#This Row],[ricoverati_con_sintomi]]/nazione[[#This Row],[totale_attualmente_positivi]])*100</f>
        <v>5.5819899154889567</v>
      </c>
      <c r="AB174" s="4">
        <f>(nazione[[#This Row],[terapia_intensiva]]/nazione[[#This Row],[totale_attualmente_positivi]])*100</f>
        <v>0.39059725871742068</v>
      </c>
      <c r="AC174" s="4">
        <f>((nazione[[#This Row],[totale_attualmente_positivi]]-(nazione[[#This Row],[totale_ospedalizzati]]))/nazione[[#This Row],[totale_attualmente_positivi]])*100</f>
        <v>94.027412825793618</v>
      </c>
      <c r="AD174" s="8">
        <f>(nazione[[#This Row],[Deceaded by day]]/nazione[[#This Row],[totale_attualmente_positivi]])*100</f>
        <v>4.2610610041900435E-2</v>
      </c>
      <c r="AE174" s="8">
        <f>(nazione[[#This Row],[Deceaded by day]]/morti_per_regione!D$2) *100</f>
        <v>9.476681834622425E-4</v>
      </c>
    </row>
    <row r="175" spans="1:31" x14ac:dyDescent="0.2">
      <c r="A175">
        <v>173</v>
      </c>
      <c r="B175" s="6">
        <v>44057.708333333336</v>
      </c>
      <c r="C175" s="1" t="s">
        <v>42</v>
      </c>
      <c r="D175">
        <v>771</v>
      </c>
      <c r="E175">
        <v>56</v>
      </c>
      <c r="F175">
        <v>827</v>
      </c>
      <c r="G175">
        <v>13422</v>
      </c>
      <c r="H175">
        <v>14249</v>
      </c>
      <c r="I175">
        <v>168</v>
      </c>
      <c r="J175">
        <v>574</v>
      </c>
      <c r="K175">
        <v>203326</v>
      </c>
      <c r="L175">
        <v>35234</v>
      </c>
      <c r="M175">
        <v>224319</v>
      </c>
      <c r="N175">
        <v>28490</v>
      </c>
      <c r="O175">
        <v>252809</v>
      </c>
      <c r="P175">
        <v>7467487</v>
      </c>
      <c r="Q175">
        <v>4407524</v>
      </c>
      <c r="R175" s="1" t="s">
        <v>82</v>
      </c>
      <c r="S175" s="1">
        <f t="shared" si="18"/>
        <v>-14</v>
      </c>
      <c r="T175" s="1">
        <f t="shared" si="19"/>
        <v>1</v>
      </c>
      <c r="U175">
        <f t="shared" si="20"/>
        <v>3</v>
      </c>
      <c r="V175">
        <f t="shared" si="21"/>
        <v>403</v>
      </c>
      <c r="W175" s="8">
        <f t="shared" si="17"/>
        <v>1.1930970811732111E-2</v>
      </c>
      <c r="X175" s="1">
        <f>IF(Q175=0,(nazione[[#This Row],[nuovi_attualmente_positivi]]/nazione[[#This Row],[test_per_giorno]])*100,(nazione[[#This Row],[nuovi_attualmente_positivi]]/nazione[[#This Row],[test_per_giorno]])*100)</f>
        <v>2.3081872285668328</v>
      </c>
      <c r="Y175">
        <f>IF(nazione[[#This Row],[casi_testati]]=0,nazione[[#This Row],[tamponi]]-P174,IF(Q174=0,nazione[[#This Row],[casi_testati]]-Y174,nazione[[#This Row],[casi_testati]]-Q174))</f>
        <v>24868</v>
      </c>
      <c r="Z175" s="4">
        <f>IF(Q175=0,(nazione[[#This Row],[test_per_giorno]]/AG$3)*100,(nazione[[#This Row],[test_per_giorno]]/AG$3)*100)</f>
        <v>4.1278361714475541E-2</v>
      </c>
      <c r="AA175" s="4">
        <f>(nazione[[#This Row],[ricoverati_con_sintomi]]/nazione[[#This Row],[totale_attualmente_positivi]])*100</f>
        <v>5.4109060284932271</v>
      </c>
      <c r="AB175" s="4">
        <f>(nazione[[#This Row],[terapia_intensiva]]/nazione[[#This Row],[totale_attualmente_positivi]])*100</f>
        <v>0.3930100357919854</v>
      </c>
      <c r="AC175" s="4">
        <f>((nazione[[#This Row],[totale_attualmente_positivi]]-(nazione[[#This Row],[totale_ospedalizzati]]))/nazione[[#This Row],[totale_attualmente_positivi]])*100</f>
        <v>94.196083935714796</v>
      </c>
      <c r="AD175" s="8">
        <f>(nazione[[#This Row],[Deceaded by day]]/nazione[[#This Row],[totale_attualmente_positivi]])*100</f>
        <v>2.1054109060284931E-2</v>
      </c>
      <c r="AE175" s="8">
        <f>(nazione[[#This Row],[Deceaded by day]]/morti_per_regione!D$2) *100</f>
        <v>4.7383409173112125E-4</v>
      </c>
    </row>
    <row r="176" spans="1:31" x14ac:dyDescent="0.2">
      <c r="A176">
        <v>174</v>
      </c>
      <c r="B176" s="6">
        <v>44058.708333333336</v>
      </c>
      <c r="C176" s="1" t="s">
        <v>42</v>
      </c>
      <c r="D176">
        <v>764</v>
      </c>
      <c r="E176">
        <v>55</v>
      </c>
      <c r="F176">
        <v>819</v>
      </c>
      <c r="G176">
        <v>13587</v>
      </c>
      <c r="H176">
        <v>14406</v>
      </c>
      <c r="I176">
        <v>157</v>
      </c>
      <c r="J176">
        <v>629</v>
      </c>
      <c r="K176">
        <v>203640</v>
      </c>
      <c r="L176">
        <v>35392</v>
      </c>
      <c r="M176">
        <v>224521</v>
      </c>
      <c r="N176">
        <v>28917</v>
      </c>
      <c r="O176">
        <v>253438</v>
      </c>
      <c r="P176">
        <v>7520610</v>
      </c>
      <c r="Q176">
        <v>4433461</v>
      </c>
      <c r="R176" s="1" t="s">
        <v>82</v>
      </c>
      <c r="S176" s="1">
        <f t="shared" si="18"/>
        <v>-8</v>
      </c>
      <c r="T176" s="1">
        <f t="shared" si="19"/>
        <v>-1</v>
      </c>
      <c r="U176">
        <f t="shared" si="20"/>
        <v>158</v>
      </c>
      <c r="V176">
        <f t="shared" si="21"/>
        <v>314</v>
      </c>
      <c r="W176" s="8">
        <f t="shared" si="17"/>
        <v>1.1018317074882544E-2</v>
      </c>
      <c r="X176" s="1">
        <f>IF(Q176=0,(nazione[[#This Row],[nuovi_attualmente_positivi]]/nazione[[#This Row],[test_per_giorno]])*100,(nazione[[#This Row],[nuovi_attualmente_positivi]]/nazione[[#This Row],[test_per_giorno]])*100)</f>
        <v>2.4251069900142657</v>
      </c>
      <c r="Y176">
        <f>IF(nazione[[#This Row],[casi_testati]]=0,nazione[[#This Row],[tamponi]]-P175,IF(Q175=0,nazione[[#This Row],[casi_testati]]-Y175,nazione[[#This Row],[casi_testati]]-Q175))</f>
        <v>25937</v>
      </c>
      <c r="Z176" s="4">
        <f>IF(Q176=0,(nazione[[#This Row],[test_per_giorno]]/AG$3)*100,(nazione[[#This Row],[test_per_giorno]]/AG$3)*100)</f>
        <v>4.305279346100821E-2</v>
      </c>
      <c r="AA176" s="4">
        <f>(nazione[[#This Row],[ricoverati_con_sintomi]]/nazione[[#This Row],[totale_attualmente_positivi]])*100</f>
        <v>5.3033458281271688</v>
      </c>
      <c r="AB176" s="4">
        <f>(nazione[[#This Row],[terapia_intensiva]]/nazione[[#This Row],[totale_attualmente_positivi]])*100</f>
        <v>0.38178536720810774</v>
      </c>
      <c r="AC176" s="4">
        <f>((nazione[[#This Row],[totale_attualmente_positivi]]-(nazione[[#This Row],[totale_ospedalizzati]]))/nazione[[#This Row],[totale_attualmente_positivi]])*100</f>
        <v>94.314868804664727</v>
      </c>
      <c r="AD176" s="8">
        <f>(nazione[[#This Row],[Deceaded by day]]/nazione[[#This Row],[totale_attualmente_positivi]])*100</f>
        <v>1.0967652367069278</v>
      </c>
      <c r="AE176" s="8">
        <f>(nazione[[#This Row],[Deceaded by day]]/morti_per_regione!D$2) *100</f>
        <v>2.495526216450572E-2</v>
      </c>
    </row>
    <row r="177" spans="1:31" x14ac:dyDescent="0.2">
      <c r="A177">
        <v>175</v>
      </c>
      <c r="B177" s="6">
        <v>44059.708333333336</v>
      </c>
      <c r="C177" s="1" t="s">
        <v>42</v>
      </c>
      <c r="D177">
        <v>787</v>
      </c>
      <c r="E177">
        <v>56</v>
      </c>
      <c r="F177">
        <v>843</v>
      </c>
      <c r="G177">
        <v>13890</v>
      </c>
      <c r="H177">
        <v>14733</v>
      </c>
      <c r="I177">
        <v>327</v>
      </c>
      <c r="J177">
        <v>479</v>
      </c>
      <c r="K177">
        <v>203786</v>
      </c>
      <c r="L177">
        <v>35396</v>
      </c>
      <c r="M177">
        <v>224694</v>
      </c>
      <c r="N177">
        <v>29221</v>
      </c>
      <c r="O177">
        <v>253915</v>
      </c>
      <c r="P177">
        <v>7557417</v>
      </c>
      <c r="Q177">
        <v>4455931</v>
      </c>
      <c r="R177" s="1" t="s">
        <v>82</v>
      </c>
      <c r="S177" s="1">
        <f t="shared" si="18"/>
        <v>24</v>
      </c>
      <c r="T177" s="1">
        <f t="shared" si="19"/>
        <v>1</v>
      </c>
      <c r="U177">
        <f t="shared" si="20"/>
        <v>4</v>
      </c>
      <c r="V177">
        <f t="shared" si="21"/>
        <v>146</v>
      </c>
      <c r="W177" s="8">
        <f t="shared" si="17"/>
        <v>2.2698875468554869E-2</v>
      </c>
      <c r="X177" s="1">
        <f>IF(Q177=0,(nazione[[#This Row],[nuovi_attualmente_positivi]]/nazione[[#This Row],[test_per_giorno]])*100,(nazione[[#This Row],[nuovi_attualmente_positivi]]/nazione[[#This Row],[test_per_giorno]])*100)</f>
        <v>2.1317311971517579</v>
      </c>
      <c r="Y177">
        <f>IF(nazione[[#This Row],[casi_testati]]=0,nazione[[#This Row],[tamponi]]-P176,IF(Q176=0,nazione[[#This Row],[casi_testati]]-Y176,nazione[[#This Row],[casi_testati]]-Q176))</f>
        <v>22470</v>
      </c>
      <c r="Z177" s="4">
        <f>IF(Q177=0,(nazione[[#This Row],[test_per_giorno]]/AG$3)*100,(nazione[[#This Row],[test_per_giorno]]/AG$3)*100)</f>
        <v>3.7297924550597772E-2</v>
      </c>
      <c r="AA177" s="4">
        <f>(nazione[[#This Row],[ricoverati_con_sintomi]]/nazione[[#This Row],[totale_attualmente_positivi]])*100</f>
        <v>5.341749813344193</v>
      </c>
      <c r="AB177" s="4">
        <f>(nazione[[#This Row],[terapia_intensiva]]/nazione[[#This Row],[totale_attualmente_positivi]])*100</f>
        <v>0.38009909726464403</v>
      </c>
      <c r="AC177" s="4">
        <f>((nazione[[#This Row],[totale_attualmente_positivi]]-(nazione[[#This Row],[totale_ospedalizzati]]))/nazione[[#This Row],[totale_attualmente_positivi]])*100</f>
        <v>94.278151089391159</v>
      </c>
      <c r="AD177" s="8">
        <f>(nazione[[#This Row],[Deceaded by day]]/nazione[[#This Row],[totale_attualmente_positivi]])*100</f>
        <v>2.7149935518903143E-2</v>
      </c>
      <c r="AE177" s="8">
        <f>(nazione[[#This Row],[Deceaded by day]]/morti_per_regione!D$2) *100</f>
        <v>6.3177878897482834E-4</v>
      </c>
    </row>
    <row r="178" spans="1:31" x14ac:dyDescent="0.2">
      <c r="A178">
        <v>176</v>
      </c>
      <c r="B178" s="6">
        <v>44060.708333333336</v>
      </c>
      <c r="C178" s="1" t="s">
        <v>42</v>
      </c>
      <c r="D178">
        <v>810</v>
      </c>
      <c r="E178">
        <v>58</v>
      </c>
      <c r="F178">
        <v>868</v>
      </c>
      <c r="G178">
        <v>13999</v>
      </c>
      <c r="H178">
        <v>14867</v>
      </c>
      <c r="I178">
        <v>134</v>
      </c>
      <c r="J178">
        <v>320</v>
      </c>
      <c r="K178">
        <v>203968</v>
      </c>
      <c r="L178">
        <v>35400</v>
      </c>
      <c r="M178">
        <v>224812</v>
      </c>
      <c r="N178">
        <v>29423</v>
      </c>
      <c r="O178">
        <v>254235</v>
      </c>
      <c r="P178">
        <v>7588083</v>
      </c>
      <c r="Q178">
        <v>4477310</v>
      </c>
      <c r="R178" s="1" t="s">
        <v>82</v>
      </c>
      <c r="S178" s="1">
        <f t="shared" si="18"/>
        <v>25</v>
      </c>
      <c r="T178" s="1">
        <f t="shared" si="19"/>
        <v>2</v>
      </c>
      <c r="U178">
        <f t="shared" si="20"/>
        <v>4</v>
      </c>
      <c r="V178">
        <f t="shared" si="21"/>
        <v>182</v>
      </c>
      <c r="W178" s="8">
        <f t="shared" si="17"/>
        <v>9.0952283988325888E-3</v>
      </c>
      <c r="X178" s="1">
        <f>IF(Q178=0,(nazione[[#This Row],[nuovi_attualmente_positivi]]/nazione[[#This Row],[test_per_giorno]])*100,(nazione[[#This Row],[nuovi_attualmente_positivi]]/nazione[[#This Row],[test_per_giorno]])*100)</f>
        <v>1.4967959212311148</v>
      </c>
      <c r="Y178">
        <f>IF(nazione[[#This Row],[casi_testati]]=0,nazione[[#This Row],[tamponi]]-P177,IF(Q177=0,nazione[[#This Row],[casi_testati]]-Y177,nazione[[#This Row],[casi_testati]]-Q177))</f>
        <v>21379</v>
      </c>
      <c r="Z178" s="4">
        <f>IF(Q178=0,(nazione[[#This Row],[test_per_giorno]]/AG$3)*100,(nazione[[#This Row],[test_per_giorno]]/AG$3)*100)</f>
        <v>3.5486975031919436E-2</v>
      </c>
      <c r="AA178" s="4">
        <f>(nazione[[#This Row],[ricoverati_con_sintomi]]/nazione[[#This Row],[totale_attualmente_positivi]])*100</f>
        <v>5.4483083338938592</v>
      </c>
      <c r="AB178" s="4">
        <f>(nazione[[#This Row],[terapia_intensiva]]/nazione[[#This Row],[totale_attualmente_positivi]])*100</f>
        <v>0.39012578193314051</v>
      </c>
      <c r="AC178" s="4">
        <f>((nazione[[#This Row],[totale_attualmente_positivi]]-(nazione[[#This Row],[totale_ospedalizzati]]))/nazione[[#This Row],[totale_attualmente_positivi]])*100</f>
        <v>94.161565884173001</v>
      </c>
      <c r="AD178" s="8">
        <f>(nazione[[#This Row],[Deceaded by day]]/nazione[[#This Row],[totale_attualmente_positivi]])*100</f>
        <v>2.6905226340216588E-2</v>
      </c>
      <c r="AE178" s="8">
        <f>(nazione[[#This Row],[Deceaded by day]]/morti_per_regione!D$2) *100</f>
        <v>6.3177878897482834E-4</v>
      </c>
    </row>
    <row r="179" spans="1:31" x14ac:dyDescent="0.2">
      <c r="A179">
        <v>177</v>
      </c>
      <c r="B179" s="6">
        <v>44061.708333333336</v>
      </c>
      <c r="C179" s="1" t="s">
        <v>42</v>
      </c>
      <c r="D179">
        <v>843</v>
      </c>
      <c r="E179">
        <v>58</v>
      </c>
      <c r="F179">
        <v>901</v>
      </c>
      <c r="G179">
        <v>14188</v>
      </c>
      <c r="H179">
        <v>15089</v>
      </c>
      <c r="I179">
        <v>222</v>
      </c>
      <c r="J179">
        <v>403</v>
      </c>
      <c r="K179">
        <v>204142</v>
      </c>
      <c r="L179">
        <v>35405</v>
      </c>
      <c r="M179">
        <v>224974</v>
      </c>
      <c r="N179">
        <v>29662</v>
      </c>
      <c r="O179">
        <v>254636</v>
      </c>
      <c r="P179">
        <v>7642059</v>
      </c>
      <c r="Q179">
        <v>4509997</v>
      </c>
      <c r="R179" s="1" t="s">
        <v>82</v>
      </c>
      <c r="S179" s="1">
        <f t="shared" si="18"/>
        <v>33</v>
      </c>
      <c r="T179" s="1">
        <f t="shared" si="19"/>
        <v>0</v>
      </c>
      <c r="U179">
        <f t="shared" si="20"/>
        <v>5</v>
      </c>
      <c r="V179">
        <f t="shared" si="21"/>
        <v>174</v>
      </c>
      <c r="W179" s="8">
        <f t="shared" si="17"/>
        <v>1.4932400618820285E-2</v>
      </c>
      <c r="X179" s="1">
        <f>IF(Q179=0,(nazione[[#This Row],[nuovi_attualmente_positivi]]/nazione[[#This Row],[test_per_giorno]])*100,(nazione[[#This Row],[nuovi_attualmente_positivi]]/nazione[[#This Row],[test_per_giorno]])*100)</f>
        <v>1.232906048276073</v>
      </c>
      <c r="Y179">
        <f>IF(nazione[[#This Row],[casi_testati]]=0,nazione[[#This Row],[tamponi]]-P178,IF(Q178=0,nazione[[#This Row],[casi_testati]]-Y178,nazione[[#This Row],[casi_testati]]-Q178))</f>
        <v>32687</v>
      </c>
      <c r="Z179" s="4">
        <f>IF(Q179=0,(nazione[[#This Row],[test_per_giorno]]/AG$3)*100,(nazione[[#This Row],[test_per_giorno]]/AG$3)*100)</f>
        <v>5.425710991479258E-2</v>
      </c>
      <c r="AA179" s="4">
        <f>(nazione[[#This Row],[ricoverati_con_sintomi]]/nazione[[#This Row],[totale_attualmente_positivi]])*100</f>
        <v>5.5868513486645899</v>
      </c>
      <c r="AB179" s="4">
        <f>(nazione[[#This Row],[terapia_intensiva]]/nazione[[#This Row],[totale_attualmente_positivi]])*100</f>
        <v>0.38438597653920076</v>
      </c>
      <c r="AC179" s="4">
        <f>((nazione[[#This Row],[totale_attualmente_positivi]]-(nazione[[#This Row],[totale_ospedalizzati]]))/nazione[[#This Row],[totale_attualmente_positivi]])*100</f>
        <v>94.028762674796212</v>
      </c>
      <c r="AD179" s="8">
        <f>(nazione[[#This Row],[Deceaded by day]]/nazione[[#This Row],[totale_attualmente_positivi]])*100</f>
        <v>3.3136722115448339E-2</v>
      </c>
      <c r="AE179" s="8">
        <f>(nazione[[#This Row],[Deceaded by day]]/morti_per_regione!D$2) *100</f>
        <v>7.8972348621853547E-4</v>
      </c>
    </row>
    <row r="180" spans="1:31" x14ac:dyDescent="0.2">
      <c r="A180">
        <v>178</v>
      </c>
      <c r="B180" s="6">
        <v>44062.708333333336</v>
      </c>
      <c r="C180" s="1" t="s">
        <v>42</v>
      </c>
      <c r="D180">
        <v>866</v>
      </c>
      <c r="E180">
        <v>66</v>
      </c>
      <c r="F180">
        <v>932</v>
      </c>
      <c r="G180">
        <v>14428</v>
      </c>
      <c r="H180">
        <v>15360</v>
      </c>
      <c r="I180">
        <v>271</v>
      </c>
      <c r="J180">
        <v>642</v>
      </c>
      <c r="K180">
        <v>204506</v>
      </c>
      <c r="L180">
        <v>35412</v>
      </c>
      <c r="M180">
        <v>225215</v>
      </c>
      <c r="N180">
        <v>30063</v>
      </c>
      <c r="O180">
        <v>255278</v>
      </c>
      <c r="P180">
        <v>7713154</v>
      </c>
      <c r="Q180">
        <v>4551287</v>
      </c>
      <c r="R180" s="1" t="s">
        <v>82</v>
      </c>
      <c r="S180" s="1">
        <f t="shared" si="18"/>
        <v>31</v>
      </c>
      <c r="T180" s="1">
        <f t="shared" si="19"/>
        <v>8</v>
      </c>
      <c r="U180">
        <f t="shared" si="20"/>
        <v>7</v>
      </c>
      <c r="V180">
        <f t="shared" si="21"/>
        <v>364</v>
      </c>
      <c r="W180" s="8">
        <f t="shared" si="17"/>
        <v>1.7960103386573056E-2</v>
      </c>
      <c r="X180" s="1">
        <f>IF(Q180=0,(nazione[[#This Row],[nuovi_attualmente_positivi]]/nazione[[#This Row],[test_per_giorno]])*100,(nazione[[#This Row],[nuovi_attualmente_positivi]]/nazione[[#This Row],[test_per_giorno]])*100)</f>
        <v>1.5548558973116977</v>
      </c>
      <c r="Y180">
        <f>IF(nazione[[#This Row],[casi_testati]]=0,nazione[[#This Row],[tamponi]]-P179,IF(Q179=0,nazione[[#This Row],[casi_testati]]-Y179,nazione[[#This Row],[casi_testati]]-Q179))</f>
        <v>41290</v>
      </c>
      <c r="Z180" s="4">
        <f>IF(Q180=0,(nazione[[#This Row],[test_per_giorno]]/AG$3)*100,(nazione[[#This Row],[test_per_giorno]]/AG$3)*100)</f>
        <v>6.8537218722482515E-2</v>
      </c>
      <c r="AA180" s="4">
        <f>(nazione[[#This Row],[ricoverati_con_sintomi]]/nazione[[#This Row],[totale_attualmente_positivi]])*100</f>
        <v>5.638020833333333</v>
      </c>
      <c r="AB180" s="4">
        <f>(nazione[[#This Row],[terapia_intensiva]]/nazione[[#This Row],[totale_attualmente_positivi]])*100</f>
        <v>0.42968750000000006</v>
      </c>
      <c r="AC180" s="4">
        <f>((nazione[[#This Row],[totale_attualmente_positivi]]-(nazione[[#This Row],[totale_ospedalizzati]]))/nazione[[#This Row],[totale_attualmente_positivi]])*100</f>
        <v>93.932291666666671</v>
      </c>
      <c r="AD180" s="8">
        <f>(nazione[[#This Row],[Deceaded by day]]/nazione[[#This Row],[totale_attualmente_positivi]])*100</f>
        <v>4.5572916666666664E-2</v>
      </c>
      <c r="AE180" s="8">
        <f>(nazione[[#This Row],[Deceaded by day]]/morti_per_regione!D$2) *100</f>
        <v>1.1056128807059495E-3</v>
      </c>
    </row>
    <row r="181" spans="1:31" x14ac:dyDescent="0.2">
      <c r="A181">
        <v>179</v>
      </c>
      <c r="B181" s="6">
        <v>44063.708333333336</v>
      </c>
      <c r="C181" s="1" t="s">
        <v>42</v>
      </c>
      <c r="D181">
        <v>883</v>
      </c>
      <c r="E181">
        <v>68</v>
      </c>
      <c r="F181">
        <v>951</v>
      </c>
      <c r="G181">
        <v>15063</v>
      </c>
      <c r="H181">
        <v>16014</v>
      </c>
      <c r="I181">
        <v>654</v>
      </c>
      <c r="J181">
        <v>845</v>
      </c>
      <c r="K181">
        <v>204686</v>
      </c>
      <c r="L181">
        <v>35418</v>
      </c>
      <c r="M181">
        <v>225516</v>
      </c>
      <c r="N181">
        <v>30602</v>
      </c>
      <c r="O181">
        <v>256118</v>
      </c>
      <c r="P181">
        <v>7790596</v>
      </c>
      <c r="Q181">
        <v>4600949</v>
      </c>
      <c r="R181" s="1" t="s">
        <v>82</v>
      </c>
      <c r="S181" s="1">
        <f t="shared" si="18"/>
        <v>19</v>
      </c>
      <c r="T181" s="1">
        <f t="shared" si="19"/>
        <v>2</v>
      </c>
      <c r="U181">
        <f t="shared" si="20"/>
        <v>6</v>
      </c>
      <c r="V181">
        <f t="shared" si="21"/>
        <v>180</v>
      </c>
      <c r="W181" s="8">
        <f t="shared" si="17"/>
        <v>4.2578124999999911E-2</v>
      </c>
      <c r="X181" s="1">
        <f>IF(Q181=0,(nazione[[#This Row],[nuovi_attualmente_positivi]]/nazione[[#This Row],[test_per_giorno]])*100,(nazione[[#This Row],[nuovi_attualmente_positivi]]/nazione[[#This Row],[test_per_giorno]])*100)</f>
        <v>1.7015021545648583</v>
      </c>
      <c r="Y181">
        <f>IF(nazione[[#This Row],[casi_testati]]=0,nazione[[#This Row],[tamponi]]-P180,IF(Q180=0,nazione[[#This Row],[casi_testati]]-Y180,nazione[[#This Row],[casi_testati]]-Q180))</f>
        <v>49662</v>
      </c>
      <c r="Z181" s="4">
        <f>IF(Q181=0,(nazione[[#This Row],[test_per_giorno]]/AG$3)*100,(nazione[[#This Row],[test_per_giorno]]/AG$3)*100)</f>
        <v>8.243389092264293E-2</v>
      </c>
      <c r="AA181" s="4">
        <f>(nazione[[#This Row],[ricoverati_con_sintomi]]/nazione[[#This Row],[totale_attualmente_positivi]])*100</f>
        <v>5.5139253153490699</v>
      </c>
      <c r="AB181" s="4">
        <f>(nazione[[#This Row],[terapia_intensiva]]/nazione[[#This Row],[totale_attualmente_positivi]])*100</f>
        <v>0.42462845010615713</v>
      </c>
      <c r="AC181" s="4">
        <f>((nazione[[#This Row],[totale_attualmente_positivi]]-(nazione[[#This Row],[totale_ospedalizzati]]))/nazione[[#This Row],[totale_attualmente_positivi]])*100</f>
        <v>94.061446234544775</v>
      </c>
      <c r="AD181" s="8">
        <f>(nazione[[#This Row],[Deceaded by day]]/nazione[[#This Row],[totale_attualmente_positivi]])*100</f>
        <v>3.7467216185837392E-2</v>
      </c>
      <c r="AE181" s="8">
        <f>(nazione[[#This Row],[Deceaded by day]]/morti_per_regione!D$2) *100</f>
        <v>9.476681834622425E-4</v>
      </c>
    </row>
    <row r="182" spans="1:31" x14ac:dyDescent="0.2">
      <c r="A182">
        <v>180</v>
      </c>
      <c r="B182" s="6">
        <v>44064.708333333336</v>
      </c>
      <c r="C182" s="1" t="s">
        <v>42</v>
      </c>
      <c r="D182">
        <v>919</v>
      </c>
      <c r="E182">
        <v>69</v>
      </c>
      <c r="F182">
        <v>988</v>
      </c>
      <c r="G182">
        <v>15690</v>
      </c>
      <c r="H182">
        <v>16678</v>
      </c>
      <c r="I182">
        <v>664</v>
      </c>
      <c r="J182">
        <v>947</v>
      </c>
      <c r="K182">
        <v>204960</v>
      </c>
      <c r="L182">
        <v>35427</v>
      </c>
      <c r="M182">
        <v>225880</v>
      </c>
      <c r="N182">
        <v>31185</v>
      </c>
      <c r="O182">
        <v>257065</v>
      </c>
      <c r="P182">
        <v>7862592</v>
      </c>
      <c r="Q182">
        <v>4645892</v>
      </c>
      <c r="R182" s="1" t="s">
        <v>82</v>
      </c>
      <c r="S182" s="1">
        <f t="shared" si="18"/>
        <v>37</v>
      </c>
      <c r="T182" s="1">
        <f t="shared" si="19"/>
        <v>1</v>
      </c>
      <c r="U182">
        <f t="shared" si="20"/>
        <v>9</v>
      </c>
      <c r="V182">
        <f t="shared" si="21"/>
        <v>274</v>
      </c>
      <c r="W182" s="8">
        <f t="shared" si="17"/>
        <v>4.1463719245659947E-2</v>
      </c>
      <c r="X182" s="1">
        <f>IF(Q182=0,(nazione[[#This Row],[nuovi_attualmente_positivi]]/nazione[[#This Row],[test_per_giorno]])*100,(nazione[[#This Row],[nuovi_attualmente_positivi]]/nazione[[#This Row],[test_per_giorno]])*100)</f>
        <v>2.1071134548205506</v>
      </c>
      <c r="Y182">
        <f>IF(nazione[[#This Row],[casi_testati]]=0,nazione[[#This Row],[tamponi]]-P181,IF(Q181=0,nazione[[#This Row],[casi_testati]]-Y181,nazione[[#This Row],[casi_testati]]-Q181))</f>
        <v>44943</v>
      </c>
      <c r="Z182" s="4">
        <f>IF(Q182=0,(nazione[[#This Row],[test_per_giorno]]/AG$3)*100,(nazione[[#This Row],[test_per_giorno]]/AG$3)*100)</f>
        <v>7.4600828797397226E-2</v>
      </c>
      <c r="AA182" s="4">
        <f>(nazione[[#This Row],[ricoverati_con_sintomi]]/nazione[[#This Row],[totale_attualmente_positivi]])*100</f>
        <v>5.5102530279410002</v>
      </c>
      <c r="AB182" s="4">
        <f>(nazione[[#This Row],[terapia_intensiva]]/nazione[[#This Row],[totale_attualmente_positivi]])*100</f>
        <v>0.41371867130351364</v>
      </c>
      <c r="AC182" s="4">
        <f>((nazione[[#This Row],[totale_attualmente_positivi]]-(nazione[[#This Row],[totale_ospedalizzati]]))/nazione[[#This Row],[totale_attualmente_positivi]])*100</f>
        <v>94.076028300755482</v>
      </c>
      <c r="AD182" s="8">
        <f>(nazione[[#This Row],[Deceaded by day]]/nazione[[#This Row],[totale_attualmente_positivi]])*100</f>
        <v>5.3963304952632213E-2</v>
      </c>
      <c r="AE182" s="8">
        <f>(nazione[[#This Row],[Deceaded by day]]/morti_per_regione!D$2) *100</f>
        <v>1.4215022751933638E-3</v>
      </c>
    </row>
    <row r="183" spans="1:31" x14ac:dyDescent="0.2">
      <c r="A183">
        <v>181</v>
      </c>
      <c r="B183" s="6">
        <v>44065.708333333336</v>
      </c>
      <c r="C183" s="1" t="s">
        <v>42</v>
      </c>
      <c r="D183">
        <v>924</v>
      </c>
      <c r="E183">
        <v>64</v>
      </c>
      <c r="F183">
        <v>988</v>
      </c>
      <c r="G183">
        <v>16515</v>
      </c>
      <c r="H183">
        <v>17503</v>
      </c>
      <c r="I183">
        <v>825</v>
      </c>
      <c r="J183">
        <v>1071</v>
      </c>
      <c r="K183">
        <v>205203</v>
      </c>
      <c r="L183">
        <v>35430</v>
      </c>
      <c r="M183">
        <v>226320</v>
      </c>
      <c r="N183">
        <v>31816</v>
      </c>
      <c r="O183">
        <v>258136</v>
      </c>
      <c r="P183">
        <v>7940266</v>
      </c>
      <c r="Q183">
        <v>4692505</v>
      </c>
      <c r="R183" s="1" t="s">
        <v>82</v>
      </c>
      <c r="S183" s="1">
        <f t="shared" si="18"/>
        <v>0</v>
      </c>
      <c r="T183" s="1">
        <f t="shared" si="19"/>
        <v>-5</v>
      </c>
      <c r="U183">
        <f t="shared" si="20"/>
        <v>3</v>
      </c>
      <c r="V183">
        <f t="shared" si="21"/>
        <v>243</v>
      </c>
      <c r="W183" s="8">
        <f t="shared" si="17"/>
        <v>4.9466362873246128E-2</v>
      </c>
      <c r="X183" s="1">
        <f>IF(Q183=0,(nazione[[#This Row],[nuovi_attualmente_positivi]]/nazione[[#This Row],[test_per_giorno]])*100,(nazione[[#This Row],[nuovi_attualmente_positivi]]/nazione[[#This Row],[test_per_giorno]])*100)</f>
        <v>2.297642288631927</v>
      </c>
      <c r="Y183">
        <f>IF(nazione[[#This Row],[casi_testati]]=0,nazione[[#This Row],[tamponi]]-P182,IF(Q182=0,nazione[[#This Row],[casi_testati]]-Y182,nazione[[#This Row],[casi_testati]]-Q182))</f>
        <v>46613</v>
      </c>
      <c r="Z183" s="4">
        <f>IF(Q183=0,(nazione[[#This Row],[test_per_giorno]]/AG$3)*100,(nazione[[#This Row],[test_per_giorno]]/AG$3)*100)</f>
        <v>7.7372859683000172E-2</v>
      </c>
      <c r="AA183" s="4">
        <f>(nazione[[#This Row],[ricoverati_con_sintomi]]/nazione[[#This Row],[totale_attualmente_positivi]])*100</f>
        <v>5.2790950122836087</v>
      </c>
      <c r="AB183" s="4">
        <f>(nazione[[#This Row],[terapia_intensiva]]/nazione[[#This Row],[totale_attualmente_positivi]])*100</f>
        <v>0.36565160258241441</v>
      </c>
      <c r="AC183" s="4">
        <f>((nazione[[#This Row],[totale_attualmente_positivi]]-(nazione[[#This Row],[totale_ospedalizzati]]))/nazione[[#This Row],[totale_attualmente_positivi]])*100</f>
        <v>94.355253385133977</v>
      </c>
      <c r="AD183" s="8">
        <f>(nazione[[#This Row],[Deceaded by day]]/nazione[[#This Row],[totale_attualmente_positivi]])*100</f>
        <v>1.7139918871050677E-2</v>
      </c>
      <c r="AE183" s="8">
        <f>(nazione[[#This Row],[Deceaded by day]]/morti_per_regione!D$2) *100</f>
        <v>4.7383409173112125E-4</v>
      </c>
    </row>
    <row r="184" spans="1:31" x14ac:dyDescent="0.2">
      <c r="A184">
        <v>182</v>
      </c>
      <c r="B184" s="6">
        <v>44066.708333333336</v>
      </c>
      <c r="C184" s="1" t="s">
        <v>42</v>
      </c>
      <c r="D184">
        <v>971</v>
      </c>
      <c r="E184">
        <v>69</v>
      </c>
      <c r="F184">
        <v>1040</v>
      </c>
      <c r="G184">
        <v>17398</v>
      </c>
      <c r="H184">
        <v>18438</v>
      </c>
      <c r="I184">
        <v>935</v>
      </c>
      <c r="J184">
        <v>1210</v>
      </c>
      <c r="K184">
        <v>205470</v>
      </c>
      <c r="L184">
        <v>35437</v>
      </c>
      <c r="M184">
        <v>226810</v>
      </c>
      <c r="N184">
        <v>32535</v>
      </c>
      <c r="O184">
        <v>259345</v>
      </c>
      <c r="P184">
        <v>8007637</v>
      </c>
      <c r="Q184">
        <v>4739968</v>
      </c>
      <c r="R184" s="1" t="s">
        <v>82</v>
      </c>
      <c r="S184" s="1">
        <f t="shared" si="18"/>
        <v>52</v>
      </c>
      <c r="T184" s="1">
        <f t="shared" si="19"/>
        <v>5</v>
      </c>
      <c r="U184">
        <f t="shared" si="20"/>
        <v>7</v>
      </c>
      <c r="V184">
        <f t="shared" si="21"/>
        <v>267</v>
      </c>
      <c r="W184" s="8">
        <f t="shared" si="17"/>
        <v>5.3419413814774552E-2</v>
      </c>
      <c r="X184" s="1">
        <f>IF(Q184=0,(nazione[[#This Row],[nuovi_attualmente_positivi]]/nazione[[#This Row],[test_per_giorno]])*100,(nazione[[#This Row],[nuovi_attualmente_positivi]]/nazione[[#This Row],[test_per_giorno]])*100)</f>
        <v>2.5493542338242423</v>
      </c>
      <c r="Y184">
        <f>IF(nazione[[#This Row],[casi_testati]]=0,nazione[[#This Row],[tamponi]]-P183,IF(Q183=0,nazione[[#This Row],[casi_testati]]-Y183,nazione[[#This Row],[casi_testati]]-Q183))</f>
        <v>47463</v>
      </c>
      <c r="Z184" s="4">
        <f>IF(Q184=0,(nazione[[#This Row],[test_per_giorno]]/AG$3)*100,(nazione[[#This Row],[test_per_giorno]]/AG$3)*100)</f>
        <v>7.8783773606810062E-2</v>
      </c>
      <c r="AA184" s="4">
        <f>(nazione[[#This Row],[ricoverati_con_sintomi]]/nazione[[#This Row],[totale_attualmente_positivi]])*100</f>
        <v>5.2662978631087976</v>
      </c>
      <c r="AB184" s="4">
        <f>(nazione[[#This Row],[terapia_intensiva]]/nazione[[#This Row],[totale_attualmente_positivi]])*100</f>
        <v>0.37422713960299381</v>
      </c>
      <c r="AC184" s="4">
        <f>((nazione[[#This Row],[totale_attualmente_positivi]]-(nazione[[#This Row],[totale_ospedalizzati]]))/nazione[[#This Row],[totale_attualmente_positivi]])*100</f>
        <v>94.359474997288203</v>
      </c>
      <c r="AD184" s="8">
        <f>(nazione[[#This Row],[Deceaded by day]]/nazione[[#This Row],[totale_attualmente_positivi]])*100</f>
        <v>3.7965072133637055E-2</v>
      </c>
      <c r="AE184" s="8">
        <f>(nazione[[#This Row],[Deceaded by day]]/morti_per_regione!D$2) *100</f>
        <v>1.1056128807059495E-3</v>
      </c>
    </row>
    <row r="185" spans="1:31" x14ac:dyDescent="0.2">
      <c r="A185">
        <v>183</v>
      </c>
      <c r="B185" s="6">
        <v>44067.708333333336</v>
      </c>
      <c r="C185" s="1" t="s">
        <v>42</v>
      </c>
      <c r="D185">
        <v>1045</v>
      </c>
      <c r="E185">
        <v>65</v>
      </c>
      <c r="F185">
        <v>1110</v>
      </c>
      <c r="G185">
        <v>18085</v>
      </c>
      <c r="H185">
        <v>19195</v>
      </c>
      <c r="I185">
        <v>757</v>
      </c>
      <c r="J185">
        <v>953</v>
      </c>
      <c r="K185">
        <v>205662</v>
      </c>
      <c r="L185">
        <v>35441</v>
      </c>
      <c r="M185">
        <v>227128</v>
      </c>
      <c r="N185">
        <v>33170</v>
      </c>
      <c r="O185">
        <v>260298</v>
      </c>
      <c r="P185">
        <v>8053551</v>
      </c>
      <c r="Q185">
        <v>4773326</v>
      </c>
      <c r="R185" s="1" t="s">
        <v>82</v>
      </c>
      <c r="S185" s="1">
        <f t="shared" si="18"/>
        <v>70</v>
      </c>
      <c r="T185" s="1">
        <f t="shared" si="19"/>
        <v>-4</v>
      </c>
      <c r="U185">
        <f t="shared" si="20"/>
        <v>4</v>
      </c>
      <c r="V185">
        <f t="shared" si="21"/>
        <v>192</v>
      </c>
      <c r="W185" s="8">
        <f t="shared" si="17"/>
        <v>4.1056513721661858E-2</v>
      </c>
      <c r="X185" s="1">
        <f>IF(Q185=0,(nazione[[#This Row],[nuovi_attualmente_positivi]]/nazione[[#This Row],[test_per_giorno]])*100,(nazione[[#This Row],[nuovi_attualmente_positivi]]/nazione[[#This Row],[test_per_giorno]])*100)</f>
        <v>2.8568859044307211</v>
      </c>
      <c r="Y185">
        <f>IF(nazione[[#This Row],[casi_testati]]=0,nazione[[#This Row],[tamponi]]-P184,IF(Q184=0,nazione[[#This Row],[casi_testati]]-Y184,nazione[[#This Row],[casi_testati]]-Q184))</f>
        <v>33358</v>
      </c>
      <c r="Z185" s="4">
        <f>IF(Q185=0,(nazione[[#This Row],[test_per_giorno]]/AG$3)*100,(nazione[[#This Row],[test_per_giorno]]/AG$3)*100)</f>
        <v>5.5370901965235447E-2</v>
      </c>
      <c r="AA185" s="4">
        <f>(nazione[[#This Row],[ricoverati_con_sintomi]]/nazione[[#This Row],[totale_attualmente_positivi]])*100</f>
        <v>5.444126074498568</v>
      </c>
      <c r="AB185" s="4">
        <f>(nazione[[#This Row],[terapia_intensiva]]/nazione[[#This Row],[totale_attualmente_positivi]])*100</f>
        <v>0.33862985152383429</v>
      </c>
      <c r="AC185" s="4">
        <f>((nazione[[#This Row],[totale_attualmente_positivi]]-(nazione[[#This Row],[totale_ospedalizzati]]))/nazione[[#This Row],[totale_attualmente_positivi]])*100</f>
        <v>94.217244073977596</v>
      </c>
      <c r="AD185" s="8">
        <f>(nazione[[#This Row],[Deceaded by day]]/nazione[[#This Row],[totale_attualmente_positivi]])*100</f>
        <v>2.083876009377442E-2</v>
      </c>
      <c r="AE185" s="8">
        <f>(nazione[[#This Row],[Deceaded by day]]/morti_per_regione!D$2) *100</f>
        <v>6.3177878897482834E-4</v>
      </c>
    </row>
    <row r="186" spans="1:31" x14ac:dyDescent="0.2">
      <c r="A186">
        <v>184</v>
      </c>
      <c r="B186" s="6">
        <v>44068.708333333336</v>
      </c>
      <c r="C186" s="1" t="s">
        <v>42</v>
      </c>
      <c r="D186">
        <v>1058</v>
      </c>
      <c r="E186">
        <v>66</v>
      </c>
      <c r="F186">
        <v>1124</v>
      </c>
      <c r="G186">
        <v>18590</v>
      </c>
      <c r="H186">
        <v>19714</v>
      </c>
      <c r="I186">
        <v>519</v>
      </c>
      <c r="J186">
        <v>878</v>
      </c>
      <c r="K186">
        <v>206015</v>
      </c>
      <c r="L186">
        <v>35445</v>
      </c>
      <c r="M186">
        <v>227292</v>
      </c>
      <c r="N186">
        <v>33882</v>
      </c>
      <c r="O186">
        <v>261174</v>
      </c>
      <c r="P186">
        <v>8125892</v>
      </c>
      <c r="Q186">
        <v>4819124</v>
      </c>
      <c r="R186" s="1" t="s">
        <v>82</v>
      </c>
      <c r="S186" s="1">
        <f t="shared" si="18"/>
        <v>14</v>
      </c>
      <c r="T186" s="1">
        <f t="shared" si="19"/>
        <v>1</v>
      </c>
      <c r="U186">
        <f t="shared" si="20"/>
        <v>4</v>
      </c>
      <c r="V186">
        <f t="shared" si="21"/>
        <v>353</v>
      </c>
      <c r="W186" s="8">
        <f t="shared" si="17"/>
        <v>2.7038291221672228E-2</v>
      </c>
      <c r="X186" s="1">
        <f>IF(Q186=0,(nazione[[#This Row],[nuovi_attualmente_positivi]]/nazione[[#This Row],[test_per_giorno]])*100,(nazione[[#This Row],[nuovi_attualmente_positivi]]/nazione[[#This Row],[test_per_giorno]])*100)</f>
        <v>1.9171142844665707</v>
      </c>
      <c r="Y186">
        <f>IF(nazione[[#This Row],[casi_testati]]=0,nazione[[#This Row],[tamponi]]-P185,IF(Q185=0,nazione[[#This Row],[casi_testati]]-Y185,nazione[[#This Row],[casi_testati]]-Q185))</f>
        <v>45798</v>
      </c>
      <c r="Z186" s="4">
        <f>IF(Q186=0,(nazione[[#This Row],[test_per_giorno]]/AG$3)*100,(nazione[[#This Row],[test_per_giorno]]/AG$3)*100)</f>
        <v>7.6020042214876571E-2</v>
      </c>
      <c r="AA186" s="4">
        <f>(nazione[[#This Row],[ricoverati_con_sintomi]]/nazione[[#This Row],[totale_attualmente_positivi]])*100</f>
        <v>5.3667444455716753</v>
      </c>
      <c r="AB186" s="4">
        <f>(nazione[[#This Row],[terapia_intensiva]]/nazione[[#This Row],[totale_attualmente_positivi]])*100</f>
        <v>0.33478746068783605</v>
      </c>
      <c r="AC186" s="4">
        <f>((nazione[[#This Row],[totale_attualmente_positivi]]-(nazione[[#This Row],[totale_ospedalizzati]]))/nazione[[#This Row],[totale_attualmente_positivi]])*100</f>
        <v>94.298468093740482</v>
      </c>
      <c r="AD186" s="8">
        <f>(nazione[[#This Row],[Deceaded by day]]/nazione[[#This Row],[totale_attualmente_positivi]])*100</f>
        <v>2.0290149132596125E-2</v>
      </c>
      <c r="AE186" s="8">
        <f>(nazione[[#This Row],[Deceaded by day]]/morti_per_regione!D$2) *100</f>
        <v>6.3177878897482834E-4</v>
      </c>
    </row>
    <row r="187" spans="1:31" x14ac:dyDescent="0.2">
      <c r="A187">
        <v>185</v>
      </c>
      <c r="B187" s="6">
        <v>44069.708333333336</v>
      </c>
      <c r="C187" s="1" t="s">
        <v>42</v>
      </c>
      <c r="D187">
        <v>1055</v>
      </c>
      <c r="E187">
        <v>69</v>
      </c>
      <c r="F187">
        <v>1124</v>
      </c>
      <c r="G187">
        <v>19629</v>
      </c>
      <c r="H187">
        <v>20753</v>
      </c>
      <c r="I187">
        <v>1039</v>
      </c>
      <c r="J187">
        <v>1367</v>
      </c>
      <c r="K187">
        <v>206329</v>
      </c>
      <c r="L187">
        <v>35458</v>
      </c>
      <c r="M187">
        <v>227723</v>
      </c>
      <c r="N187">
        <v>34817</v>
      </c>
      <c r="O187">
        <v>262540</v>
      </c>
      <c r="P187">
        <v>8219421</v>
      </c>
      <c r="Q187">
        <v>4877178</v>
      </c>
      <c r="R187" s="1" t="s">
        <v>82</v>
      </c>
      <c r="S187" s="1">
        <f t="shared" si="18"/>
        <v>0</v>
      </c>
      <c r="T187" s="1">
        <f t="shared" si="19"/>
        <v>3</v>
      </c>
      <c r="U187">
        <f t="shared" si="20"/>
        <v>13</v>
      </c>
      <c r="V187">
        <f t="shared" si="21"/>
        <v>314</v>
      </c>
      <c r="W187" s="8">
        <f t="shared" si="17"/>
        <v>5.2703662371918369E-2</v>
      </c>
      <c r="X187" s="1">
        <f>IF(Q187=0,(nazione[[#This Row],[nuovi_attualmente_positivi]]/nazione[[#This Row],[test_per_giorno]])*100,(nazione[[#This Row],[nuovi_attualmente_positivi]]/nazione[[#This Row],[test_per_giorno]])*100)</f>
        <v>2.3547042408791814</v>
      </c>
      <c r="Y187">
        <f>IF(nazione[[#This Row],[casi_testati]]=0,nazione[[#This Row],[tamponi]]-P186,IF(Q186=0,nazione[[#This Row],[casi_testati]]-Y186,nazione[[#This Row],[casi_testati]]-Q186))</f>
        <v>58054</v>
      </c>
      <c r="Z187" s="4">
        <f>IF(Q187=0,(nazione[[#This Row],[test_per_giorno]]/AG$3)*100,(nazione[[#This Row],[test_per_giorno]]/AG$3)*100)</f>
        <v>9.6363761097481224E-2</v>
      </c>
      <c r="AA187" s="4">
        <f>(nazione[[#This Row],[ricoverati_con_sintomi]]/nazione[[#This Row],[totale_attualmente_positivi]])*100</f>
        <v>5.0836023707415796</v>
      </c>
      <c r="AB187" s="4">
        <f>(nazione[[#This Row],[terapia_intensiva]]/nazione[[#This Row],[totale_attualmente_positivi]])*100</f>
        <v>0.33248205078783793</v>
      </c>
      <c r="AC187" s="4">
        <f>((nazione[[#This Row],[totale_attualmente_positivi]]-(nazione[[#This Row],[totale_ospedalizzati]]))/nazione[[#This Row],[totale_attualmente_positivi]])*100</f>
        <v>94.583915578470581</v>
      </c>
      <c r="AD187" s="8">
        <f>(nazione[[#This Row],[Deceaded by day]]/nazione[[#This Row],[totale_attualmente_positivi]])*100</f>
        <v>6.2641545800607143E-2</v>
      </c>
      <c r="AE187" s="8">
        <f>(nazione[[#This Row],[Deceaded by day]]/morti_per_regione!D$2) *100</f>
        <v>2.0532810641681921E-3</v>
      </c>
    </row>
    <row r="188" spans="1:31" x14ac:dyDescent="0.2">
      <c r="A188">
        <v>186</v>
      </c>
      <c r="B188" s="6">
        <v>44070.708333333336</v>
      </c>
      <c r="C188" s="1" t="s">
        <v>42</v>
      </c>
      <c r="D188">
        <v>1131</v>
      </c>
      <c r="E188">
        <v>67</v>
      </c>
      <c r="F188">
        <v>1198</v>
      </c>
      <c r="G188">
        <v>20734</v>
      </c>
      <c r="H188">
        <v>21932</v>
      </c>
      <c r="I188">
        <v>1179</v>
      </c>
      <c r="J188">
        <v>1411</v>
      </c>
      <c r="K188">
        <v>206554</v>
      </c>
      <c r="L188">
        <v>35463</v>
      </c>
      <c r="M188">
        <v>228123</v>
      </c>
      <c r="N188">
        <v>35826</v>
      </c>
      <c r="O188">
        <v>263949</v>
      </c>
      <c r="P188">
        <v>8313445</v>
      </c>
      <c r="Q188">
        <v>4934818</v>
      </c>
      <c r="R188" s="1" t="s">
        <v>82</v>
      </c>
      <c r="S188" s="1">
        <f t="shared" si="18"/>
        <v>74</v>
      </c>
      <c r="T188" s="1">
        <f t="shared" si="19"/>
        <v>-2</v>
      </c>
      <c r="U188">
        <f t="shared" si="20"/>
        <v>5</v>
      </c>
      <c r="V188">
        <f t="shared" si="21"/>
        <v>225</v>
      </c>
      <c r="W188" s="8">
        <f t="shared" si="17"/>
        <v>5.6811063460704414E-2</v>
      </c>
      <c r="X188" s="1">
        <f>IF(Q188=0,(nazione[[#This Row],[nuovi_attualmente_positivi]]/nazione[[#This Row],[test_per_giorno]])*100,(nazione[[#This Row],[nuovi_attualmente_positivi]]/nazione[[#This Row],[test_per_giorno]])*100)</f>
        <v>2.4479528105482302</v>
      </c>
      <c r="Y188">
        <f>IF(nazione[[#This Row],[casi_testati]]=0,nazione[[#This Row],[tamponi]]-P187,IF(Q187=0,nazione[[#This Row],[casi_testati]]-Y187,nazione[[#This Row],[casi_testati]]-Q187))</f>
        <v>57640</v>
      </c>
      <c r="Z188" s="4">
        <f>IF(Q188=0,(nazione[[#This Row],[test_per_giorno]]/AG$3)*100,(nazione[[#This Row],[test_per_giorno]]/AG$3)*100)</f>
        <v>9.5676563021649119E-2</v>
      </c>
      <c r="AA188" s="4">
        <f>(nazione[[#This Row],[ricoverati_con_sintomi]]/nazione[[#This Row],[totale_attualmente_positivi]])*100</f>
        <v>5.1568484406346888</v>
      </c>
      <c r="AB188" s="4">
        <f>(nazione[[#This Row],[terapia_intensiva]]/nazione[[#This Row],[totale_attualmente_positivi]])*100</f>
        <v>0.3054896954222141</v>
      </c>
      <c r="AC188" s="4">
        <f>((nazione[[#This Row],[totale_attualmente_positivi]]-(nazione[[#This Row],[totale_ospedalizzati]]))/nazione[[#This Row],[totale_attualmente_positivi]])*100</f>
        <v>94.5376618639431</v>
      </c>
      <c r="AD188" s="8">
        <f>(nazione[[#This Row],[Deceaded by day]]/nazione[[#This Row],[totale_attualmente_positivi]])*100</f>
        <v>2.2797738464344339E-2</v>
      </c>
      <c r="AE188" s="8">
        <f>(nazione[[#This Row],[Deceaded by day]]/morti_per_regione!D$2) *100</f>
        <v>7.8972348621853547E-4</v>
      </c>
    </row>
    <row r="189" spans="1:31" x14ac:dyDescent="0.2">
      <c r="A189">
        <v>187</v>
      </c>
      <c r="B189" s="6">
        <v>44071.708333333336</v>
      </c>
      <c r="C189" s="1" t="s">
        <v>42</v>
      </c>
      <c r="D189">
        <v>1178</v>
      </c>
      <c r="E189">
        <v>74</v>
      </c>
      <c r="F189">
        <v>1252</v>
      </c>
      <c r="G189">
        <v>21783</v>
      </c>
      <c r="H189">
        <v>23035</v>
      </c>
      <c r="I189">
        <v>1103</v>
      </c>
      <c r="J189">
        <v>1462</v>
      </c>
      <c r="K189">
        <v>206902</v>
      </c>
      <c r="L189">
        <v>35472</v>
      </c>
      <c r="M189">
        <v>228553</v>
      </c>
      <c r="N189">
        <v>36856</v>
      </c>
      <c r="O189">
        <v>265409</v>
      </c>
      <c r="P189">
        <v>8410510</v>
      </c>
      <c r="Q189">
        <v>4999953</v>
      </c>
      <c r="R189" s="1" t="s">
        <v>82</v>
      </c>
      <c r="S189" s="1">
        <f t="shared" si="18"/>
        <v>54</v>
      </c>
      <c r="T189" s="1">
        <f t="shared" si="19"/>
        <v>7</v>
      </c>
      <c r="U189">
        <f t="shared" si="20"/>
        <v>9</v>
      </c>
      <c r="V189">
        <f t="shared" si="21"/>
        <v>348</v>
      </c>
      <c r="W189" s="8">
        <f t="shared" si="17"/>
        <v>5.0291811052343594E-2</v>
      </c>
      <c r="X189" s="1">
        <f>IF(Q189=0,(nazione[[#This Row],[nuovi_attualmente_positivi]]/nazione[[#This Row],[test_per_giorno]])*100,(nazione[[#This Row],[nuovi_attualmente_positivi]]/nazione[[#This Row],[test_per_giorno]])*100)</f>
        <v>2.2445689721347968</v>
      </c>
      <c r="Y189">
        <f>IF(nazione[[#This Row],[casi_testati]]=0,nazione[[#This Row],[tamponi]]-P188,IF(Q188=0,nazione[[#This Row],[casi_testati]]-Y188,nazione[[#This Row],[casi_testati]]-Q188))</f>
        <v>65135</v>
      </c>
      <c r="Z189" s="4">
        <f>IF(Q189=0,(nazione[[#This Row],[test_per_giorno]]/AG$3)*100,(nazione[[#This Row],[test_per_giorno]]/AG$3)*100)</f>
        <v>0.10811750403218451</v>
      </c>
      <c r="AA189" s="4">
        <f>(nazione[[#This Row],[ricoverati_con_sintomi]]/nazione[[#This Row],[totale_attualmente_positivi]])*100</f>
        <v>5.1139570219231612</v>
      </c>
      <c r="AB189" s="4">
        <f>(nazione[[#This Row],[terapia_intensiva]]/nazione[[#This Row],[totale_attualmente_positivi]])*100</f>
        <v>0.32125027132624268</v>
      </c>
      <c r="AC189" s="4">
        <f>((nazione[[#This Row],[totale_attualmente_positivi]]-(nazione[[#This Row],[totale_ospedalizzati]]))/nazione[[#This Row],[totale_attualmente_positivi]])*100</f>
        <v>94.564792706750595</v>
      </c>
      <c r="AD189" s="8">
        <f>(nazione[[#This Row],[Deceaded by day]]/nazione[[#This Row],[totale_attualmente_positivi]])*100</f>
        <v>3.9070978945083566E-2</v>
      </c>
      <c r="AE189" s="8">
        <f>(nazione[[#This Row],[Deceaded by day]]/morti_per_regione!D$2) *100</f>
        <v>1.4215022751933638E-3</v>
      </c>
    </row>
    <row r="190" spans="1:31" x14ac:dyDescent="0.2">
      <c r="A190">
        <v>188</v>
      </c>
      <c r="B190" s="6">
        <v>44072.708333333336</v>
      </c>
      <c r="C190" s="1" t="s">
        <v>42</v>
      </c>
      <c r="D190">
        <v>1168</v>
      </c>
      <c r="E190">
        <v>79</v>
      </c>
      <c r="F190">
        <v>1247</v>
      </c>
      <c r="G190">
        <v>22909</v>
      </c>
      <c r="H190">
        <v>24156</v>
      </c>
      <c r="I190">
        <v>1121</v>
      </c>
      <c r="J190">
        <v>1444</v>
      </c>
      <c r="K190">
        <v>207224</v>
      </c>
      <c r="L190">
        <v>35473</v>
      </c>
      <c r="M190">
        <v>229002</v>
      </c>
      <c r="N190">
        <v>37851</v>
      </c>
      <c r="O190">
        <v>266853</v>
      </c>
      <c r="P190">
        <v>8509618</v>
      </c>
      <c r="Q190">
        <v>5064247</v>
      </c>
      <c r="R190" s="1" t="s">
        <v>82</v>
      </c>
      <c r="S190" s="1">
        <f t="shared" si="18"/>
        <v>-5</v>
      </c>
      <c r="T190" s="1">
        <f t="shared" si="19"/>
        <v>5</v>
      </c>
      <c r="U190">
        <f t="shared" si="20"/>
        <v>1</v>
      </c>
      <c r="V190">
        <f t="shared" si="21"/>
        <v>322</v>
      </c>
      <c r="W190" s="8">
        <f t="shared" si="17"/>
        <v>4.8665074886042881E-2</v>
      </c>
      <c r="X190" s="1">
        <f>IF(Q190=0,(nazione[[#This Row],[nuovi_attualmente_positivi]]/nazione[[#This Row],[test_per_giorno]])*100,(nazione[[#This Row],[nuovi_attualmente_positivi]]/nazione[[#This Row],[test_per_giorno]])*100)</f>
        <v>2.2459327464460133</v>
      </c>
      <c r="Y190">
        <f>IF(nazione[[#This Row],[casi_testati]]=0,nazione[[#This Row],[tamponi]]-P189,IF(Q189=0,nazione[[#This Row],[casi_testati]]-Y189,nazione[[#This Row],[casi_testati]]-Q189))</f>
        <v>64294</v>
      </c>
      <c r="Z190" s="4">
        <f>IF(Q190=0,(nazione[[#This Row],[test_per_giorno]]/AG$3)*100,(nazione[[#This Row],[test_per_giorno]]/AG$3)*100)</f>
        <v>0.10672152919697966</v>
      </c>
      <c r="AA190" s="4">
        <f>(nazione[[#This Row],[ricoverati_con_sintomi]]/nazione[[#This Row],[totale_attualmente_positivi]])*100</f>
        <v>4.8352376221228681</v>
      </c>
      <c r="AB190" s="4">
        <f>(nazione[[#This Row],[terapia_intensiva]]/nazione[[#This Row],[totale_attualmente_positivi]])*100</f>
        <v>0.32704090081139264</v>
      </c>
      <c r="AC190" s="4">
        <f>((nazione[[#This Row],[totale_attualmente_positivi]]-(nazione[[#This Row],[totale_ospedalizzati]]))/nazione[[#This Row],[totale_attualmente_positivi]])*100</f>
        <v>94.837721477065742</v>
      </c>
      <c r="AD190" s="8">
        <f>(nazione[[#This Row],[Deceaded by day]]/nazione[[#This Row],[totale_attualmente_positivi]])*100</f>
        <v>4.1397582381188939E-3</v>
      </c>
      <c r="AE190" s="8">
        <f>(nazione[[#This Row],[Deceaded by day]]/morti_per_regione!D$2) *100</f>
        <v>1.5794469724370708E-4</v>
      </c>
    </row>
    <row r="191" spans="1:31" x14ac:dyDescent="0.2">
      <c r="A191">
        <v>189</v>
      </c>
      <c r="B191" s="6">
        <v>44073.708333333336</v>
      </c>
      <c r="C191" s="1" t="s">
        <v>42</v>
      </c>
      <c r="D191">
        <v>1251</v>
      </c>
      <c r="E191">
        <v>86</v>
      </c>
      <c r="F191">
        <v>1337</v>
      </c>
      <c r="G191">
        <v>23868</v>
      </c>
      <c r="H191">
        <v>25205</v>
      </c>
      <c r="I191">
        <v>1049</v>
      </c>
      <c r="J191">
        <v>1365</v>
      </c>
      <c r="K191">
        <v>207536</v>
      </c>
      <c r="L191">
        <v>35477</v>
      </c>
      <c r="M191">
        <v>229527</v>
      </c>
      <c r="N191">
        <v>38691</v>
      </c>
      <c r="O191">
        <v>268218</v>
      </c>
      <c r="P191">
        <v>8586341</v>
      </c>
      <c r="Q191">
        <v>5117788</v>
      </c>
      <c r="R191" s="1" t="s">
        <v>82</v>
      </c>
      <c r="S191" s="1">
        <f t="shared" si="18"/>
        <v>90</v>
      </c>
      <c r="T191" s="1">
        <f t="shared" si="19"/>
        <v>7</v>
      </c>
      <c r="U191">
        <f t="shared" si="20"/>
        <v>4</v>
      </c>
      <c r="V191">
        <f t="shared" si="21"/>
        <v>312</v>
      </c>
      <c r="W191" s="8">
        <f t="shared" si="17"/>
        <v>4.3426063917867186E-2</v>
      </c>
      <c r="X191" s="1">
        <f>IF(Q191=0,(nazione[[#This Row],[nuovi_attualmente_positivi]]/nazione[[#This Row],[test_per_giorno]])*100,(nazione[[#This Row],[nuovi_attualmente_positivi]]/nazione[[#This Row],[test_per_giorno]])*100)</f>
        <v>2.5494480865131393</v>
      </c>
      <c r="Y191">
        <f>IF(nazione[[#This Row],[casi_testati]]=0,nazione[[#This Row],[tamponi]]-P190,IF(Q190=0,nazione[[#This Row],[casi_testati]]-Y190,nazione[[#This Row],[casi_testati]]-Q190))</f>
        <v>53541</v>
      </c>
      <c r="Z191" s="4">
        <f>IF(Q191=0,(nazione[[#This Row],[test_per_giorno]]/AG$3)*100,(nazione[[#This Row],[test_per_giorno]]/AG$3)*100)</f>
        <v>8.8872638111417684E-2</v>
      </c>
      <c r="AA191" s="4">
        <f>(nazione[[#This Row],[ricoverati_con_sintomi]]/nazione[[#This Row],[totale_attualmente_positivi]])*100</f>
        <v>4.9633009323546915</v>
      </c>
      <c r="AB191" s="4">
        <f>(nazione[[#This Row],[terapia_intensiva]]/nazione[[#This Row],[totale_attualmente_positivi]])*100</f>
        <v>0.3412021424320571</v>
      </c>
      <c r="AC191" s="4">
        <f>((nazione[[#This Row],[totale_attualmente_positivi]]-(nazione[[#This Row],[totale_ospedalizzati]]))/nazione[[#This Row],[totale_attualmente_positivi]])*100</f>
        <v>94.695496925213249</v>
      </c>
      <c r="AD191" s="8">
        <f>(nazione[[#This Row],[Deceaded by day]]/nazione[[#This Row],[totale_attualmente_positivi]])*100</f>
        <v>1.5869867089863123E-2</v>
      </c>
      <c r="AE191" s="8">
        <f>(nazione[[#This Row],[Deceaded by day]]/morti_per_regione!D$2) *100</f>
        <v>6.3177878897482834E-4</v>
      </c>
    </row>
    <row r="192" spans="1:31" x14ac:dyDescent="0.2">
      <c r="A192">
        <v>190</v>
      </c>
      <c r="B192" s="6">
        <v>44074.708333333336</v>
      </c>
      <c r="C192" s="1" t="s">
        <v>42</v>
      </c>
      <c r="D192">
        <v>1288</v>
      </c>
      <c r="E192">
        <v>94</v>
      </c>
      <c r="F192">
        <v>1382</v>
      </c>
      <c r="G192">
        <v>24696</v>
      </c>
      <c r="H192">
        <v>26078</v>
      </c>
      <c r="I192">
        <v>873</v>
      </c>
      <c r="J192">
        <v>996</v>
      </c>
      <c r="K192">
        <v>207653</v>
      </c>
      <c r="L192">
        <v>35483</v>
      </c>
      <c r="M192">
        <v>229832</v>
      </c>
      <c r="N192">
        <v>39382</v>
      </c>
      <c r="O192">
        <v>269214</v>
      </c>
      <c r="P192">
        <v>8644859</v>
      </c>
      <c r="Q192">
        <v>5160371</v>
      </c>
      <c r="R192" s="1" t="s">
        <v>82</v>
      </c>
      <c r="S192" s="1">
        <f t="shared" si="18"/>
        <v>45</v>
      </c>
      <c r="T192" s="1">
        <f t="shared" si="19"/>
        <v>8</v>
      </c>
      <c r="U192">
        <f t="shared" si="20"/>
        <v>6</v>
      </c>
      <c r="V192">
        <f t="shared" si="21"/>
        <v>117</v>
      </c>
      <c r="W192" s="8">
        <f t="shared" si="17"/>
        <v>3.4635984923626184E-2</v>
      </c>
      <c r="X192" s="1">
        <f>IF(Q192=0,(nazione[[#This Row],[nuovi_attualmente_positivi]]/nazione[[#This Row],[test_per_giorno]])*100,(nazione[[#This Row],[nuovi_attualmente_positivi]]/nazione[[#This Row],[test_per_giorno]])*100)</f>
        <v>2.338961557429021</v>
      </c>
      <c r="Y192">
        <f>IF(nazione[[#This Row],[casi_testati]]=0,nazione[[#This Row],[tamponi]]-P191,IF(Q191=0,nazione[[#This Row],[casi_testati]]-Y191,nazione[[#This Row],[casi_testati]]-Q191))</f>
        <v>42583</v>
      </c>
      <c r="Z192" s="4">
        <f>IF(Q192=0,(nazione[[#This Row],[test_per_giorno]]/AG$3)*100,(nazione[[#This Row],[test_per_giorno]]/AG$3)*100)</f>
        <v>7.0683467785407419E-2</v>
      </c>
      <c r="AA192" s="4">
        <f>(nazione[[#This Row],[ricoverati_con_sintomi]]/nazione[[#This Row],[totale_attualmente_positivi]])*100</f>
        <v>4.9390290666462153</v>
      </c>
      <c r="AB192" s="4">
        <f>(nazione[[#This Row],[terapia_intensiva]]/nazione[[#This Row],[totale_attualmente_positivi]])*100</f>
        <v>0.36045709026765854</v>
      </c>
      <c r="AC192" s="4">
        <f>((nazione[[#This Row],[totale_attualmente_positivi]]-(nazione[[#This Row],[totale_ospedalizzati]]))/nazione[[#This Row],[totale_attualmente_positivi]])*100</f>
        <v>94.700513843086128</v>
      </c>
      <c r="AD192" s="8">
        <f>(nazione[[#This Row],[Deceaded by day]]/nazione[[#This Row],[totale_attualmente_positivi]])*100</f>
        <v>2.3007899378786716E-2</v>
      </c>
      <c r="AE192" s="8">
        <f>(nazione[[#This Row],[Deceaded by day]]/morti_per_regione!D$2) *100</f>
        <v>9.476681834622425E-4</v>
      </c>
    </row>
    <row r="193" spans="1:31" x14ac:dyDescent="0.2">
      <c r="A193">
        <v>191</v>
      </c>
      <c r="B193" s="6">
        <v>44075.708333333336</v>
      </c>
      <c r="C193" s="1" t="s">
        <v>42</v>
      </c>
      <c r="D193">
        <v>1380</v>
      </c>
      <c r="E193">
        <v>107</v>
      </c>
      <c r="F193">
        <v>1487</v>
      </c>
      <c r="G193">
        <v>25267</v>
      </c>
      <c r="H193">
        <v>26754</v>
      </c>
      <c r="I193">
        <v>676</v>
      </c>
      <c r="J193">
        <v>978</v>
      </c>
      <c r="K193">
        <v>207944</v>
      </c>
      <c r="L193">
        <v>35491</v>
      </c>
      <c r="M193">
        <v>230102</v>
      </c>
      <c r="N193">
        <v>40087</v>
      </c>
      <c r="O193">
        <v>270189</v>
      </c>
      <c r="P193">
        <v>8725909</v>
      </c>
      <c r="Q193">
        <v>5214766</v>
      </c>
      <c r="R193" s="1" t="s">
        <v>82</v>
      </c>
      <c r="S193" s="1">
        <f t="shared" si="18"/>
        <v>105</v>
      </c>
      <c r="T193" s="1">
        <f t="shared" si="19"/>
        <v>13</v>
      </c>
      <c r="U193">
        <f t="shared" si="20"/>
        <v>8</v>
      </c>
      <c r="V193">
        <f t="shared" si="21"/>
        <v>291</v>
      </c>
      <c r="W193" s="8">
        <f t="shared" si="17"/>
        <v>2.5922233300099684E-2</v>
      </c>
      <c r="X193" s="1">
        <f>IF(Q193=0,(nazione[[#This Row],[nuovi_attualmente_positivi]]/nazione[[#This Row],[test_per_giorno]])*100,(nazione[[#This Row],[nuovi_attualmente_positivi]]/nazione[[#This Row],[test_per_giorno]])*100)</f>
        <v>1.7979593712657413</v>
      </c>
      <c r="Y193">
        <f>IF(nazione[[#This Row],[casi_testati]]=0,nazione[[#This Row],[tamponi]]-P192,IF(Q192=0,nazione[[#This Row],[casi_testati]]-Y192,nazione[[#This Row],[casi_testati]]-Q192))</f>
        <v>54395</v>
      </c>
      <c r="Z193" s="4">
        <f>IF(Q193=0,(nazione[[#This Row],[test_per_giorno]]/AG$3)*100,(nazione[[#This Row],[test_per_giorno]]/AG$3)*100)</f>
        <v>9.0290191630163136E-2</v>
      </c>
      <c r="AA193" s="4">
        <f>(nazione[[#This Row],[ricoverati_con_sintomi]]/nazione[[#This Row],[totale_attualmente_positivi]])*100</f>
        <v>5.1581071989235259</v>
      </c>
      <c r="AB193" s="4">
        <f>(nazione[[#This Row],[terapia_intensiva]]/nazione[[#This Row],[totale_attualmente_positivi]])*100</f>
        <v>0.39994019585856322</v>
      </c>
      <c r="AC193" s="4">
        <f>((nazione[[#This Row],[totale_attualmente_positivi]]-(nazione[[#This Row],[totale_ospedalizzati]]))/nazione[[#This Row],[totale_attualmente_positivi]])*100</f>
        <v>94.441952605217921</v>
      </c>
      <c r="AD193" s="8">
        <f>(nazione[[#This Row],[Deceaded by day]]/nazione[[#This Row],[totale_attualmente_positivi]])*100</f>
        <v>2.9902070718397251E-2</v>
      </c>
      <c r="AE193" s="8">
        <f>(nazione[[#This Row],[Deceaded by day]]/morti_per_regione!D$2) *100</f>
        <v>1.2635575779496567E-3</v>
      </c>
    </row>
    <row r="194" spans="1:31" x14ac:dyDescent="0.2">
      <c r="A194">
        <v>192</v>
      </c>
      <c r="B194" s="6">
        <v>44076.708333333336</v>
      </c>
      <c r="C194" s="1" t="s">
        <v>42</v>
      </c>
      <c r="D194">
        <v>1437</v>
      </c>
      <c r="E194">
        <v>109</v>
      </c>
      <c r="F194">
        <v>1546</v>
      </c>
      <c r="G194">
        <v>26271</v>
      </c>
      <c r="H194">
        <v>27817</v>
      </c>
      <c r="I194">
        <v>1063</v>
      </c>
      <c r="J194">
        <v>1326</v>
      </c>
      <c r="K194">
        <v>208201</v>
      </c>
      <c r="L194">
        <v>35497</v>
      </c>
      <c r="M194">
        <v>230504</v>
      </c>
      <c r="N194">
        <v>41011</v>
      </c>
      <c r="O194">
        <v>271515</v>
      </c>
      <c r="P194">
        <v>8828868</v>
      </c>
      <c r="Q194">
        <v>5280948</v>
      </c>
      <c r="R194" s="1" t="s">
        <v>82</v>
      </c>
      <c r="S194" s="1">
        <f t="shared" si="18"/>
        <v>59</v>
      </c>
      <c r="T194" s="1">
        <f t="shared" si="19"/>
        <v>2</v>
      </c>
      <c r="U194">
        <f t="shared" si="20"/>
        <v>6</v>
      </c>
      <c r="V194">
        <f t="shared" si="21"/>
        <v>257</v>
      </c>
      <c r="W194" s="8">
        <f t="shared" si="17"/>
        <v>3.9732376467070285E-2</v>
      </c>
      <c r="X194" s="1">
        <f>IF(Q194=0,(nazione[[#This Row],[nuovi_attualmente_positivi]]/nazione[[#This Row],[test_per_giorno]])*100,(nazione[[#This Row],[nuovi_attualmente_positivi]]/nazione[[#This Row],[test_per_giorno]])*100)</f>
        <v>2.0035659242694388</v>
      </c>
      <c r="Y194">
        <f>IF(nazione[[#This Row],[casi_testati]]=0,nazione[[#This Row],[tamponi]]-P193,IF(Q193=0,nazione[[#This Row],[casi_testati]]-Y193,nazione[[#This Row],[casi_testati]]-Q193))</f>
        <v>66182</v>
      </c>
      <c r="Z194" s="4">
        <f>IF(Q194=0,(nazione[[#This Row],[test_per_giorno]]/AG$3)*100,(nazione[[#This Row],[test_per_giorno]]/AG$3)*100)</f>
        <v>0.1098554180065715</v>
      </c>
      <c r="AA194" s="4">
        <f>(nazione[[#This Row],[ricoverati_con_sintomi]]/nazione[[#This Row],[totale_attualmente_positivi]])*100</f>
        <v>5.1659057410935763</v>
      </c>
      <c r="AB194" s="4">
        <f>(nazione[[#This Row],[terapia_intensiva]]/nazione[[#This Row],[totale_attualmente_positivi]])*100</f>
        <v>0.3918467124420319</v>
      </c>
      <c r="AC194" s="4">
        <f>((nazione[[#This Row],[totale_attualmente_positivi]]-(nazione[[#This Row],[totale_ospedalizzati]]))/nazione[[#This Row],[totale_attualmente_positivi]])*100</f>
        <v>94.442247546464401</v>
      </c>
      <c r="AD194" s="8">
        <f>(nazione[[#This Row],[Deceaded by day]]/nazione[[#This Row],[totale_attualmente_positivi]])*100</f>
        <v>2.1569543804148543E-2</v>
      </c>
      <c r="AE194" s="8">
        <f>(nazione[[#This Row],[Deceaded by day]]/morti_per_regione!D$2) *100</f>
        <v>9.476681834622425E-4</v>
      </c>
    </row>
    <row r="195" spans="1:31" x14ac:dyDescent="0.2">
      <c r="A195">
        <v>193</v>
      </c>
      <c r="B195" s="6">
        <v>44077.708333333336</v>
      </c>
      <c r="C195" s="1" t="s">
        <v>42</v>
      </c>
      <c r="D195">
        <v>1505</v>
      </c>
      <c r="E195">
        <v>120</v>
      </c>
      <c r="F195">
        <v>1625</v>
      </c>
      <c r="G195">
        <v>27290</v>
      </c>
      <c r="H195">
        <v>28915</v>
      </c>
      <c r="I195">
        <v>1098</v>
      </c>
      <c r="J195">
        <v>1397</v>
      </c>
      <c r="K195">
        <v>208490</v>
      </c>
      <c r="L195">
        <v>35507</v>
      </c>
      <c r="M195">
        <v>230950</v>
      </c>
      <c r="N195">
        <v>41962</v>
      </c>
      <c r="O195">
        <v>272912</v>
      </c>
      <c r="P195">
        <v>8921658</v>
      </c>
      <c r="Q195">
        <v>5342150</v>
      </c>
      <c r="R195" s="1" t="s">
        <v>82</v>
      </c>
      <c r="S195" s="1">
        <f t="shared" si="18"/>
        <v>79</v>
      </c>
      <c r="T195" s="1">
        <f t="shared" si="19"/>
        <v>11</v>
      </c>
      <c r="U195">
        <f t="shared" si="20"/>
        <v>10</v>
      </c>
      <c r="V195">
        <f t="shared" si="21"/>
        <v>289</v>
      </c>
      <c r="W195" s="8">
        <f t="shared" ref="W195:W237" si="22">(H195/H194)-1</f>
        <v>3.9472265161591746E-2</v>
      </c>
      <c r="X195" s="1">
        <f>IF(Q195=0,(nazione[[#This Row],[nuovi_attualmente_positivi]]/nazione[[#This Row],[test_per_giorno]])*100,(nazione[[#This Row],[nuovi_attualmente_positivi]]/nazione[[#This Row],[test_per_giorno]])*100)</f>
        <v>2.2826051436227575</v>
      </c>
      <c r="Y195">
        <f>IF(nazione[[#This Row],[casi_testati]]=0,nazione[[#This Row],[tamponi]]-P194,IF(Q194=0,nazione[[#This Row],[casi_testati]]-Y194,nazione[[#This Row],[casi_testati]]-Q194))</f>
        <v>61202</v>
      </c>
      <c r="Z195" s="4">
        <f>IF(Q195=0,(nazione[[#This Row],[test_per_giorno]]/AG$3)*100,(nazione[[#This Row],[test_per_giorno]]/AG$3)*100)</f>
        <v>0.10158912231177947</v>
      </c>
      <c r="AA195" s="4">
        <f>(nazione[[#This Row],[ricoverati_con_sintomi]]/nazione[[#This Row],[totale_attualmente_positivi]])*100</f>
        <v>5.2049109458758434</v>
      </c>
      <c r="AB195" s="4">
        <f>(nazione[[#This Row],[terapia_intensiva]]/nazione[[#This Row],[totale_attualmente_positivi]])*100</f>
        <v>0.41500951063461872</v>
      </c>
      <c r="AC195" s="4">
        <f>((nazione[[#This Row],[totale_attualmente_positivi]]-(nazione[[#This Row],[totale_ospedalizzati]]))/nazione[[#This Row],[totale_attualmente_positivi]])*100</f>
        <v>94.380079543489543</v>
      </c>
      <c r="AD195" s="8">
        <f>(nazione[[#This Row],[Deceaded by day]]/nazione[[#This Row],[totale_attualmente_positivi]])*100</f>
        <v>3.4584125886218231E-2</v>
      </c>
      <c r="AE195" s="8">
        <f>(nazione[[#This Row],[Deceaded by day]]/morti_per_regione!D$2) *100</f>
        <v>1.5794469724370709E-3</v>
      </c>
    </row>
    <row r="196" spans="1:31" x14ac:dyDescent="0.2">
      <c r="A196">
        <v>194</v>
      </c>
      <c r="B196" s="6">
        <v>44078.708333333336</v>
      </c>
      <c r="C196" s="1" t="s">
        <v>42</v>
      </c>
      <c r="D196">
        <v>1607</v>
      </c>
      <c r="E196">
        <v>121</v>
      </c>
      <c r="F196">
        <v>1728</v>
      </c>
      <c r="G196">
        <v>28371</v>
      </c>
      <c r="H196">
        <v>30099</v>
      </c>
      <c r="I196">
        <v>1184</v>
      </c>
      <c r="J196">
        <v>1733</v>
      </c>
      <c r="K196">
        <v>209027</v>
      </c>
      <c r="L196">
        <v>35518</v>
      </c>
      <c r="M196">
        <v>231587</v>
      </c>
      <c r="N196">
        <v>43057</v>
      </c>
      <c r="O196">
        <v>274644</v>
      </c>
      <c r="P196">
        <v>9034743</v>
      </c>
      <c r="Q196">
        <v>5414708</v>
      </c>
      <c r="R196" s="1" t="s">
        <v>82</v>
      </c>
      <c r="S196" s="1">
        <f t="shared" si="18"/>
        <v>103</v>
      </c>
      <c r="T196" s="1">
        <f t="shared" si="19"/>
        <v>1</v>
      </c>
      <c r="U196">
        <f t="shared" si="20"/>
        <v>11</v>
      </c>
      <c r="V196">
        <f t="shared" si="21"/>
        <v>537</v>
      </c>
      <c r="W196" s="8">
        <f t="shared" si="22"/>
        <v>4.0947605049282298E-2</v>
      </c>
      <c r="X196" s="1">
        <f>IF(Q196=0,(nazione[[#This Row],[nuovi_attualmente_positivi]]/nazione[[#This Row],[test_per_giorno]])*100,(nazione[[#This Row],[nuovi_attualmente_positivi]]/nazione[[#This Row],[test_per_giorno]])*100)</f>
        <v>2.3884340803219493</v>
      </c>
      <c r="Y196">
        <f>IF(nazione[[#This Row],[casi_testati]]=0,nazione[[#This Row],[tamponi]]-P195,IF(Q195=0,nazione[[#This Row],[casi_testati]]-Y195,nazione[[#This Row],[casi_testati]]-Q195))</f>
        <v>72558</v>
      </c>
      <c r="Z196" s="4">
        <f>IF(Q196=0,(nazione[[#This Row],[test_per_giorno]]/AG$3)*100,(nazione[[#This Row],[test_per_giorno]]/AG$3)*100)</f>
        <v>0.12043893233387953</v>
      </c>
      <c r="AA196" s="4">
        <f>(nazione[[#This Row],[ricoverati_con_sintomi]]/nazione[[#This Row],[totale_attualmente_positivi]])*100</f>
        <v>5.3390478088973055</v>
      </c>
      <c r="AB196" s="4">
        <f>(nazione[[#This Row],[terapia_intensiva]]/nazione[[#This Row],[totale_attualmente_positivi]])*100</f>
        <v>0.40200671118641818</v>
      </c>
      <c r="AC196" s="4">
        <f>((nazione[[#This Row],[totale_attualmente_positivi]]-(nazione[[#This Row],[totale_ospedalizzati]]))/nazione[[#This Row],[totale_attualmente_positivi]])*100</f>
        <v>94.258945479916278</v>
      </c>
      <c r="AD196" s="8">
        <f>(nazione[[#This Row],[Deceaded by day]]/nazione[[#This Row],[totale_attualmente_positivi]])*100</f>
        <v>3.6546064653310742E-2</v>
      </c>
      <c r="AE196" s="8">
        <f>(nazione[[#This Row],[Deceaded by day]]/morti_per_regione!D$2) *100</f>
        <v>1.7373916696807779E-3</v>
      </c>
    </row>
    <row r="197" spans="1:31" x14ac:dyDescent="0.2">
      <c r="A197">
        <v>195</v>
      </c>
      <c r="B197" s="6">
        <v>44079.708333333336</v>
      </c>
      <c r="C197" s="1" t="s">
        <v>42</v>
      </c>
      <c r="D197">
        <v>1620</v>
      </c>
      <c r="E197">
        <v>121</v>
      </c>
      <c r="F197">
        <v>1741</v>
      </c>
      <c r="G197">
        <v>29453</v>
      </c>
      <c r="H197">
        <v>31194</v>
      </c>
      <c r="I197">
        <v>1095</v>
      </c>
      <c r="J197">
        <v>1694</v>
      </c>
      <c r="K197">
        <v>209610</v>
      </c>
      <c r="L197">
        <v>35533</v>
      </c>
      <c r="M197">
        <v>232219</v>
      </c>
      <c r="N197">
        <v>44118</v>
      </c>
      <c r="O197">
        <v>276337</v>
      </c>
      <c r="P197">
        <v>9142401</v>
      </c>
      <c r="Q197">
        <v>5484345</v>
      </c>
      <c r="R197" s="1" t="s">
        <v>82</v>
      </c>
      <c r="S197" s="1">
        <f t="shared" ref="S197:S237" si="23">F197-F196</f>
        <v>13</v>
      </c>
      <c r="T197" s="1">
        <f t="shared" ref="T197:T237" si="24">E197-E196</f>
        <v>0</v>
      </c>
      <c r="U197">
        <f t="shared" si="20"/>
        <v>15</v>
      </c>
      <c r="V197">
        <f t="shared" si="21"/>
        <v>583</v>
      </c>
      <c r="W197" s="8">
        <f t="shared" si="22"/>
        <v>3.6379946177613975E-2</v>
      </c>
      <c r="X197" s="1">
        <f>IF(Q197=0,(nazione[[#This Row],[nuovi_attualmente_positivi]]/nazione[[#This Row],[test_per_giorno]])*100,(nazione[[#This Row],[nuovi_attualmente_positivi]]/nazione[[#This Row],[test_per_giorno]])*100)</f>
        <v>2.4326148455562415</v>
      </c>
      <c r="Y197">
        <f>IF(nazione[[#This Row],[casi_testati]]=0,nazione[[#This Row],[tamponi]]-P196,IF(Q196=0,nazione[[#This Row],[casi_testati]]-Y196,nazione[[#This Row],[casi_testati]]-Q196))</f>
        <v>69637</v>
      </c>
      <c r="Z197" s="4">
        <f>IF(Q197=0,(nazione[[#This Row],[test_per_giorno]]/AG$3)*100,(nazione[[#This Row],[test_per_giorno]]/AG$3)*100)</f>
        <v>0.1155903681321752</v>
      </c>
      <c r="AA197" s="4">
        <f>(nazione[[#This Row],[ricoverati_con_sintomi]]/nazione[[#This Row],[totale_attualmente_positivi]])*100</f>
        <v>5.193306405077899</v>
      </c>
      <c r="AB197" s="4">
        <f>(nazione[[#This Row],[terapia_intensiva]]/nazione[[#This Row],[totale_attualmente_positivi]])*100</f>
        <v>0.38789510803359623</v>
      </c>
      <c r="AC197" s="4">
        <f>((nazione[[#This Row],[totale_attualmente_positivi]]-(nazione[[#This Row],[totale_ospedalizzati]]))/nazione[[#This Row],[totale_attualmente_positivi]])*100</f>
        <v>94.418798486888505</v>
      </c>
      <c r="AD197" s="8">
        <f>(nazione[[#This Row],[Deceaded by day]]/nazione[[#This Row],[totale_attualmente_positivi]])*100</f>
        <v>4.8086170417387962E-2</v>
      </c>
      <c r="AE197" s="8">
        <f>(nazione[[#This Row],[Deceaded by day]]/morti_per_regione!D$2) *100</f>
        <v>2.369170458655606E-3</v>
      </c>
    </row>
    <row r="198" spans="1:31" x14ac:dyDescent="0.2">
      <c r="A198">
        <v>196</v>
      </c>
      <c r="B198" s="6">
        <v>44080.708333333336</v>
      </c>
      <c r="C198" s="1" t="s">
        <v>42</v>
      </c>
      <c r="D198">
        <v>1683</v>
      </c>
      <c r="E198">
        <v>133</v>
      </c>
      <c r="F198">
        <v>1816</v>
      </c>
      <c r="G198">
        <v>30262</v>
      </c>
      <c r="H198">
        <v>32078</v>
      </c>
      <c r="I198">
        <v>884</v>
      </c>
      <c r="J198">
        <v>1297</v>
      </c>
      <c r="K198">
        <v>210015</v>
      </c>
      <c r="L198">
        <v>35541</v>
      </c>
      <c r="M198">
        <v>232733</v>
      </c>
      <c r="N198">
        <v>44901</v>
      </c>
      <c r="O198">
        <v>277634</v>
      </c>
      <c r="P198">
        <v>9219257</v>
      </c>
      <c r="Q198">
        <v>5538028</v>
      </c>
      <c r="R198" s="1" t="s">
        <v>82</v>
      </c>
      <c r="S198" s="1">
        <f t="shared" si="23"/>
        <v>75</v>
      </c>
      <c r="T198" s="1">
        <f t="shared" si="24"/>
        <v>12</v>
      </c>
      <c r="U198">
        <f t="shared" si="20"/>
        <v>8</v>
      </c>
      <c r="V198">
        <f t="shared" si="21"/>
        <v>405</v>
      </c>
      <c r="W198" s="8">
        <f t="shared" si="22"/>
        <v>2.8338783099314035E-2</v>
      </c>
      <c r="X198" s="1">
        <f>IF(Q198=0,(nazione[[#This Row],[nuovi_attualmente_positivi]]/nazione[[#This Row],[test_per_giorno]])*100,(nazione[[#This Row],[nuovi_attualmente_positivi]]/nazione[[#This Row],[test_per_giorno]])*100)</f>
        <v>2.4160348713745505</v>
      </c>
      <c r="Y198">
        <f>IF(nazione[[#This Row],[casi_testati]]=0,nazione[[#This Row],[tamponi]]-P197,IF(Q197=0,nazione[[#This Row],[casi_testati]]-Y197,nazione[[#This Row],[casi_testati]]-Q197))</f>
        <v>53683</v>
      </c>
      <c r="Z198" s="4">
        <f>IF(Q198=0,(nazione[[#This Row],[test_per_giorno]]/AG$3)*100,(nazione[[#This Row],[test_per_giorno]]/AG$3)*100)</f>
        <v>8.9108343731630624E-2</v>
      </c>
      <c r="AA198" s="4">
        <f>(nazione[[#This Row],[ricoverati_con_sintomi]]/nazione[[#This Row],[totale_attualmente_positivi]])*100</f>
        <v>5.2465864455389983</v>
      </c>
      <c r="AB198" s="4">
        <f>(nazione[[#This Row],[terapia_intensiva]]/nazione[[#This Row],[totale_attualmente_positivi]])*100</f>
        <v>0.41461437745495355</v>
      </c>
      <c r="AC198" s="4">
        <f>((nazione[[#This Row],[totale_attualmente_positivi]]-(nazione[[#This Row],[totale_ospedalizzati]]))/nazione[[#This Row],[totale_attualmente_positivi]])*100</f>
        <v>94.338799177006052</v>
      </c>
      <c r="AD198" s="8">
        <f>(nazione[[#This Row],[Deceaded by day]]/nazione[[#This Row],[totale_attualmente_positivi]])*100</f>
        <v>2.4939210673982172E-2</v>
      </c>
      <c r="AE198" s="8">
        <f>(nazione[[#This Row],[Deceaded by day]]/morti_per_regione!D$2) *100</f>
        <v>1.2635575779496567E-3</v>
      </c>
    </row>
    <row r="199" spans="1:31" x14ac:dyDescent="0.2">
      <c r="A199">
        <v>197</v>
      </c>
      <c r="B199" s="6">
        <v>44081.708333333336</v>
      </c>
      <c r="C199" s="1" t="s">
        <v>42</v>
      </c>
      <c r="D199">
        <v>1719</v>
      </c>
      <c r="E199">
        <v>142</v>
      </c>
      <c r="F199">
        <v>1861</v>
      </c>
      <c r="G199">
        <v>31132</v>
      </c>
      <c r="H199">
        <v>32993</v>
      </c>
      <c r="I199">
        <v>915</v>
      </c>
      <c r="J199">
        <v>1108</v>
      </c>
      <c r="K199">
        <v>210238</v>
      </c>
      <c r="L199">
        <v>35553</v>
      </c>
      <c r="M199">
        <v>233115</v>
      </c>
      <c r="N199">
        <v>45669</v>
      </c>
      <c r="O199">
        <v>278784</v>
      </c>
      <c r="P199">
        <v>9271810</v>
      </c>
      <c r="Q199">
        <v>5578731</v>
      </c>
      <c r="R199" s="1" t="s">
        <v>82</v>
      </c>
      <c r="S199" s="1">
        <f t="shared" si="23"/>
        <v>45</v>
      </c>
      <c r="T199" s="1">
        <f t="shared" si="24"/>
        <v>9</v>
      </c>
      <c r="U199">
        <f t="shared" si="20"/>
        <v>12</v>
      </c>
      <c r="V199">
        <f t="shared" si="21"/>
        <v>223</v>
      </c>
      <c r="W199" s="8">
        <f t="shared" si="22"/>
        <v>2.8524222208367034E-2</v>
      </c>
      <c r="X199" s="1">
        <f>IF(Q199=0,(nazione[[#This Row],[nuovi_attualmente_positivi]]/nazione[[#This Row],[test_per_giorno]])*100,(nazione[[#This Row],[nuovi_attualmente_positivi]]/nazione[[#This Row],[test_per_giorno]])*100)</f>
        <v>2.722158071886593</v>
      </c>
      <c r="Y199">
        <f>IF(nazione[[#This Row],[casi_testati]]=0,nazione[[#This Row],[tamponi]]-P198,IF(Q198=0,nazione[[#This Row],[casi_testati]]-Y198,nazione[[#This Row],[casi_testati]]-Q198))</f>
        <v>40703</v>
      </c>
      <c r="Z199" s="4">
        <f>IF(Q199=0,(nazione[[#This Row],[test_per_giorno]]/AG$3)*100,(nazione[[#This Row],[test_per_giorno]]/AG$3)*100)</f>
        <v>6.7562858165686746E-2</v>
      </c>
      <c r="AA199" s="4">
        <f>(nazione[[#This Row],[ricoverati_con_sintomi]]/nazione[[#This Row],[totale_attualmente_positivi]])*100</f>
        <v>5.2101961022034979</v>
      </c>
      <c r="AB199" s="4">
        <f>(nazione[[#This Row],[terapia_intensiva]]/nazione[[#This Row],[totale_attualmente_positivi]])*100</f>
        <v>0.43039432606916622</v>
      </c>
      <c r="AC199" s="4">
        <f>((nazione[[#This Row],[totale_attualmente_positivi]]-(nazione[[#This Row],[totale_ospedalizzati]]))/nazione[[#This Row],[totale_attualmente_positivi]])*100</f>
        <v>94.35940957172734</v>
      </c>
      <c r="AD199" s="8">
        <f>(nazione[[#This Row],[Deceaded by day]]/nazione[[#This Row],[totale_attualmente_positivi]])*100</f>
        <v>3.6371351498802773E-2</v>
      </c>
      <c r="AE199" s="8">
        <f>(nazione[[#This Row],[Deceaded by day]]/morti_per_regione!D$2) *100</f>
        <v>1.895336366924485E-3</v>
      </c>
    </row>
    <row r="200" spans="1:31" x14ac:dyDescent="0.2">
      <c r="A200">
        <v>198</v>
      </c>
      <c r="B200" s="6">
        <v>44082.708333333336</v>
      </c>
      <c r="C200" s="1" t="s">
        <v>42</v>
      </c>
      <c r="D200">
        <v>1760</v>
      </c>
      <c r="E200">
        <v>143</v>
      </c>
      <c r="F200">
        <v>1903</v>
      </c>
      <c r="G200">
        <v>31886</v>
      </c>
      <c r="H200">
        <v>33789</v>
      </c>
      <c r="I200">
        <v>796</v>
      </c>
      <c r="J200">
        <v>1370</v>
      </c>
      <c r="K200">
        <v>210801</v>
      </c>
      <c r="L200">
        <v>35563</v>
      </c>
      <c r="M200">
        <v>233555</v>
      </c>
      <c r="N200">
        <v>46598</v>
      </c>
      <c r="O200">
        <v>280153</v>
      </c>
      <c r="P200">
        <v>9364213</v>
      </c>
      <c r="Q200">
        <v>5636663</v>
      </c>
      <c r="R200" s="1" t="s">
        <v>82</v>
      </c>
      <c r="S200" s="1">
        <f t="shared" si="23"/>
        <v>42</v>
      </c>
      <c r="T200" s="1">
        <f t="shared" si="24"/>
        <v>1</v>
      </c>
      <c r="U200">
        <f t="shared" si="20"/>
        <v>10</v>
      </c>
      <c r="V200">
        <f t="shared" si="21"/>
        <v>563</v>
      </c>
      <c r="W200" s="8">
        <f t="shared" si="22"/>
        <v>2.412632982753915E-2</v>
      </c>
      <c r="X200" s="1">
        <f>IF(Q200=0,(nazione[[#This Row],[nuovi_attualmente_positivi]]/nazione[[#This Row],[test_per_giorno]])*100,(nazione[[#This Row],[nuovi_attualmente_positivi]]/nazione[[#This Row],[test_per_giorno]])*100)</f>
        <v>2.3648415383553134</v>
      </c>
      <c r="Y200">
        <f>IF(nazione[[#This Row],[casi_testati]]=0,nazione[[#This Row],[tamponi]]-P199,IF(Q199=0,nazione[[#This Row],[casi_testati]]-Y199,nazione[[#This Row],[casi_testati]]-Q199))</f>
        <v>57932</v>
      </c>
      <c r="Z200" s="4">
        <f>IF(Q200=0,(nazione[[#This Row],[test_per_giorno]]/AG$3)*100,(nazione[[#This Row],[test_per_giorno]]/AG$3)*100)</f>
        <v>9.6161253451946163E-2</v>
      </c>
      <c r="AA200" s="4">
        <f>(nazione[[#This Row],[ricoverati_con_sintomi]]/nazione[[#This Row],[totale_attualmente_positivi]])*100</f>
        <v>5.2087957619343577</v>
      </c>
      <c r="AB200" s="4">
        <f>(nazione[[#This Row],[terapia_intensiva]]/nazione[[#This Row],[totale_attualmente_positivi]])*100</f>
        <v>0.42321465565716654</v>
      </c>
      <c r="AC200" s="4">
        <f>((nazione[[#This Row],[totale_attualmente_positivi]]-(nazione[[#This Row],[totale_ospedalizzati]]))/nazione[[#This Row],[totale_attualmente_positivi]])*100</f>
        <v>94.36798958240847</v>
      </c>
      <c r="AD200" s="8">
        <f>(nazione[[#This Row],[Deceaded by day]]/nazione[[#This Row],[totale_attualmente_positivi]])*100</f>
        <v>2.9595430465536122E-2</v>
      </c>
      <c r="AE200" s="8">
        <f>(nazione[[#This Row],[Deceaded by day]]/morti_per_regione!D$2) *100</f>
        <v>1.5794469724370709E-3</v>
      </c>
    </row>
    <row r="201" spans="1:31" x14ac:dyDescent="0.2">
      <c r="A201">
        <v>199</v>
      </c>
      <c r="B201" s="6">
        <v>44083.708333333336</v>
      </c>
      <c r="C201" s="1" t="s">
        <v>42</v>
      </c>
      <c r="D201">
        <v>1778</v>
      </c>
      <c r="E201">
        <v>150</v>
      </c>
      <c r="F201">
        <v>1928</v>
      </c>
      <c r="G201">
        <v>32806</v>
      </c>
      <c r="H201">
        <v>34734</v>
      </c>
      <c r="I201">
        <v>945</v>
      </c>
      <c r="J201">
        <v>1434</v>
      </c>
      <c r="K201">
        <v>211272</v>
      </c>
      <c r="L201">
        <v>35577</v>
      </c>
      <c r="M201">
        <v>234029</v>
      </c>
      <c r="N201">
        <v>47554</v>
      </c>
      <c r="O201">
        <v>281583</v>
      </c>
      <c r="P201">
        <v>9460203</v>
      </c>
      <c r="Q201">
        <v>5699709</v>
      </c>
      <c r="R201" s="1" t="s">
        <v>82</v>
      </c>
      <c r="S201" s="1">
        <f t="shared" si="23"/>
        <v>25</v>
      </c>
      <c r="T201" s="1">
        <f t="shared" si="24"/>
        <v>7</v>
      </c>
      <c r="U201">
        <f t="shared" si="20"/>
        <v>14</v>
      </c>
      <c r="V201">
        <f t="shared" si="21"/>
        <v>471</v>
      </c>
      <c r="W201" s="8">
        <f t="shared" si="22"/>
        <v>2.7967681789931698E-2</v>
      </c>
      <c r="X201" s="1">
        <f>IF(Q201=0,(nazione[[#This Row],[nuovi_attualmente_positivi]]/nazione[[#This Row],[test_per_giorno]])*100,(nazione[[#This Row],[nuovi_attualmente_positivi]]/nazione[[#This Row],[test_per_giorno]])*100)</f>
        <v>2.2745297084668334</v>
      </c>
      <c r="Y201">
        <f>IF(nazione[[#This Row],[casi_testati]]=0,nazione[[#This Row],[tamponi]]-P200,IF(Q200=0,nazione[[#This Row],[casi_testati]]-Y200,nazione[[#This Row],[casi_testati]]-Q200))</f>
        <v>63046</v>
      </c>
      <c r="Z201" s="4">
        <f>IF(Q201=0,(nazione[[#This Row],[test_per_giorno]]/AG$3)*100,(nazione[[#This Row],[test_per_giorno]]/AG$3)*100)</f>
        <v>0.10464997557707999</v>
      </c>
      <c r="AA201" s="4">
        <f>(nazione[[#This Row],[ricoverati_con_sintomi]]/nazione[[#This Row],[totale_attualmente_positivi]])*100</f>
        <v>5.1189036678758564</v>
      </c>
      <c r="AB201" s="4">
        <f>(nazione[[#This Row],[terapia_intensiva]]/nazione[[#This Row],[totale_attualmente_positivi]])*100</f>
        <v>0.4318535152876144</v>
      </c>
      <c r="AC201" s="4">
        <f>((nazione[[#This Row],[totale_attualmente_positivi]]-(nazione[[#This Row],[totale_ospedalizzati]]))/nazione[[#This Row],[totale_attualmente_positivi]])*100</f>
        <v>94.449242816836531</v>
      </c>
      <c r="AD201" s="8">
        <f>(nazione[[#This Row],[Deceaded by day]]/nazione[[#This Row],[totale_attualmente_positivi]])*100</f>
        <v>4.0306328093510681E-2</v>
      </c>
      <c r="AE201" s="8">
        <f>(nazione[[#This Row],[Deceaded by day]]/morti_per_regione!D$2) *100</f>
        <v>2.2112257614118991E-3</v>
      </c>
    </row>
    <row r="202" spans="1:31" x14ac:dyDescent="0.2">
      <c r="A202">
        <v>200</v>
      </c>
      <c r="B202" s="6">
        <v>44084.708333333336</v>
      </c>
      <c r="C202" s="1" t="s">
        <v>42</v>
      </c>
      <c r="D202">
        <v>1836</v>
      </c>
      <c r="E202">
        <v>164</v>
      </c>
      <c r="F202">
        <v>2000</v>
      </c>
      <c r="G202">
        <v>33708</v>
      </c>
      <c r="H202">
        <v>35708</v>
      </c>
      <c r="I202">
        <v>974</v>
      </c>
      <c r="J202">
        <v>1597</v>
      </c>
      <c r="K202">
        <v>211885</v>
      </c>
      <c r="L202">
        <v>35587</v>
      </c>
      <c r="M202">
        <v>234651</v>
      </c>
      <c r="N202">
        <v>48529</v>
      </c>
      <c r="O202">
        <v>283180</v>
      </c>
      <c r="P202">
        <v>9554389</v>
      </c>
      <c r="Q202">
        <v>5757488</v>
      </c>
      <c r="R202" s="1" t="s">
        <v>82</v>
      </c>
      <c r="S202" s="1">
        <f t="shared" si="23"/>
        <v>72</v>
      </c>
      <c r="T202" s="1">
        <f t="shared" si="24"/>
        <v>14</v>
      </c>
      <c r="U202">
        <f t="shared" si="20"/>
        <v>10</v>
      </c>
      <c r="V202">
        <f t="shared" si="21"/>
        <v>613</v>
      </c>
      <c r="W202" s="8">
        <f t="shared" si="22"/>
        <v>2.804168825934239E-2</v>
      </c>
      <c r="X202" s="1">
        <f>IF(Q202=0,(nazione[[#This Row],[nuovi_attualmente_positivi]]/nazione[[#This Row],[test_per_giorno]])*100,(nazione[[#This Row],[nuovi_attualmente_positivi]]/nazione[[#This Row],[test_per_giorno]])*100)</f>
        <v>2.7639799927309228</v>
      </c>
      <c r="Y202">
        <f>IF(nazione[[#This Row],[casi_testati]]=0,nazione[[#This Row],[tamponi]]-P201,IF(Q201=0,nazione[[#This Row],[casi_testati]]-Y201,nazione[[#This Row],[casi_testati]]-Q201))</f>
        <v>57779</v>
      </c>
      <c r="Z202" s="4">
        <f>IF(Q202=0,(nazione[[#This Row],[test_per_giorno]]/AG$3)*100,(nazione[[#This Row],[test_per_giorno]]/AG$3)*100)</f>
        <v>9.5907288945660377E-2</v>
      </c>
      <c r="AA202" s="4">
        <f>(nazione[[#This Row],[ricoverati_con_sintomi]]/nazione[[#This Row],[totale_attualmente_positivi]])*100</f>
        <v>5.1417049400694523</v>
      </c>
      <c r="AB202" s="4">
        <f>(nazione[[#This Row],[terapia_intensiva]]/nazione[[#This Row],[totale_attualmente_positivi]])*100</f>
        <v>0.45928083342668308</v>
      </c>
      <c r="AC202" s="4">
        <f>((nazione[[#This Row],[totale_attualmente_positivi]]-(nazione[[#This Row],[totale_ospedalizzati]]))/nazione[[#This Row],[totale_attualmente_positivi]])*100</f>
        <v>94.399014226503866</v>
      </c>
      <c r="AD202" s="8">
        <f>(nazione[[#This Row],[Deceaded by day]]/nazione[[#This Row],[totale_attualmente_positivi]])*100</f>
        <v>2.8004928867480676E-2</v>
      </c>
      <c r="AE202" s="8">
        <f>(nazione[[#This Row],[Deceaded by day]]/morti_per_regione!D$2) *100</f>
        <v>1.5794469724370709E-3</v>
      </c>
    </row>
    <row r="203" spans="1:31" x14ac:dyDescent="0.2">
      <c r="A203">
        <v>201</v>
      </c>
      <c r="B203" s="6">
        <v>44085.708333333336</v>
      </c>
      <c r="C203" s="1" t="s">
        <v>42</v>
      </c>
      <c r="D203">
        <v>1849</v>
      </c>
      <c r="E203">
        <v>175</v>
      </c>
      <c r="F203">
        <v>2024</v>
      </c>
      <c r="G203">
        <v>34743</v>
      </c>
      <c r="H203">
        <v>36767</v>
      </c>
      <c r="I203">
        <v>1059</v>
      </c>
      <c r="J203">
        <v>1616</v>
      </c>
      <c r="K203">
        <v>212432</v>
      </c>
      <c r="L203">
        <v>35597</v>
      </c>
      <c r="M203">
        <v>235322</v>
      </c>
      <c r="N203">
        <v>49474</v>
      </c>
      <c r="O203">
        <v>284796</v>
      </c>
      <c r="P203">
        <v>9653269</v>
      </c>
      <c r="Q203">
        <v>5818910</v>
      </c>
      <c r="R203" s="1" t="s">
        <v>82</v>
      </c>
      <c r="S203" s="1">
        <f t="shared" si="23"/>
        <v>24</v>
      </c>
      <c r="T203" s="1">
        <f t="shared" si="24"/>
        <v>11</v>
      </c>
      <c r="U203">
        <f t="shared" si="20"/>
        <v>10</v>
      </c>
      <c r="V203">
        <f t="shared" si="21"/>
        <v>547</v>
      </c>
      <c r="W203" s="8">
        <f t="shared" si="22"/>
        <v>2.9657219670661927E-2</v>
      </c>
      <c r="X203" s="1">
        <f>IF(Q203=0,(nazione[[#This Row],[nuovi_attualmente_positivi]]/nazione[[#This Row],[test_per_giorno]])*100,(nazione[[#This Row],[nuovi_attualmente_positivi]]/nazione[[#This Row],[test_per_giorno]])*100)</f>
        <v>2.6309791279997397</v>
      </c>
      <c r="Y203">
        <f>IF(nazione[[#This Row],[casi_testati]]=0,nazione[[#This Row],[tamponi]]-P202,IF(Q202=0,nazione[[#This Row],[casi_testati]]-Y202,nazione[[#This Row],[casi_testati]]-Q202))</f>
        <v>61422</v>
      </c>
      <c r="Z203" s="4">
        <f>IF(Q203=0,(nazione[[#This Row],[test_per_giorno]]/AG$3)*100,(nazione[[#This Row],[test_per_giorno]]/AG$3)*100)</f>
        <v>0.10195430003323615</v>
      </c>
      <c r="AA203" s="4">
        <f>(nazione[[#This Row],[ricoverati_con_sintomi]]/nazione[[#This Row],[totale_attualmente_positivi]])*100</f>
        <v>5.0289661925095874</v>
      </c>
      <c r="AB203" s="4">
        <f>(nazione[[#This Row],[terapia_intensiva]]/nazione[[#This Row],[totale_attualmente_positivi]])*100</f>
        <v>0.47597029945331409</v>
      </c>
      <c r="AC203" s="4">
        <f>((nazione[[#This Row],[totale_attualmente_positivi]]-(nazione[[#This Row],[totale_ospedalizzati]]))/nazione[[#This Row],[totale_attualmente_positivi]])*100</f>
        <v>94.495063508037106</v>
      </c>
      <c r="AD203" s="8">
        <f>(nazione[[#This Row],[Deceaded by day]]/nazione[[#This Row],[totale_attualmente_positivi]])*100</f>
        <v>2.7198302825903665E-2</v>
      </c>
      <c r="AE203" s="8">
        <f>(nazione[[#This Row],[Deceaded by day]]/morti_per_regione!D$2) *100</f>
        <v>1.5794469724370709E-3</v>
      </c>
    </row>
    <row r="204" spans="1:31" x14ac:dyDescent="0.2">
      <c r="A204">
        <v>202</v>
      </c>
      <c r="B204" s="6">
        <v>44086.708333333336</v>
      </c>
      <c r="C204" s="1" t="s">
        <v>42</v>
      </c>
      <c r="D204">
        <v>1951</v>
      </c>
      <c r="E204">
        <v>182</v>
      </c>
      <c r="F204">
        <v>2133</v>
      </c>
      <c r="G204">
        <v>35370</v>
      </c>
      <c r="H204">
        <v>37503</v>
      </c>
      <c r="I204">
        <v>736</v>
      </c>
      <c r="J204">
        <v>1501</v>
      </c>
      <c r="K204">
        <v>213191</v>
      </c>
      <c r="L204">
        <v>35603</v>
      </c>
      <c r="M204">
        <v>235946</v>
      </c>
      <c r="N204">
        <v>50351</v>
      </c>
      <c r="O204">
        <v>286297</v>
      </c>
      <c r="P204">
        <v>9745975</v>
      </c>
      <c r="Q204">
        <v>5875462</v>
      </c>
      <c r="R204" s="1" t="s">
        <v>82</v>
      </c>
      <c r="S204" s="1">
        <f t="shared" si="23"/>
        <v>109</v>
      </c>
      <c r="T204" s="1">
        <f t="shared" si="24"/>
        <v>7</v>
      </c>
      <c r="U204">
        <f t="shared" si="20"/>
        <v>6</v>
      </c>
      <c r="V204">
        <f t="shared" si="21"/>
        <v>759</v>
      </c>
      <c r="W204" s="8">
        <f t="shared" si="22"/>
        <v>2.0017950879865021E-2</v>
      </c>
      <c r="X204" s="1">
        <f>IF(Q204=0,(nazione[[#This Row],[nuovi_attualmente_positivi]]/nazione[[#This Row],[test_per_giorno]])*100,(nazione[[#This Row],[nuovi_attualmente_positivi]]/nazione[[#This Row],[test_per_giorno]])*100)</f>
        <v>2.6541943697835619</v>
      </c>
      <c r="Y204">
        <f>IF(nazione[[#This Row],[casi_testati]]=0,nazione[[#This Row],[tamponi]]-P203,IF(Q203=0,nazione[[#This Row],[casi_testati]]-Y203,nazione[[#This Row],[casi_testati]]-Q203))</f>
        <v>56552</v>
      </c>
      <c r="Z204" s="4">
        <f>IF(Q204=0,(nazione[[#This Row],[test_per_giorno]]/AG$3)*100,(nazione[[#This Row],[test_per_giorno]]/AG$3)*100)</f>
        <v>9.3870593199172458E-2</v>
      </c>
      <c r="AA204" s="4">
        <f>(nazione[[#This Row],[ricoverati_con_sintomi]]/nazione[[#This Row],[totale_attualmente_positivi]])*100</f>
        <v>5.2022504866277366</v>
      </c>
      <c r="AB204" s="4">
        <f>(nazione[[#This Row],[terapia_intensiva]]/nazione[[#This Row],[totale_attualmente_positivi]])*100</f>
        <v>0.48529450977255151</v>
      </c>
      <c r="AC204" s="4">
        <f>((nazione[[#This Row],[totale_attualmente_positivi]]-(nazione[[#This Row],[totale_ospedalizzati]]))/nazione[[#This Row],[totale_attualmente_positivi]])*100</f>
        <v>94.312455003599709</v>
      </c>
      <c r="AD204" s="8">
        <f>(nazione[[#This Row],[Deceaded by day]]/nazione[[#This Row],[totale_attualmente_positivi]])*100</f>
        <v>1.5998720102391808E-2</v>
      </c>
      <c r="AE204" s="8">
        <f>(nazione[[#This Row],[Deceaded by day]]/morti_per_regione!D$2) *100</f>
        <v>9.476681834622425E-4</v>
      </c>
    </row>
    <row r="205" spans="1:31" x14ac:dyDescent="0.2">
      <c r="A205">
        <v>203</v>
      </c>
      <c r="B205" s="6">
        <v>44087.708333333336</v>
      </c>
      <c r="C205" s="1" t="s">
        <v>42</v>
      </c>
      <c r="D205">
        <v>2042</v>
      </c>
      <c r="E205">
        <v>187</v>
      </c>
      <c r="F205">
        <v>2229</v>
      </c>
      <c r="G205">
        <v>36280</v>
      </c>
      <c r="H205">
        <v>38509</v>
      </c>
      <c r="I205">
        <v>1006</v>
      </c>
      <c r="J205">
        <v>1458</v>
      </c>
      <c r="K205">
        <v>213634</v>
      </c>
      <c r="L205">
        <v>35610</v>
      </c>
      <c r="M205">
        <v>236567</v>
      </c>
      <c r="N205">
        <v>51186</v>
      </c>
      <c r="O205">
        <v>287753</v>
      </c>
      <c r="P205">
        <v>9818118</v>
      </c>
      <c r="Q205">
        <v>5924322</v>
      </c>
      <c r="R205" s="1" t="s">
        <v>82</v>
      </c>
      <c r="S205" s="1">
        <f t="shared" si="23"/>
        <v>96</v>
      </c>
      <c r="T205" s="1">
        <f t="shared" si="24"/>
        <v>5</v>
      </c>
      <c r="U205">
        <f t="shared" si="20"/>
        <v>7</v>
      </c>
      <c r="V205">
        <f t="shared" si="21"/>
        <v>443</v>
      </c>
      <c r="W205" s="8">
        <f t="shared" si="22"/>
        <v>2.682452070501018E-2</v>
      </c>
      <c r="X205" s="1">
        <f>IF(Q205=0,(nazione[[#This Row],[nuovi_attualmente_positivi]]/nazione[[#This Row],[test_per_giorno]])*100,(nazione[[#This Row],[nuovi_attualmente_positivi]]/nazione[[#This Row],[test_per_giorno]])*100)</f>
        <v>2.9840360212853052</v>
      </c>
      <c r="Y205">
        <f>IF(nazione[[#This Row],[casi_testati]]=0,nazione[[#This Row],[tamponi]]-P204,IF(Q204=0,nazione[[#This Row],[casi_testati]]-Y204,nazione[[#This Row],[casi_testati]]-Q204))</f>
        <v>48860</v>
      </c>
      <c r="Z205" s="4">
        <f>IF(Q205=0,(nazione[[#This Row],[test_per_giorno]]/AG$3)*100,(nazione[[#This Row],[test_per_giorno]]/AG$3)*100)</f>
        <v>8.110265213805995E-2</v>
      </c>
      <c r="AA205" s="4">
        <f>(nazione[[#This Row],[ricoverati_con_sintomi]]/nazione[[#This Row],[totale_attualmente_positivi]])*100</f>
        <v>5.3026565218520343</v>
      </c>
      <c r="AB205" s="4">
        <f>(nazione[[#This Row],[terapia_intensiva]]/nazione[[#This Row],[totale_attualmente_positivi]])*100</f>
        <v>0.48560076865148405</v>
      </c>
      <c r="AC205" s="4">
        <f>((nazione[[#This Row],[totale_attualmente_positivi]]-(nazione[[#This Row],[totale_ospedalizzati]]))/nazione[[#This Row],[totale_attualmente_positivi]])*100</f>
        <v>94.211742709496477</v>
      </c>
      <c r="AD205" s="8">
        <f>(nazione[[#This Row],[Deceaded by day]]/nazione[[#This Row],[totale_attualmente_positivi]])*100</f>
        <v>1.8177568880002076E-2</v>
      </c>
      <c r="AE205" s="8">
        <f>(nazione[[#This Row],[Deceaded by day]]/morti_per_regione!D$2) *100</f>
        <v>1.1056128807059495E-3</v>
      </c>
    </row>
    <row r="206" spans="1:31" x14ac:dyDescent="0.2">
      <c r="A206">
        <v>204</v>
      </c>
      <c r="B206" s="6">
        <v>44088.708333333336</v>
      </c>
      <c r="C206" s="1" t="s">
        <v>42</v>
      </c>
      <c r="D206">
        <v>2122</v>
      </c>
      <c r="E206">
        <v>197</v>
      </c>
      <c r="F206">
        <v>2319</v>
      </c>
      <c r="G206">
        <v>36868</v>
      </c>
      <c r="H206">
        <v>39187</v>
      </c>
      <c r="I206">
        <v>678</v>
      </c>
      <c r="J206">
        <v>1008</v>
      </c>
      <c r="K206">
        <v>213950</v>
      </c>
      <c r="L206">
        <v>35624</v>
      </c>
      <c r="M206">
        <v>237003</v>
      </c>
      <c r="N206">
        <v>51758</v>
      </c>
      <c r="O206">
        <v>288761</v>
      </c>
      <c r="P206">
        <v>9863427</v>
      </c>
      <c r="Q206">
        <v>5956171</v>
      </c>
      <c r="R206" s="1" t="s">
        <v>82</v>
      </c>
      <c r="S206" s="1">
        <f t="shared" si="23"/>
        <v>90</v>
      </c>
      <c r="T206" s="1">
        <f t="shared" si="24"/>
        <v>10</v>
      </c>
      <c r="U206">
        <f t="shared" si="20"/>
        <v>14</v>
      </c>
      <c r="V206">
        <f t="shared" si="21"/>
        <v>316</v>
      </c>
      <c r="W206" s="8">
        <f t="shared" si="22"/>
        <v>1.7606273858059129E-2</v>
      </c>
      <c r="X206" s="1">
        <f>IF(Q206=0,(nazione[[#This Row],[nuovi_attualmente_positivi]]/nazione[[#This Row],[test_per_giorno]])*100,(nazione[[#This Row],[nuovi_attualmente_positivi]]/nazione[[#This Row],[test_per_giorno]])*100)</f>
        <v>3.1649345348362585</v>
      </c>
      <c r="Y206">
        <f>IF(nazione[[#This Row],[casi_testati]]=0,nazione[[#This Row],[tamponi]]-P205,IF(Q205=0,nazione[[#This Row],[casi_testati]]-Y205,nazione[[#This Row],[casi_testati]]-Q205))</f>
        <v>31849</v>
      </c>
      <c r="Z206" s="4">
        <f>IF(Q206=0,(nazione[[#This Row],[test_per_giorno]]/AG$3)*100,(nazione[[#This Row],[test_per_giorno]]/AG$3)*100)</f>
        <v>5.2866114775789431E-2</v>
      </c>
      <c r="AA206" s="4">
        <f>(nazione[[#This Row],[ricoverati_con_sintomi]]/nazione[[#This Row],[totale_attualmente_positivi]])*100</f>
        <v>5.4150611172072374</v>
      </c>
      <c r="AB206" s="4">
        <f>(nazione[[#This Row],[terapia_intensiva]]/nazione[[#This Row],[totale_attualmente_positivi]])*100</f>
        <v>0.50271773802536557</v>
      </c>
      <c r="AC206" s="4">
        <f>((nazione[[#This Row],[totale_attualmente_positivi]]-(nazione[[#This Row],[totale_ospedalizzati]]))/nazione[[#This Row],[totale_attualmente_positivi]])*100</f>
        <v>94.082221144767402</v>
      </c>
      <c r="AD206" s="8">
        <f>(nazione[[#This Row],[Deceaded by day]]/nazione[[#This Row],[totale_attualmente_positivi]])*100</f>
        <v>3.5726133666777252E-2</v>
      </c>
      <c r="AE206" s="8">
        <f>(nazione[[#This Row],[Deceaded by day]]/morti_per_regione!D$2) *100</f>
        <v>2.2112257614118991E-3</v>
      </c>
    </row>
    <row r="207" spans="1:31" x14ac:dyDescent="0.2">
      <c r="A207">
        <v>205</v>
      </c>
      <c r="B207" s="6">
        <v>44089.708333333336</v>
      </c>
      <c r="C207" s="1" t="s">
        <v>42</v>
      </c>
      <c r="D207">
        <v>2222</v>
      </c>
      <c r="E207">
        <v>201</v>
      </c>
      <c r="F207">
        <v>2423</v>
      </c>
      <c r="G207">
        <v>37289</v>
      </c>
      <c r="H207">
        <v>39712</v>
      </c>
      <c r="I207">
        <v>525</v>
      </c>
      <c r="J207">
        <v>1229</v>
      </c>
      <c r="K207">
        <v>214645</v>
      </c>
      <c r="L207">
        <v>35633</v>
      </c>
      <c r="M207">
        <v>237475</v>
      </c>
      <c r="N207">
        <v>52515</v>
      </c>
      <c r="O207">
        <v>289990</v>
      </c>
      <c r="P207">
        <v>9943944</v>
      </c>
      <c r="Q207">
        <v>6006675</v>
      </c>
      <c r="R207" s="1" t="s">
        <v>82</v>
      </c>
      <c r="S207" s="1">
        <f t="shared" si="23"/>
        <v>104</v>
      </c>
      <c r="T207" s="1">
        <f t="shared" si="24"/>
        <v>4</v>
      </c>
      <c r="U207">
        <f t="shared" si="20"/>
        <v>9</v>
      </c>
      <c r="V207">
        <f t="shared" si="21"/>
        <v>695</v>
      </c>
      <c r="W207" s="8">
        <f t="shared" si="22"/>
        <v>1.3397300125041367E-2</v>
      </c>
      <c r="X207" s="1">
        <f>IF(Q207=0,(nazione[[#This Row],[nuovi_attualmente_positivi]]/nazione[[#This Row],[test_per_giorno]])*100,(nazione[[#This Row],[nuovi_attualmente_positivi]]/nazione[[#This Row],[test_per_giorno]])*100)</f>
        <v>2.4334706161888167</v>
      </c>
      <c r="Y207">
        <f>IF(nazione[[#This Row],[casi_testati]]=0,nazione[[#This Row],[tamponi]]-P206,IF(Q206=0,nazione[[#This Row],[casi_testati]]-Y206,nazione[[#This Row],[casi_testati]]-Q206))</f>
        <v>50504</v>
      </c>
      <c r="Z207" s="4">
        <f>IF(Q207=0,(nazione[[#This Row],[test_per_giorno]]/AG$3)*100,(nazione[[#This Row],[test_per_giorno]]/AG$3)*100)</f>
        <v>8.3831525656581668E-2</v>
      </c>
      <c r="AA207" s="4">
        <f>(nazione[[#This Row],[ricoverati_con_sintomi]]/nazione[[#This Row],[totale_attualmente_positivi]])*100</f>
        <v>5.5952860596293315</v>
      </c>
      <c r="AB207" s="4">
        <f>(nazione[[#This Row],[terapia_intensiva]]/nazione[[#This Row],[totale_attualmente_positivi]])*100</f>
        <v>0.50614423851732482</v>
      </c>
      <c r="AC207" s="4">
        <f>((nazione[[#This Row],[totale_attualmente_positivi]]-(nazione[[#This Row],[totale_ospedalizzati]]))/nazione[[#This Row],[totale_attualmente_positivi]])*100</f>
        <v>93.898569701853347</v>
      </c>
      <c r="AD207" s="8">
        <f>(nazione[[#This Row],[Deceaded by day]]/nazione[[#This Row],[totale_attualmente_positivi]])*100</f>
        <v>2.266317485898469E-2</v>
      </c>
      <c r="AE207" s="8">
        <f>(nazione[[#This Row],[Deceaded by day]]/morti_per_regione!D$2) *100</f>
        <v>1.4215022751933638E-3</v>
      </c>
    </row>
    <row r="208" spans="1:31" x14ac:dyDescent="0.2">
      <c r="A208">
        <v>206</v>
      </c>
      <c r="B208" s="6">
        <v>44090.708333333336</v>
      </c>
      <c r="C208" s="1" t="s">
        <v>42</v>
      </c>
      <c r="D208">
        <v>2285</v>
      </c>
      <c r="E208">
        <v>207</v>
      </c>
      <c r="F208">
        <v>2492</v>
      </c>
      <c r="G208">
        <v>38040</v>
      </c>
      <c r="H208">
        <v>40532</v>
      </c>
      <c r="I208">
        <v>820</v>
      </c>
      <c r="J208">
        <v>1452</v>
      </c>
      <c r="K208">
        <v>215265</v>
      </c>
      <c r="L208">
        <v>35645</v>
      </c>
      <c r="M208">
        <v>238097</v>
      </c>
      <c r="N208">
        <v>53345</v>
      </c>
      <c r="O208">
        <v>291442</v>
      </c>
      <c r="P208">
        <v>10044551</v>
      </c>
      <c r="Q208">
        <v>6064792</v>
      </c>
      <c r="R208" s="1" t="s">
        <v>82</v>
      </c>
      <c r="S208" s="1">
        <f t="shared" si="23"/>
        <v>69</v>
      </c>
      <c r="T208" s="1">
        <f t="shared" si="24"/>
        <v>6</v>
      </c>
      <c r="U208">
        <f t="shared" si="20"/>
        <v>12</v>
      </c>
      <c r="V208">
        <f t="shared" si="21"/>
        <v>620</v>
      </c>
      <c r="W208" s="8">
        <f t="shared" si="22"/>
        <v>2.0648670427074967E-2</v>
      </c>
      <c r="X208" s="1">
        <f>IF(Q208=0,(nazione[[#This Row],[nuovi_attualmente_positivi]]/nazione[[#This Row],[test_per_giorno]])*100,(nazione[[#This Row],[nuovi_attualmente_positivi]]/nazione[[#This Row],[test_per_giorno]])*100)</f>
        <v>2.4984083830892856</v>
      </c>
      <c r="Y208">
        <f>IF(nazione[[#This Row],[casi_testati]]=0,nazione[[#This Row],[tamponi]]-P207,IF(Q207=0,nazione[[#This Row],[casi_testati]]-Y207,nazione[[#This Row],[casi_testati]]-Q207))</f>
        <v>58117</v>
      </c>
      <c r="Z208" s="4">
        <f>IF(Q208=0,(nazione[[#This Row],[test_per_giorno]]/AG$3)*100,(nazione[[#This Row],[test_per_giorno]]/AG$3)*100)</f>
        <v>9.6468334717716542E-2</v>
      </c>
      <c r="AA208" s="4">
        <f>(nazione[[#This Row],[ricoverati_con_sintomi]]/nazione[[#This Row],[totale_attualmente_positivi]])*100</f>
        <v>5.6375209710845748</v>
      </c>
      <c r="AB208" s="4">
        <f>(nazione[[#This Row],[terapia_intensiva]]/nazione[[#This Row],[totale_attualmente_positivi]])*100</f>
        <v>0.51070758906542979</v>
      </c>
      <c r="AC208" s="4">
        <f>((nazione[[#This Row],[totale_attualmente_positivi]]-(nazione[[#This Row],[totale_ospedalizzati]]))/nazione[[#This Row],[totale_attualmente_positivi]])*100</f>
        <v>93.851771439849998</v>
      </c>
      <c r="AD208" s="8">
        <f>(nazione[[#This Row],[Deceaded by day]]/nazione[[#This Row],[totale_attualmente_positivi]])*100</f>
        <v>2.9606237047271292E-2</v>
      </c>
      <c r="AE208" s="8">
        <f>(nazione[[#This Row],[Deceaded by day]]/morti_per_regione!D$2) *100</f>
        <v>1.895336366924485E-3</v>
      </c>
    </row>
    <row r="209" spans="1:31" x14ac:dyDescent="0.2">
      <c r="A209">
        <v>207</v>
      </c>
      <c r="B209" s="6">
        <v>44091.708333333336</v>
      </c>
      <c r="C209" s="1" t="s">
        <v>42</v>
      </c>
      <c r="D209">
        <v>2348</v>
      </c>
      <c r="E209">
        <v>212</v>
      </c>
      <c r="F209">
        <v>2560</v>
      </c>
      <c r="G209">
        <v>38853</v>
      </c>
      <c r="H209">
        <v>41413</v>
      </c>
      <c r="I209">
        <v>881</v>
      </c>
      <c r="J209">
        <v>1585</v>
      </c>
      <c r="K209">
        <v>215954</v>
      </c>
      <c r="L209">
        <v>35658</v>
      </c>
      <c r="M209">
        <v>238845</v>
      </c>
      <c r="N209">
        <v>54180</v>
      </c>
      <c r="O209">
        <v>293025</v>
      </c>
      <c r="P209">
        <v>10146324</v>
      </c>
      <c r="Q209">
        <v>6127243</v>
      </c>
      <c r="R209" s="1" t="s">
        <v>82</v>
      </c>
      <c r="S209" s="1">
        <f t="shared" si="23"/>
        <v>68</v>
      </c>
      <c r="T209" s="1">
        <f t="shared" si="24"/>
        <v>5</v>
      </c>
      <c r="U209">
        <f t="shared" si="20"/>
        <v>13</v>
      </c>
      <c r="V209">
        <f t="shared" si="21"/>
        <v>689</v>
      </c>
      <c r="W209" s="8">
        <f t="shared" si="22"/>
        <v>2.173591236553829E-2</v>
      </c>
      <c r="X209" s="1">
        <f>IF(Q209=0,(nazione[[#This Row],[nuovi_attualmente_positivi]]/nazione[[#This Row],[test_per_giorno]])*100,(nazione[[#This Row],[nuovi_attualmente_positivi]]/nazione[[#This Row],[test_per_giorno]])*100)</f>
        <v>2.5379897839906485</v>
      </c>
      <c r="Y209">
        <f>IF(nazione[[#This Row],[casi_testati]]=0,nazione[[#This Row],[tamponi]]-P208,IF(Q208=0,nazione[[#This Row],[casi_testati]]-Y208,nazione[[#This Row],[casi_testati]]-Q208))</f>
        <v>62451</v>
      </c>
      <c r="Z209" s="4">
        <f>IF(Q209=0,(nazione[[#This Row],[test_per_giorno]]/AG$3)*100,(nazione[[#This Row],[test_per_giorno]]/AG$3)*100)</f>
        <v>0.10366233583041307</v>
      </c>
      <c r="AA209" s="4">
        <f>(nazione[[#This Row],[ricoverati_con_sintomi]]/nazione[[#This Row],[totale_attualmente_positivi]])*100</f>
        <v>5.6697172385482819</v>
      </c>
      <c r="AB209" s="4">
        <f>(nazione[[#This Row],[terapia_intensiva]]/nazione[[#This Row],[totale_attualmente_positivi]])*100</f>
        <v>0.51191654794388242</v>
      </c>
      <c r="AC209" s="4">
        <f>((nazione[[#This Row],[totale_attualmente_positivi]]-(nazione[[#This Row],[totale_ospedalizzati]]))/nazione[[#This Row],[totale_attualmente_positivi]])*100</f>
        <v>93.818366213507829</v>
      </c>
      <c r="AD209" s="8">
        <f>(nazione[[#This Row],[Deceaded by day]]/nazione[[#This Row],[totale_attualmente_positivi]])*100</f>
        <v>3.1391109072030521E-2</v>
      </c>
      <c r="AE209" s="8">
        <f>(nazione[[#This Row],[Deceaded by day]]/morti_per_regione!D$2) *100</f>
        <v>2.0532810641681921E-3</v>
      </c>
    </row>
    <row r="210" spans="1:31" x14ac:dyDescent="0.2">
      <c r="A210">
        <v>208</v>
      </c>
      <c r="B210" s="6">
        <v>44092.708333333336</v>
      </c>
      <c r="C210" s="1" t="s">
        <v>42</v>
      </c>
      <c r="D210">
        <v>2387</v>
      </c>
      <c r="E210">
        <v>208</v>
      </c>
      <c r="F210">
        <v>2595</v>
      </c>
      <c r="G210">
        <v>39862</v>
      </c>
      <c r="H210">
        <v>42457</v>
      </c>
      <c r="I210">
        <v>1044</v>
      </c>
      <c r="J210">
        <v>1907</v>
      </c>
      <c r="K210">
        <v>216807</v>
      </c>
      <c r="L210">
        <v>35668</v>
      </c>
      <c r="M210">
        <v>239692</v>
      </c>
      <c r="N210">
        <v>55240</v>
      </c>
      <c r="O210">
        <v>294932</v>
      </c>
      <c r="P210">
        <v>10246163</v>
      </c>
      <c r="Q210">
        <v>6187258</v>
      </c>
      <c r="R210" s="1" t="s">
        <v>82</v>
      </c>
      <c r="S210" s="1">
        <f t="shared" si="23"/>
        <v>35</v>
      </c>
      <c r="T210" s="1">
        <f t="shared" si="24"/>
        <v>-4</v>
      </c>
      <c r="U210">
        <f t="shared" si="20"/>
        <v>10</v>
      </c>
      <c r="V210">
        <f t="shared" si="21"/>
        <v>853</v>
      </c>
      <c r="W210" s="8">
        <f t="shared" si="22"/>
        <v>2.5209475285538296E-2</v>
      </c>
      <c r="X210" s="1">
        <f>IF(Q210=0,(nazione[[#This Row],[nuovi_attualmente_positivi]]/nazione[[#This Row],[test_per_giorno]])*100,(nazione[[#This Row],[nuovi_attualmente_positivi]]/nazione[[#This Row],[test_per_giorno]])*100)</f>
        <v>3.177538948596184</v>
      </c>
      <c r="Y210">
        <f>IF(nazione[[#This Row],[casi_testati]]=0,nazione[[#This Row],[tamponi]]-P209,IF(Q209=0,nazione[[#This Row],[casi_testati]]-Y209,nazione[[#This Row],[casi_testati]]-Q209))</f>
        <v>60015</v>
      </c>
      <c r="Z210" s="4">
        <f>IF(Q210=0,(nazione[[#This Row],[test_per_giorno]]/AG$3)*100,(nazione[[#This Row],[test_per_giorno]]/AG$3)*100)</f>
        <v>9.9618822514647321E-2</v>
      </c>
      <c r="AA210" s="4">
        <f>(nazione[[#This Row],[ricoverati_con_sintomi]]/nazione[[#This Row],[totale_attualmente_positivi]])*100</f>
        <v>5.6221588901712316</v>
      </c>
      <c r="AB210" s="4">
        <f>(nazione[[#This Row],[terapia_intensiva]]/nazione[[#This Row],[totale_attualmente_positivi]])*100</f>
        <v>0.48990743575853213</v>
      </c>
      <c r="AC210" s="4">
        <f>((nazione[[#This Row],[totale_attualmente_positivi]]-(nazione[[#This Row],[totale_ospedalizzati]]))/nazione[[#This Row],[totale_attualmente_positivi]])*100</f>
        <v>93.88793367407024</v>
      </c>
      <c r="AD210" s="8">
        <f>(nazione[[#This Row],[Deceaded by day]]/nazione[[#This Row],[totale_attualmente_positivi]])*100</f>
        <v>2.3553242103775584E-2</v>
      </c>
      <c r="AE210" s="8">
        <f>(nazione[[#This Row],[Deceaded by day]]/morti_per_regione!D$2) *100</f>
        <v>1.5794469724370709E-3</v>
      </c>
    </row>
    <row r="211" spans="1:31" x14ac:dyDescent="0.2">
      <c r="A211">
        <v>209</v>
      </c>
      <c r="B211" s="6">
        <v>44093.708333333336</v>
      </c>
      <c r="C211" s="1" t="s">
        <v>42</v>
      </c>
      <c r="D211">
        <v>2380</v>
      </c>
      <c r="E211">
        <v>215</v>
      </c>
      <c r="F211">
        <v>2595</v>
      </c>
      <c r="G211">
        <v>40566</v>
      </c>
      <c r="H211">
        <v>43161</v>
      </c>
      <c r="I211">
        <v>704</v>
      </c>
      <c r="J211">
        <v>1638</v>
      </c>
      <c r="K211">
        <v>217716</v>
      </c>
      <c r="L211">
        <v>35692</v>
      </c>
      <c r="M211">
        <v>240377</v>
      </c>
      <c r="N211">
        <v>56192</v>
      </c>
      <c r="O211">
        <v>296569</v>
      </c>
      <c r="P211">
        <v>10349386</v>
      </c>
      <c r="Q211">
        <v>6248028</v>
      </c>
      <c r="R211" s="1" t="s">
        <v>82</v>
      </c>
      <c r="S211" s="1">
        <f t="shared" si="23"/>
        <v>0</v>
      </c>
      <c r="T211" s="1">
        <f t="shared" si="24"/>
        <v>7</v>
      </c>
      <c r="U211">
        <f t="shared" si="20"/>
        <v>24</v>
      </c>
      <c r="V211">
        <f t="shared" si="21"/>
        <v>909</v>
      </c>
      <c r="W211" s="8">
        <f t="shared" si="22"/>
        <v>1.6581482441057949E-2</v>
      </c>
      <c r="X211" s="1">
        <f>IF(Q211=0,(nazione[[#This Row],[nuovi_attualmente_positivi]]/nazione[[#This Row],[test_per_giorno]])*100,(nazione[[#This Row],[nuovi_attualmente_positivi]]/nazione[[#This Row],[test_per_giorno]])*100)</f>
        <v>2.6954089188744446</v>
      </c>
      <c r="Y211">
        <f>IF(nazione[[#This Row],[casi_testati]]=0,nazione[[#This Row],[tamponi]]-P210,IF(Q210=0,nazione[[#This Row],[casi_testati]]-Y210,nazione[[#This Row],[casi_testati]]-Q210))</f>
        <v>60770</v>
      </c>
      <c r="Z211" s="4">
        <f>IF(Q211=0,(nazione[[#This Row],[test_per_giorno]]/AG$3)*100,(nazione[[#This Row],[test_per_giorno]]/AG$3)*100)</f>
        <v>0.10087204605873727</v>
      </c>
      <c r="AA211" s="4">
        <f>(nazione[[#This Row],[ricoverati_con_sintomi]]/nazione[[#This Row],[totale_attualmente_positivi]])*100</f>
        <v>5.5142373902365556</v>
      </c>
      <c r="AB211" s="4">
        <f>(nazione[[#This Row],[terapia_intensiva]]/nazione[[#This Row],[totale_attualmente_positivi]])*100</f>
        <v>0.49813489029447883</v>
      </c>
      <c r="AC211" s="4">
        <f>((nazione[[#This Row],[totale_attualmente_positivi]]-(nazione[[#This Row],[totale_ospedalizzati]]))/nazione[[#This Row],[totale_attualmente_positivi]])*100</f>
        <v>93.987627719468975</v>
      </c>
      <c r="AD211" s="8">
        <f>(nazione[[#This Row],[Deceaded by day]]/nazione[[#This Row],[totale_attualmente_positivi]])*100</f>
        <v>5.5605755195662757E-2</v>
      </c>
      <c r="AE211" s="8">
        <f>(nazione[[#This Row],[Deceaded by day]]/morti_per_regione!D$2) *100</f>
        <v>3.79067273384897E-3</v>
      </c>
    </row>
    <row r="212" spans="1:31" x14ac:dyDescent="0.2">
      <c r="A212">
        <v>210</v>
      </c>
      <c r="B212" s="6">
        <v>44094.708333333336</v>
      </c>
      <c r="C212" s="1" t="s">
        <v>42</v>
      </c>
      <c r="D212">
        <v>2365</v>
      </c>
      <c r="E212">
        <v>222</v>
      </c>
      <c r="F212">
        <v>2587</v>
      </c>
      <c r="G212">
        <v>41511</v>
      </c>
      <c r="H212">
        <v>44098</v>
      </c>
      <c r="I212">
        <v>937</v>
      </c>
      <c r="J212">
        <v>1587</v>
      </c>
      <c r="K212">
        <v>218351</v>
      </c>
      <c r="L212">
        <v>35707</v>
      </c>
      <c r="M212">
        <v>241017</v>
      </c>
      <c r="N212">
        <v>57139</v>
      </c>
      <c r="O212">
        <v>298156</v>
      </c>
      <c r="P212">
        <v>10432814</v>
      </c>
      <c r="Q212">
        <v>6302761</v>
      </c>
      <c r="R212" s="1" t="s">
        <v>82</v>
      </c>
      <c r="S212" s="1">
        <f t="shared" si="23"/>
        <v>-8</v>
      </c>
      <c r="T212" s="1">
        <f t="shared" si="24"/>
        <v>7</v>
      </c>
      <c r="U212">
        <f t="shared" si="20"/>
        <v>15</v>
      </c>
      <c r="V212">
        <f t="shared" si="21"/>
        <v>635</v>
      </c>
      <c r="W212" s="8">
        <f t="shared" si="22"/>
        <v>2.1709413590973226E-2</v>
      </c>
      <c r="X212" s="1">
        <f>IF(Q212=0,(nazione[[#This Row],[nuovi_attualmente_positivi]]/nazione[[#This Row],[test_per_giorno]])*100,(nazione[[#This Row],[nuovi_attualmente_positivi]]/nazione[[#This Row],[test_per_giorno]])*100)</f>
        <v>2.899530447810279</v>
      </c>
      <c r="Y212">
        <f>IF(nazione[[#This Row],[casi_testati]]=0,nazione[[#This Row],[tamponi]]-P211,IF(Q211=0,nazione[[#This Row],[casi_testati]]-Y211,nazione[[#This Row],[casi_testati]]-Q211))</f>
        <v>54733</v>
      </c>
      <c r="Z212" s="4">
        <f>IF(Q212=0,(nazione[[#This Row],[test_per_giorno]]/AG$3)*100,(nazione[[#This Row],[test_per_giorno]]/AG$3)*100)</f>
        <v>9.0851237402219315E-2</v>
      </c>
      <c r="AA212" s="4">
        <f>(nazione[[#This Row],[ricoverati_con_sintomi]]/nazione[[#This Row],[totale_attualmente_positivi]])*100</f>
        <v>5.3630550138328275</v>
      </c>
      <c r="AB212" s="4">
        <f>(nazione[[#This Row],[terapia_intensiva]]/nazione[[#This Row],[totale_attualmente_positivi]])*100</f>
        <v>0.50342419157331397</v>
      </c>
      <c r="AC212" s="4">
        <f>((nazione[[#This Row],[totale_attualmente_positivi]]-(nazione[[#This Row],[totale_ospedalizzati]]))/nazione[[#This Row],[totale_attualmente_positivi]])*100</f>
        <v>94.133520794593863</v>
      </c>
      <c r="AD212" s="8">
        <f>(nazione[[#This Row],[Deceaded by day]]/nazione[[#This Row],[totale_attualmente_positivi]])*100</f>
        <v>3.4015148079277975E-2</v>
      </c>
      <c r="AE212" s="8">
        <f>(nazione[[#This Row],[Deceaded by day]]/morti_per_regione!D$2) *100</f>
        <v>2.369170458655606E-3</v>
      </c>
    </row>
    <row r="213" spans="1:31" x14ac:dyDescent="0.2">
      <c r="A213">
        <v>211</v>
      </c>
      <c r="B213" s="6">
        <v>44095.708333333336</v>
      </c>
      <c r="C213" s="1" t="s">
        <v>42</v>
      </c>
      <c r="D213">
        <v>2475</v>
      </c>
      <c r="E213">
        <v>232</v>
      </c>
      <c r="F213">
        <v>2707</v>
      </c>
      <c r="G213">
        <v>42372</v>
      </c>
      <c r="H213">
        <v>45079</v>
      </c>
      <c r="I213">
        <v>981</v>
      </c>
      <c r="J213">
        <v>1350</v>
      </c>
      <c r="K213">
        <v>218703</v>
      </c>
      <c r="L213">
        <v>35724</v>
      </c>
      <c r="M213">
        <v>241638</v>
      </c>
      <c r="N213">
        <v>57868</v>
      </c>
      <c r="O213">
        <v>299506</v>
      </c>
      <c r="P213">
        <v>10488676</v>
      </c>
      <c r="Q213">
        <v>6342654</v>
      </c>
      <c r="R213" s="1" t="s">
        <v>82</v>
      </c>
      <c r="S213" s="1">
        <f t="shared" si="23"/>
        <v>120</v>
      </c>
      <c r="T213" s="1">
        <f t="shared" si="24"/>
        <v>10</v>
      </c>
      <c r="U213">
        <f t="shared" si="20"/>
        <v>17</v>
      </c>
      <c r="V213">
        <f t="shared" si="21"/>
        <v>352</v>
      </c>
      <c r="W213" s="8">
        <f t="shared" si="22"/>
        <v>2.2245906843847862E-2</v>
      </c>
      <c r="X213" s="1">
        <f>IF(Q213=0,(nazione[[#This Row],[nuovi_attualmente_positivi]]/nazione[[#This Row],[test_per_giorno]])*100,(nazione[[#This Row],[nuovi_attualmente_positivi]]/nazione[[#This Row],[test_per_giorno]])*100)</f>
        <v>3.3840523400095255</v>
      </c>
      <c r="Y213">
        <f>IF(nazione[[#This Row],[casi_testati]]=0,nazione[[#This Row],[tamponi]]-P212,IF(Q212=0,nazione[[#This Row],[casi_testati]]-Y212,nazione[[#This Row],[casi_testati]]-Q212))</f>
        <v>39893</v>
      </c>
      <c r="Z213" s="4">
        <f>IF(Q213=0,(nazione[[#This Row],[test_per_giorno]]/AG$3)*100,(nazione[[#This Row],[test_per_giorno]]/AG$3)*100)</f>
        <v>6.6218340191232627E-2</v>
      </c>
      <c r="AA213" s="4">
        <f>(nazione[[#This Row],[ricoverati_con_sintomi]]/nazione[[#This Row],[totale_attualmente_positivi]])*100</f>
        <v>5.4903613656026087</v>
      </c>
      <c r="AB213" s="4">
        <f>(nazione[[#This Row],[terapia_intensiva]]/nazione[[#This Row],[totale_attualmente_positivi]])*100</f>
        <v>0.51465205528072933</v>
      </c>
      <c r="AC213" s="4">
        <f>((nazione[[#This Row],[totale_attualmente_positivi]]-(nazione[[#This Row],[totale_ospedalizzati]]))/nazione[[#This Row],[totale_attualmente_positivi]])*100</f>
        <v>93.994986579116656</v>
      </c>
      <c r="AD213" s="8">
        <f>(nazione[[#This Row],[Deceaded by day]]/nazione[[#This Row],[totale_attualmente_positivi]])*100</f>
        <v>3.7711573016260339E-2</v>
      </c>
      <c r="AE213" s="8">
        <f>(nazione[[#This Row],[Deceaded by day]]/morti_per_regione!D$2) *100</f>
        <v>2.6850598531430203E-3</v>
      </c>
    </row>
    <row r="214" spans="1:31" x14ac:dyDescent="0.2">
      <c r="A214">
        <v>212</v>
      </c>
      <c r="B214" s="6">
        <v>44096.708333333336</v>
      </c>
      <c r="C214" s="1" t="s">
        <v>42</v>
      </c>
      <c r="D214">
        <v>2604</v>
      </c>
      <c r="E214">
        <v>239</v>
      </c>
      <c r="F214">
        <v>2843</v>
      </c>
      <c r="G214">
        <v>42646</v>
      </c>
      <c r="H214">
        <v>45489</v>
      </c>
      <c r="I214">
        <v>410</v>
      </c>
      <c r="J214">
        <v>1392</v>
      </c>
      <c r="K214">
        <v>219670</v>
      </c>
      <c r="L214">
        <v>35738</v>
      </c>
      <c r="M214">
        <v>242173</v>
      </c>
      <c r="N214">
        <v>58724</v>
      </c>
      <c r="O214">
        <v>300897</v>
      </c>
      <c r="P214">
        <v>10575979</v>
      </c>
      <c r="Q214">
        <v>6391999</v>
      </c>
      <c r="R214" s="1" t="s">
        <v>82</v>
      </c>
      <c r="S214" s="1">
        <f t="shared" si="23"/>
        <v>136</v>
      </c>
      <c r="T214" s="1">
        <f t="shared" si="24"/>
        <v>7</v>
      </c>
      <c r="U214">
        <f t="shared" si="20"/>
        <v>14</v>
      </c>
      <c r="V214">
        <f t="shared" si="21"/>
        <v>967</v>
      </c>
      <c r="W214" s="8">
        <f t="shared" si="22"/>
        <v>9.0951440803921368E-3</v>
      </c>
      <c r="X214" s="1">
        <f>IF(Q214=0,(nazione[[#This Row],[nuovi_attualmente_positivi]]/nazione[[#This Row],[test_per_giorno]])*100,(nazione[[#This Row],[nuovi_attualmente_positivi]]/nazione[[#This Row],[test_per_giorno]])*100)</f>
        <v>2.8209545040024322</v>
      </c>
      <c r="Y214">
        <f>IF(nazione[[#This Row],[casi_testati]]=0,nazione[[#This Row],[tamponi]]-P213,IF(Q213=0,nazione[[#This Row],[casi_testati]]-Y213,nazione[[#This Row],[casi_testati]]-Q213))</f>
        <v>49345</v>
      </c>
      <c r="Z214" s="4">
        <f>IF(Q214=0,(nazione[[#This Row],[test_per_giorno]]/AG$3)*100,(nazione[[#This Row],[test_per_giorno]]/AG$3)*100)</f>
        <v>8.1907703023998524E-2</v>
      </c>
      <c r="AA214" s="4">
        <f>(nazione[[#This Row],[ricoverati_con_sintomi]]/nazione[[#This Row],[totale_attualmente_positivi]])*100</f>
        <v>5.7244608586691292</v>
      </c>
      <c r="AB214" s="4">
        <f>(nazione[[#This Row],[terapia_intensiva]]/nazione[[#This Row],[totale_attualmente_positivi]])*100</f>
        <v>0.52540174547692853</v>
      </c>
      <c r="AC214" s="4">
        <f>((nazione[[#This Row],[totale_attualmente_positivi]]-(nazione[[#This Row],[totale_ospedalizzati]]))/nazione[[#This Row],[totale_attualmente_positivi]])*100</f>
        <v>93.75013739585394</v>
      </c>
      <c r="AD214" s="8">
        <f>(nazione[[#This Row],[Deceaded by day]]/nazione[[#This Row],[totale_attualmente_positivi]])*100</f>
        <v>3.0776671283167356E-2</v>
      </c>
      <c r="AE214" s="8">
        <f>(nazione[[#This Row],[Deceaded by day]]/morti_per_regione!D$2) *100</f>
        <v>2.2112257614118991E-3</v>
      </c>
    </row>
    <row r="215" spans="1:31" x14ac:dyDescent="0.2">
      <c r="A215">
        <v>213</v>
      </c>
      <c r="B215" s="6">
        <v>44097.708333333336</v>
      </c>
      <c r="C215" s="1" t="s">
        <v>42</v>
      </c>
      <c r="D215">
        <v>2658</v>
      </c>
      <c r="E215">
        <v>244</v>
      </c>
      <c r="F215">
        <v>2902</v>
      </c>
      <c r="G215">
        <v>43212</v>
      </c>
      <c r="H215">
        <v>46114</v>
      </c>
      <c r="I215">
        <v>625</v>
      </c>
      <c r="J215">
        <v>1640</v>
      </c>
      <c r="K215">
        <v>220665</v>
      </c>
      <c r="L215">
        <v>35758</v>
      </c>
      <c r="M215">
        <v>242958</v>
      </c>
      <c r="N215">
        <v>59579</v>
      </c>
      <c r="O215">
        <v>302537</v>
      </c>
      <c r="P215">
        <v>10679675</v>
      </c>
      <c r="Q215">
        <v>6455762</v>
      </c>
      <c r="R215" s="1" t="s">
        <v>82</v>
      </c>
      <c r="S215" s="1">
        <f t="shared" si="23"/>
        <v>59</v>
      </c>
      <c r="T215" s="1">
        <f t="shared" si="24"/>
        <v>5</v>
      </c>
      <c r="U215">
        <f t="shared" si="20"/>
        <v>20</v>
      </c>
      <c r="V215">
        <f t="shared" si="21"/>
        <v>995</v>
      </c>
      <c r="W215" s="8">
        <f t="shared" si="22"/>
        <v>1.3739585394271225E-2</v>
      </c>
      <c r="X215" s="1">
        <f>IF(Q215=0,(nazione[[#This Row],[nuovi_attualmente_positivi]]/nazione[[#This Row],[test_per_giorno]])*100,(nazione[[#This Row],[nuovi_attualmente_positivi]]/nazione[[#This Row],[test_per_giorno]])*100)</f>
        <v>2.5720245283314775</v>
      </c>
      <c r="Y215">
        <f>IF(nazione[[#This Row],[casi_testati]]=0,nazione[[#This Row],[tamponi]]-P214,IF(Q214=0,nazione[[#This Row],[casi_testati]]-Y214,nazione[[#This Row],[casi_testati]]-Q214))</f>
        <v>63763</v>
      </c>
      <c r="Z215" s="4">
        <f>IF(Q215=0,(nazione[[#This Row],[test_per_giorno]]/AG$3)*100,(nazione[[#This Row],[test_per_giorno]]/AG$3)*100)</f>
        <v>0.10584012296928197</v>
      </c>
      <c r="AA215" s="4">
        <f>(nazione[[#This Row],[ricoverati_con_sintomi]]/nazione[[#This Row],[totale_attualmente_positivi]])*100</f>
        <v>5.7639762328143291</v>
      </c>
      <c r="AB215" s="4">
        <f>(nazione[[#This Row],[terapia_intensiva]]/nazione[[#This Row],[totale_attualmente_positivi]])*100</f>
        <v>0.52912347660146597</v>
      </c>
      <c r="AC215" s="4">
        <f>((nazione[[#This Row],[totale_attualmente_positivi]]-(nazione[[#This Row],[totale_ospedalizzati]]))/nazione[[#This Row],[totale_attualmente_positivi]])*100</f>
        <v>93.706900290584201</v>
      </c>
      <c r="AD215" s="8">
        <f>(nazione[[#This Row],[Deceaded by day]]/nazione[[#This Row],[totale_attualmente_positivi]])*100</f>
        <v>4.3370776770611963E-2</v>
      </c>
      <c r="AE215" s="8">
        <f>(nazione[[#This Row],[Deceaded by day]]/morti_per_regione!D$2) *100</f>
        <v>3.1588939448741419E-3</v>
      </c>
    </row>
    <row r="216" spans="1:31" x14ac:dyDescent="0.2">
      <c r="A216">
        <v>214</v>
      </c>
      <c r="B216" s="6">
        <v>44098.708333333336</v>
      </c>
      <c r="C216" s="1" t="s">
        <v>42</v>
      </c>
      <c r="D216">
        <v>2731</v>
      </c>
      <c r="E216">
        <v>246</v>
      </c>
      <c r="F216">
        <v>2977</v>
      </c>
      <c r="G216">
        <v>43803</v>
      </c>
      <c r="H216">
        <v>46780</v>
      </c>
      <c r="I216">
        <v>666</v>
      </c>
      <c r="J216">
        <v>1786</v>
      </c>
      <c r="K216">
        <v>221762</v>
      </c>
      <c r="L216">
        <v>35781</v>
      </c>
      <c r="M216">
        <v>243680</v>
      </c>
      <c r="N216">
        <v>60643</v>
      </c>
      <c r="O216">
        <v>304323</v>
      </c>
      <c r="P216">
        <v>10787694</v>
      </c>
      <c r="Q216">
        <v>6520661</v>
      </c>
      <c r="R216" s="1" t="s">
        <v>82</v>
      </c>
      <c r="S216" s="1">
        <f t="shared" si="23"/>
        <v>75</v>
      </c>
      <c r="T216" s="1">
        <f t="shared" si="24"/>
        <v>2</v>
      </c>
      <c r="U216">
        <f t="shared" si="20"/>
        <v>23</v>
      </c>
      <c r="V216">
        <f t="shared" si="21"/>
        <v>1097</v>
      </c>
      <c r="W216" s="8">
        <f t="shared" si="22"/>
        <v>1.444246866461385E-2</v>
      </c>
      <c r="X216" s="1">
        <f>IF(Q216=0,(nazione[[#This Row],[nuovi_attualmente_positivi]]/nazione[[#This Row],[test_per_giorno]])*100,(nazione[[#This Row],[nuovi_attualmente_positivi]]/nazione[[#This Row],[test_per_giorno]])*100)</f>
        <v>2.7519684432733942</v>
      </c>
      <c r="Y216">
        <f>IF(nazione[[#This Row],[casi_testati]]=0,nazione[[#This Row],[tamponi]]-P215,IF(Q215=0,nazione[[#This Row],[casi_testati]]-Y215,nazione[[#This Row],[casi_testati]]-Q215))</f>
        <v>64899</v>
      </c>
      <c r="Z216" s="4">
        <f>IF(Q216=0,(nazione[[#This Row],[test_per_giorno]]/AG$3)*100,(nazione[[#This Row],[test_per_giorno]]/AG$3)*100)</f>
        <v>0.10772576793098552</v>
      </c>
      <c r="AA216" s="4">
        <f>(nazione[[#This Row],[ricoverati_con_sintomi]]/nazione[[#This Row],[totale_attualmente_positivi]])*100</f>
        <v>5.8379649422830271</v>
      </c>
      <c r="AB216" s="4">
        <f>(nazione[[#This Row],[terapia_intensiva]]/nazione[[#This Row],[totale_attualmente_positivi]])*100</f>
        <v>0.52586575459598117</v>
      </c>
      <c r="AC216" s="4">
        <f>((nazione[[#This Row],[totale_attualmente_positivi]]-(nazione[[#This Row],[totale_ospedalizzati]]))/nazione[[#This Row],[totale_attualmente_positivi]])*100</f>
        <v>93.636169303120994</v>
      </c>
      <c r="AD216" s="8">
        <f>(nazione[[#This Row],[Deceaded by day]]/nazione[[#This Row],[totale_attualmente_positivi]])*100</f>
        <v>4.9166310389055147E-2</v>
      </c>
      <c r="AE216" s="8">
        <f>(nazione[[#This Row],[Deceaded by day]]/morti_per_regione!D$2) *100</f>
        <v>3.6327280366052631E-3</v>
      </c>
    </row>
    <row r="217" spans="1:31" x14ac:dyDescent="0.2">
      <c r="A217">
        <v>215</v>
      </c>
      <c r="B217" s="6">
        <v>44099.708333333336</v>
      </c>
      <c r="C217" s="1" t="s">
        <v>42</v>
      </c>
      <c r="D217">
        <v>2737</v>
      </c>
      <c r="E217">
        <v>244</v>
      </c>
      <c r="F217">
        <v>2981</v>
      </c>
      <c r="G217">
        <v>44737</v>
      </c>
      <c r="H217">
        <v>47718</v>
      </c>
      <c r="I217">
        <v>938</v>
      </c>
      <c r="J217">
        <v>1912</v>
      </c>
      <c r="K217">
        <v>222716</v>
      </c>
      <c r="L217">
        <v>35801</v>
      </c>
      <c r="M217">
        <v>244489</v>
      </c>
      <c r="N217">
        <v>61746</v>
      </c>
      <c r="O217">
        <v>306235</v>
      </c>
      <c r="P217">
        <v>10894963</v>
      </c>
      <c r="Q217">
        <v>6584670</v>
      </c>
      <c r="R217" s="1" t="s">
        <v>82</v>
      </c>
      <c r="S217" s="1">
        <f t="shared" si="23"/>
        <v>4</v>
      </c>
      <c r="T217" s="1">
        <f t="shared" si="24"/>
        <v>-2</v>
      </c>
      <c r="U217">
        <f t="shared" si="20"/>
        <v>20</v>
      </c>
      <c r="V217">
        <f t="shared" si="21"/>
        <v>954</v>
      </c>
      <c r="W217" s="8">
        <f t="shared" si="22"/>
        <v>2.0051303976058144E-2</v>
      </c>
      <c r="X217" s="1">
        <f>IF(Q217=0,(nazione[[#This Row],[nuovi_attualmente_positivi]]/nazione[[#This Row],[test_per_giorno]])*100,(nazione[[#This Row],[nuovi_attualmente_positivi]]/nazione[[#This Row],[test_per_giorno]])*100)</f>
        <v>2.9870799418831728</v>
      </c>
      <c r="Y217">
        <f>IF(nazione[[#This Row],[casi_testati]]=0,nazione[[#This Row],[tamponi]]-P216,IF(Q216=0,nazione[[#This Row],[casi_testati]]-Y216,nazione[[#This Row],[casi_testati]]-Q216))</f>
        <v>64009</v>
      </c>
      <c r="Z217" s="4">
        <f>IF(Q217=0,(nazione[[#This Row],[test_per_giorno]]/AG$3)*100,(nazione[[#This Row],[test_per_giorno]]/AG$3)*100)</f>
        <v>0.10624845805781988</v>
      </c>
      <c r="AA217" s="4">
        <f>(nazione[[#This Row],[ricoverati_con_sintomi]]/nazione[[#This Row],[totale_attualmente_positivi]])*100</f>
        <v>5.7357810469843669</v>
      </c>
      <c r="AB217" s="4">
        <f>(nazione[[#This Row],[terapia_intensiva]]/nazione[[#This Row],[totale_attualmente_positivi]])*100</f>
        <v>0.51133744079802168</v>
      </c>
      <c r="AC217" s="4">
        <f>((nazione[[#This Row],[totale_attualmente_positivi]]-(nazione[[#This Row],[totale_ospedalizzati]]))/nazione[[#This Row],[totale_attualmente_positivi]])*100</f>
        <v>93.752881512217613</v>
      </c>
      <c r="AD217" s="8">
        <f>(nazione[[#This Row],[Deceaded by day]]/nazione[[#This Row],[totale_attualmente_positivi]])*100</f>
        <v>4.1912904983444403E-2</v>
      </c>
      <c r="AE217" s="8">
        <f>(nazione[[#This Row],[Deceaded by day]]/morti_per_regione!D$2) *100</f>
        <v>3.1588939448741419E-3</v>
      </c>
    </row>
    <row r="218" spans="1:31" x14ac:dyDescent="0.2">
      <c r="A218">
        <v>216</v>
      </c>
      <c r="B218" s="6">
        <v>44100.708333333336</v>
      </c>
      <c r="C218" s="1" t="s">
        <v>42</v>
      </c>
      <c r="D218">
        <v>2746</v>
      </c>
      <c r="E218">
        <v>247</v>
      </c>
      <c r="F218">
        <v>2993</v>
      </c>
      <c r="G218">
        <v>45600</v>
      </c>
      <c r="H218">
        <v>48593</v>
      </c>
      <c r="I218">
        <v>875</v>
      </c>
      <c r="J218">
        <v>1869</v>
      </c>
      <c r="K218">
        <v>223693</v>
      </c>
      <c r="L218">
        <v>35818</v>
      </c>
      <c r="M218">
        <v>245365</v>
      </c>
      <c r="N218">
        <v>62739</v>
      </c>
      <c r="O218">
        <v>308104</v>
      </c>
      <c r="P218">
        <v>10999350</v>
      </c>
      <c r="Q218">
        <v>6646695</v>
      </c>
      <c r="R218" s="1" t="s">
        <v>82</v>
      </c>
      <c r="S218" s="1">
        <f t="shared" si="23"/>
        <v>12</v>
      </c>
      <c r="T218" s="1">
        <f t="shared" si="24"/>
        <v>3</v>
      </c>
      <c r="U218">
        <f t="shared" si="20"/>
        <v>17</v>
      </c>
      <c r="V218">
        <f t="shared" si="21"/>
        <v>977</v>
      </c>
      <c r="W218" s="8">
        <f t="shared" si="22"/>
        <v>1.8336895930257002E-2</v>
      </c>
      <c r="X218" s="1">
        <f>IF(Q218=0,(nazione[[#This Row],[nuovi_attualmente_positivi]]/nazione[[#This Row],[test_per_giorno]])*100,(nazione[[#This Row],[nuovi_attualmente_positivi]]/nazione[[#This Row],[test_per_giorno]])*100)</f>
        <v>3.0133010882708584</v>
      </c>
      <c r="Y218">
        <f>IF(nazione[[#This Row],[casi_testati]]=0,nazione[[#This Row],[tamponi]]-P217,IF(Q217=0,nazione[[#This Row],[casi_testati]]-Y217,nazione[[#This Row],[casi_testati]]-Q217))</f>
        <v>62025</v>
      </c>
      <c r="Z218" s="4">
        <f>IF(Q218=0,(nazione[[#This Row],[test_per_giorno]]/AG$3)*100,(nazione[[#This Row],[test_per_giorno]]/AG$3)*100)</f>
        <v>0.10295521896977423</v>
      </c>
      <c r="AA218" s="4">
        <f>(nazione[[#This Row],[ricoverati_con_sintomi]]/nazione[[#This Row],[totale_attualmente_positivi]])*100</f>
        <v>5.6510196941946376</v>
      </c>
      <c r="AB218" s="4">
        <f>(nazione[[#This Row],[terapia_intensiva]]/nazione[[#This Row],[totale_attualmente_positivi]])*100</f>
        <v>0.50830366513695391</v>
      </c>
      <c r="AC218" s="4">
        <f>((nazione[[#This Row],[totale_attualmente_positivi]]-(nazione[[#This Row],[totale_ospedalizzati]]))/nazione[[#This Row],[totale_attualmente_positivi]])*100</f>
        <v>93.840676640668406</v>
      </c>
      <c r="AD218" s="8">
        <f>(nazione[[#This Row],[Deceaded by day]]/nazione[[#This Row],[totale_attualmente_positivi]])*100</f>
        <v>3.4984462782705332E-2</v>
      </c>
      <c r="AE218" s="8">
        <f>(nazione[[#This Row],[Deceaded by day]]/morti_per_regione!D$2) *100</f>
        <v>2.6850598531430203E-3</v>
      </c>
    </row>
    <row r="219" spans="1:31" x14ac:dyDescent="0.2">
      <c r="A219">
        <v>217</v>
      </c>
      <c r="B219" s="6">
        <v>44101.708333333336</v>
      </c>
      <c r="C219" s="1" t="s">
        <v>42</v>
      </c>
      <c r="D219">
        <v>2846</v>
      </c>
      <c r="E219">
        <v>254</v>
      </c>
      <c r="F219">
        <v>3100</v>
      </c>
      <c r="G219">
        <v>46518</v>
      </c>
      <c r="H219">
        <v>49618</v>
      </c>
      <c r="I219">
        <v>1025</v>
      </c>
      <c r="J219">
        <v>1766</v>
      </c>
      <c r="K219">
        <v>224417</v>
      </c>
      <c r="L219">
        <v>35835</v>
      </c>
      <c r="M219">
        <v>246156</v>
      </c>
      <c r="N219">
        <v>63714</v>
      </c>
      <c r="O219">
        <v>309870</v>
      </c>
      <c r="P219">
        <v>11087064</v>
      </c>
      <c r="Q219">
        <v>6700432</v>
      </c>
      <c r="R219" s="1" t="s">
        <v>82</v>
      </c>
      <c r="S219" s="1">
        <f t="shared" si="23"/>
        <v>107</v>
      </c>
      <c r="T219" s="1">
        <f t="shared" si="24"/>
        <v>7</v>
      </c>
      <c r="U219">
        <f t="shared" si="20"/>
        <v>17</v>
      </c>
      <c r="V219">
        <f t="shared" si="21"/>
        <v>724</v>
      </c>
      <c r="W219" s="8">
        <f t="shared" si="22"/>
        <v>2.1093573148395883E-2</v>
      </c>
      <c r="X219" s="1">
        <f>IF(Q219=0,(nazione[[#This Row],[nuovi_attualmente_positivi]]/nazione[[#This Row],[test_per_giorno]])*100,(nazione[[#This Row],[nuovi_attualmente_positivi]]/nazione[[#This Row],[test_per_giorno]])*100)</f>
        <v>3.2863762398347505</v>
      </c>
      <c r="Y219">
        <f>IF(nazione[[#This Row],[casi_testati]]=0,nazione[[#This Row],[tamponi]]-P218,IF(Q218=0,nazione[[#This Row],[casi_testati]]-Y218,nazione[[#This Row],[casi_testati]]-Q218))</f>
        <v>53737</v>
      </c>
      <c r="Z219" s="4">
        <f>IF(Q219=0,(nazione[[#This Row],[test_per_giorno]]/AG$3)*100,(nazione[[#This Row],[test_per_giorno]]/AG$3)*100)</f>
        <v>8.9197978263260896E-2</v>
      </c>
      <c r="AA219" s="4">
        <f>(nazione[[#This Row],[ricoverati_con_sintomi]]/nazione[[#This Row],[totale_attualmente_positivi]])*100</f>
        <v>5.7358216776169941</v>
      </c>
      <c r="AB219" s="4">
        <f>(nazione[[#This Row],[terapia_intensiva]]/nazione[[#This Row],[totale_attualmente_positivi]])*100</f>
        <v>0.51191100004030787</v>
      </c>
      <c r="AC219" s="4">
        <f>((nazione[[#This Row],[totale_attualmente_positivi]]-(nazione[[#This Row],[totale_ospedalizzati]]))/nazione[[#This Row],[totale_attualmente_positivi]])*100</f>
        <v>93.752267322342703</v>
      </c>
      <c r="AD219" s="8">
        <f>(nazione[[#This Row],[Deceaded by day]]/nazione[[#This Row],[totale_attualmente_positivi]])*100</f>
        <v>3.4261759845217461E-2</v>
      </c>
      <c r="AE219" s="8">
        <f>(nazione[[#This Row],[Deceaded by day]]/morti_per_regione!D$2) *100</f>
        <v>2.6850598531430203E-3</v>
      </c>
    </row>
    <row r="220" spans="1:31" x14ac:dyDescent="0.2">
      <c r="A220">
        <v>218</v>
      </c>
      <c r="B220" s="6">
        <v>44102.708333333336</v>
      </c>
      <c r="C220" s="1" t="s">
        <v>42</v>
      </c>
      <c r="D220">
        <v>2977</v>
      </c>
      <c r="E220">
        <v>264</v>
      </c>
      <c r="F220">
        <v>3241</v>
      </c>
      <c r="G220">
        <v>47082</v>
      </c>
      <c r="H220">
        <v>50323</v>
      </c>
      <c r="I220">
        <v>705</v>
      </c>
      <c r="J220">
        <v>1494</v>
      </c>
      <c r="K220">
        <v>225190</v>
      </c>
      <c r="L220">
        <v>35851</v>
      </c>
      <c r="M220">
        <v>246842</v>
      </c>
      <c r="N220">
        <v>64522</v>
      </c>
      <c r="O220">
        <v>311364</v>
      </c>
      <c r="P220">
        <v>11138173</v>
      </c>
      <c r="Q220">
        <v>6732777</v>
      </c>
      <c r="R220" s="1" t="s">
        <v>82</v>
      </c>
      <c r="S220" s="1">
        <f t="shared" si="23"/>
        <v>141</v>
      </c>
      <c r="T220" s="1">
        <f t="shared" si="24"/>
        <v>10</v>
      </c>
      <c r="U220">
        <f t="shared" si="20"/>
        <v>16</v>
      </c>
      <c r="V220">
        <f t="shared" si="21"/>
        <v>773</v>
      </c>
      <c r="W220" s="8">
        <f t="shared" si="22"/>
        <v>1.4208553347575537E-2</v>
      </c>
      <c r="X220" s="1">
        <f>IF(Q220=0,(nazione[[#This Row],[nuovi_attualmente_positivi]]/nazione[[#This Row],[test_per_giorno]])*100,(nazione[[#This Row],[nuovi_attualmente_positivi]]/nazione[[#This Row],[test_per_giorno]])*100)</f>
        <v>4.6189519245633015</v>
      </c>
      <c r="Y220">
        <f>IF(nazione[[#This Row],[casi_testati]]=0,nazione[[#This Row],[tamponi]]-P219,IF(Q219=0,nazione[[#This Row],[casi_testati]]-Y219,nazione[[#This Row],[casi_testati]]-Q219))</f>
        <v>32345</v>
      </c>
      <c r="Z220" s="4">
        <f>IF(Q220=0,(nazione[[#This Row],[test_per_giorno]]/AG$3)*100,(nazione[[#This Row],[test_per_giorno]]/AG$3)*100)</f>
        <v>5.3689424547800846E-2</v>
      </c>
      <c r="AA220" s="4">
        <f>(nazione[[#This Row],[ricoverati_con_sintomi]]/nazione[[#This Row],[totale_attualmente_positivi]])*100</f>
        <v>5.9157840351330409</v>
      </c>
      <c r="AB220" s="4">
        <f>(nazione[[#This Row],[terapia_intensiva]]/nazione[[#This Row],[totale_attualmente_positivi]])*100</f>
        <v>0.52461101285694411</v>
      </c>
      <c r="AC220" s="4">
        <f>((nazione[[#This Row],[totale_attualmente_positivi]]-(nazione[[#This Row],[totale_ospedalizzati]]))/nazione[[#This Row],[totale_attualmente_positivi]])*100</f>
        <v>93.559604952010005</v>
      </c>
      <c r="AD220" s="8">
        <f>(nazione[[#This Row],[Deceaded by day]]/nazione[[#This Row],[totale_attualmente_positivi]])*100</f>
        <v>3.1794606839814797E-2</v>
      </c>
      <c r="AE220" s="8">
        <f>(nazione[[#This Row],[Deceaded by day]]/morti_per_regione!D$2) *100</f>
        <v>2.5271151558993133E-3</v>
      </c>
    </row>
    <row r="221" spans="1:31" x14ac:dyDescent="0.2">
      <c r="A221">
        <v>219</v>
      </c>
      <c r="B221" s="6">
        <v>44103.708333333336</v>
      </c>
      <c r="C221" s="1" t="s">
        <v>42</v>
      </c>
      <c r="D221">
        <v>3048</v>
      </c>
      <c r="E221">
        <v>271</v>
      </c>
      <c r="F221">
        <v>3319</v>
      </c>
      <c r="G221">
        <v>47311</v>
      </c>
      <c r="H221">
        <v>50630</v>
      </c>
      <c r="I221">
        <v>307</v>
      </c>
      <c r="J221">
        <v>1648</v>
      </c>
      <c r="K221">
        <v>226506</v>
      </c>
      <c r="L221">
        <v>35875</v>
      </c>
      <c r="M221">
        <v>247628</v>
      </c>
      <c r="N221">
        <v>65383</v>
      </c>
      <c r="O221">
        <v>313011</v>
      </c>
      <c r="P221">
        <v>11228358</v>
      </c>
      <c r="Q221">
        <v>6786395</v>
      </c>
      <c r="R221" s="1" t="s">
        <v>82</v>
      </c>
      <c r="S221" s="1">
        <f t="shared" si="23"/>
        <v>78</v>
      </c>
      <c r="T221" s="1">
        <f t="shared" si="24"/>
        <v>7</v>
      </c>
      <c r="U221">
        <f t="shared" si="20"/>
        <v>24</v>
      </c>
      <c r="V221">
        <f t="shared" si="21"/>
        <v>1316</v>
      </c>
      <c r="W221" s="8">
        <f t="shared" si="22"/>
        <v>6.1005901873893986E-3</v>
      </c>
      <c r="X221" s="1">
        <f>IF(Q221=0,(nazione[[#This Row],[nuovi_attualmente_positivi]]/nazione[[#This Row],[test_per_giorno]])*100,(nazione[[#This Row],[nuovi_attualmente_positivi]]/nazione[[#This Row],[test_per_giorno]])*100)</f>
        <v>3.0735946883509269</v>
      </c>
      <c r="Y221">
        <f>IF(nazione[[#This Row],[casi_testati]]=0,nazione[[#This Row],[tamponi]]-P220,IF(Q220=0,nazione[[#This Row],[casi_testati]]-Y220,nazione[[#This Row],[casi_testati]]-Q220))</f>
        <v>53618</v>
      </c>
      <c r="Z221" s="4">
        <f>IF(Q221=0,(nazione[[#This Row],[test_per_giorno]]/AG$3)*100,(nazione[[#This Row],[test_per_giorno]]/AG$3)*100)</f>
        <v>8.9000450313927518E-2</v>
      </c>
      <c r="AA221" s="4">
        <f>(nazione[[#This Row],[ricoverati_con_sintomi]]/nazione[[#This Row],[totale_attualmente_positivi]])*100</f>
        <v>6.020146158404108</v>
      </c>
      <c r="AB221" s="4">
        <f>(nazione[[#This Row],[terapia_intensiva]]/nazione[[#This Row],[totale_attualmente_positivi]])*100</f>
        <v>0.53525577720718942</v>
      </c>
      <c r="AC221" s="4">
        <f>((nazione[[#This Row],[totale_attualmente_positivi]]-(nazione[[#This Row],[totale_ospedalizzati]]))/nazione[[#This Row],[totale_attualmente_positivi]])*100</f>
        <v>93.4445980643887</v>
      </c>
      <c r="AD221" s="8">
        <f>(nazione[[#This Row],[Deceaded by day]]/nazione[[#This Row],[totale_attualmente_positivi]])*100</f>
        <v>4.7402725656725257E-2</v>
      </c>
      <c r="AE221" s="8">
        <f>(nazione[[#This Row],[Deceaded by day]]/morti_per_regione!D$2) *100</f>
        <v>3.79067273384897E-3</v>
      </c>
    </row>
    <row r="222" spans="1:31" x14ac:dyDescent="0.2">
      <c r="A222">
        <v>220</v>
      </c>
      <c r="B222" s="6">
        <v>44104.708333333336</v>
      </c>
      <c r="C222" s="1" t="s">
        <v>42</v>
      </c>
      <c r="D222">
        <v>3047</v>
      </c>
      <c r="E222">
        <v>280</v>
      </c>
      <c r="F222">
        <v>3327</v>
      </c>
      <c r="G222">
        <v>47936</v>
      </c>
      <c r="H222">
        <v>51263</v>
      </c>
      <c r="I222">
        <v>633</v>
      </c>
      <c r="J222">
        <v>1851</v>
      </c>
      <c r="K222">
        <v>227704</v>
      </c>
      <c r="L222">
        <v>35894</v>
      </c>
      <c r="M222">
        <v>248613</v>
      </c>
      <c r="N222">
        <v>66248</v>
      </c>
      <c r="O222">
        <v>314861</v>
      </c>
      <c r="P222">
        <v>11333922</v>
      </c>
      <c r="Q222">
        <v>6848755</v>
      </c>
      <c r="R222" s="1" t="s">
        <v>82</v>
      </c>
      <c r="S222" s="1">
        <f t="shared" si="23"/>
        <v>8</v>
      </c>
      <c r="T222" s="1">
        <f t="shared" si="24"/>
        <v>9</v>
      </c>
      <c r="U222">
        <f t="shared" si="20"/>
        <v>19</v>
      </c>
      <c r="V222">
        <f t="shared" si="21"/>
        <v>1198</v>
      </c>
      <c r="W222" s="8">
        <f t="shared" si="22"/>
        <v>1.2502468891961271E-2</v>
      </c>
      <c r="X222" s="1">
        <f>IF(Q222=0,(nazione[[#This Row],[nuovi_attualmente_positivi]]/nazione[[#This Row],[test_per_giorno]])*100,(nazione[[#This Row],[nuovi_attualmente_positivi]]/nazione[[#This Row],[test_per_giorno]])*100)</f>
        <v>2.9682488774855678</v>
      </c>
      <c r="Y222">
        <f>IF(nazione[[#This Row],[casi_testati]]=0,nazione[[#This Row],[tamponi]]-P221,IF(Q221=0,nazione[[#This Row],[casi_testati]]-Y221,nazione[[#This Row],[casi_testati]]-Q221))</f>
        <v>62360</v>
      </c>
      <c r="Z222" s="4">
        <f>IF(Q222=0,(nazione[[#This Row],[test_per_giorno]]/AG$3)*100,(nazione[[#This Row],[test_per_giorno]]/AG$3)*100)</f>
        <v>0.10351128504562872</v>
      </c>
      <c r="AA222" s="4">
        <f>(nazione[[#This Row],[ricoverati_con_sintomi]]/nazione[[#This Row],[totale_attualmente_positivi]])*100</f>
        <v>5.9438581433002362</v>
      </c>
      <c r="AB222" s="4">
        <f>(nazione[[#This Row],[terapia_intensiva]]/nazione[[#This Row],[totale_attualmente_positivi]])*100</f>
        <v>0.54620291438269319</v>
      </c>
      <c r="AC222" s="4">
        <f>((nazione[[#This Row],[totale_attualmente_positivi]]-(nazione[[#This Row],[totale_ospedalizzati]]))/nazione[[#This Row],[totale_attualmente_positivi]])*100</f>
        <v>93.509938942317078</v>
      </c>
      <c r="AD222" s="8">
        <f>(nazione[[#This Row],[Deceaded by day]]/nazione[[#This Row],[totale_attualmente_positivi]])*100</f>
        <v>3.7063769190254184E-2</v>
      </c>
      <c r="AE222" s="8">
        <f>(nazione[[#This Row],[Deceaded by day]]/morti_per_regione!D$2) *100</f>
        <v>3.0009492476304345E-3</v>
      </c>
    </row>
    <row r="223" spans="1:31" x14ac:dyDescent="0.2">
      <c r="A223">
        <v>221</v>
      </c>
      <c r="B223" s="6">
        <v>44105.708333333336</v>
      </c>
      <c r="C223" s="1" t="s">
        <v>42</v>
      </c>
      <c r="D223">
        <v>3097</v>
      </c>
      <c r="E223">
        <v>291</v>
      </c>
      <c r="F223">
        <v>3388</v>
      </c>
      <c r="G223">
        <v>49259</v>
      </c>
      <c r="H223">
        <v>52647</v>
      </c>
      <c r="I223">
        <v>1384</v>
      </c>
      <c r="J223">
        <v>2548</v>
      </c>
      <c r="K223">
        <v>228844</v>
      </c>
      <c r="L223">
        <v>35918</v>
      </c>
      <c r="M223">
        <v>249940</v>
      </c>
      <c r="N223">
        <v>67469</v>
      </c>
      <c r="O223">
        <v>317409</v>
      </c>
      <c r="P223">
        <v>11452158</v>
      </c>
      <c r="Q223">
        <v>6916588</v>
      </c>
      <c r="R223" s="1" t="s">
        <v>82</v>
      </c>
      <c r="S223" s="1">
        <f t="shared" si="23"/>
        <v>61</v>
      </c>
      <c r="T223" s="1">
        <f t="shared" si="24"/>
        <v>11</v>
      </c>
      <c r="U223">
        <f t="shared" ref="U223:U232" si="25">L223-L222</f>
        <v>24</v>
      </c>
      <c r="V223">
        <f t="shared" ref="V223:V232" si="26">K223-K222</f>
        <v>1140</v>
      </c>
      <c r="W223" s="8">
        <f t="shared" si="22"/>
        <v>2.6998029768058762E-2</v>
      </c>
      <c r="X223" s="1">
        <f>IF(Q223=0,(nazione[[#This Row],[nuovi_attualmente_positivi]]/nazione[[#This Row],[test_per_giorno]])*100,(nazione[[#This Row],[nuovi_attualmente_positivi]]/nazione[[#This Row],[test_per_giorno]])*100)</f>
        <v>3.7562838146624795</v>
      </c>
      <c r="Y223">
        <f>IF(nazione[[#This Row],[casi_testati]]=0,nazione[[#This Row],[tamponi]]-P222,IF(Q222=0,nazione[[#This Row],[casi_testati]]-Y222,nazione[[#This Row],[casi_testati]]-Q222))</f>
        <v>67833</v>
      </c>
      <c r="Z223" s="4">
        <f>IF(Q223=0,(nazione[[#This Row],[test_per_giorno]]/AG$3)*100,(nazione[[#This Row],[test_per_giorno]]/AG$3)*100)</f>
        <v>0.11259591081623048</v>
      </c>
      <c r="AA223" s="4">
        <f>(nazione[[#This Row],[ricoverati_con_sintomi]]/nazione[[#This Row],[totale_attualmente_positivi]])*100</f>
        <v>5.8825764051133014</v>
      </c>
      <c r="AB223" s="4">
        <f>(nazione[[#This Row],[terapia_intensiva]]/nazione[[#This Row],[totale_attualmente_positivi]])*100</f>
        <v>0.55273804775200874</v>
      </c>
      <c r="AC223" s="4">
        <f>((nazione[[#This Row],[totale_attualmente_positivi]]-(nazione[[#This Row],[totale_ospedalizzati]]))/nazione[[#This Row],[totale_attualmente_positivi]])*100</f>
        <v>93.564685547134687</v>
      </c>
      <c r="AD223" s="8">
        <f>(nazione[[#This Row],[Deceaded by day]]/nazione[[#This Row],[totale_attualmente_positivi]])*100</f>
        <v>4.5586643113567728E-2</v>
      </c>
      <c r="AE223" s="8">
        <f>(nazione[[#This Row],[Deceaded by day]]/morti_per_regione!D$2) *100</f>
        <v>3.79067273384897E-3</v>
      </c>
    </row>
    <row r="224" spans="1:31" x14ac:dyDescent="0.2">
      <c r="A224">
        <v>222</v>
      </c>
      <c r="B224" s="6">
        <v>44106.708333333336</v>
      </c>
      <c r="C224" s="1" t="s">
        <v>42</v>
      </c>
      <c r="D224">
        <v>3142</v>
      </c>
      <c r="E224">
        <v>294</v>
      </c>
      <c r="F224">
        <v>3436</v>
      </c>
      <c r="G224">
        <v>50561</v>
      </c>
      <c r="H224">
        <v>53997</v>
      </c>
      <c r="I224">
        <v>1350</v>
      </c>
      <c r="J224">
        <v>2499</v>
      </c>
      <c r="K224">
        <v>229970</v>
      </c>
      <c r="L224">
        <v>35941</v>
      </c>
      <c r="M224">
        <v>251377</v>
      </c>
      <c r="N224">
        <v>68531</v>
      </c>
      <c r="O224">
        <v>319908</v>
      </c>
      <c r="P224">
        <v>11572459</v>
      </c>
      <c r="Q224">
        <v>6988317</v>
      </c>
      <c r="R224" s="1" t="s">
        <v>82</v>
      </c>
      <c r="S224" s="1">
        <f t="shared" si="23"/>
        <v>48</v>
      </c>
      <c r="T224" s="1">
        <f t="shared" si="24"/>
        <v>3</v>
      </c>
      <c r="U224">
        <f t="shared" si="25"/>
        <v>23</v>
      </c>
      <c r="V224">
        <f t="shared" si="26"/>
        <v>1126</v>
      </c>
      <c r="W224" s="8">
        <f t="shared" si="22"/>
        <v>2.564248675138181E-2</v>
      </c>
      <c r="X224" s="1">
        <f>IF(Q224=0,(nazione[[#This Row],[nuovi_attualmente_positivi]]/nazione[[#This Row],[test_per_giorno]])*100,(nazione[[#This Row],[nuovi_attualmente_positivi]]/nazione[[#This Row],[test_per_giorno]])*100)</f>
        <v>3.4839465209329559</v>
      </c>
      <c r="Y224">
        <f>IF(nazione[[#This Row],[casi_testati]]=0,nazione[[#This Row],[tamponi]]-P223,IF(Q223=0,nazione[[#This Row],[casi_testati]]-Y223,nazione[[#This Row],[casi_testati]]-Q223))</f>
        <v>71729</v>
      </c>
      <c r="Z224" s="4">
        <f>IF(Q224=0,(nazione[[#This Row],[test_per_giorno]]/AG$3)*100,(nazione[[#This Row],[test_per_giorno]]/AG$3)*100)</f>
        <v>0.11906287628348142</v>
      </c>
      <c r="AA224" s="4">
        <f>(nazione[[#This Row],[ricoverati_con_sintomi]]/nazione[[#This Row],[totale_attualmente_positivi]])*100</f>
        <v>5.818841787506714</v>
      </c>
      <c r="AB224" s="4">
        <f>(nazione[[#This Row],[terapia_intensiva]]/nazione[[#This Row],[totale_attualmente_positivi]])*100</f>
        <v>0.54447469303850216</v>
      </c>
      <c r="AC224" s="4">
        <f>((nazione[[#This Row],[totale_attualmente_positivi]]-(nazione[[#This Row],[totale_ospedalizzati]]))/nazione[[#This Row],[totale_attualmente_positivi]])*100</f>
        <v>93.636683519454792</v>
      </c>
      <c r="AD224" s="8">
        <f>(nazione[[#This Row],[Deceaded by day]]/nazione[[#This Row],[totale_attualmente_positivi]])*100</f>
        <v>4.2594958979202548E-2</v>
      </c>
      <c r="AE224" s="8">
        <f>(nazione[[#This Row],[Deceaded by day]]/morti_per_regione!D$2) *100</f>
        <v>3.6327280366052631E-3</v>
      </c>
    </row>
    <row r="225" spans="1:31" x14ac:dyDescent="0.2">
      <c r="A225">
        <v>223</v>
      </c>
      <c r="B225" s="6">
        <v>44107.708333333336</v>
      </c>
      <c r="C225" s="1" t="s">
        <v>42</v>
      </c>
      <c r="D225">
        <v>3205</v>
      </c>
      <c r="E225">
        <v>297</v>
      </c>
      <c r="F225">
        <v>3502</v>
      </c>
      <c r="G225">
        <v>52064</v>
      </c>
      <c r="H225">
        <v>55566</v>
      </c>
      <c r="I225">
        <v>1569</v>
      </c>
      <c r="J225">
        <v>2844</v>
      </c>
      <c r="K225">
        <v>231217</v>
      </c>
      <c r="L225">
        <v>35968</v>
      </c>
      <c r="M225">
        <v>252951</v>
      </c>
      <c r="N225">
        <v>69800</v>
      </c>
      <c r="O225">
        <v>322751</v>
      </c>
      <c r="P225">
        <v>11691391</v>
      </c>
      <c r="Q225">
        <v>7057949</v>
      </c>
      <c r="R225" s="1" t="s">
        <v>82</v>
      </c>
      <c r="S225" s="1">
        <f t="shared" si="23"/>
        <v>66</v>
      </c>
      <c r="T225" s="1">
        <f t="shared" si="24"/>
        <v>3</v>
      </c>
      <c r="U225">
        <f t="shared" si="25"/>
        <v>27</v>
      </c>
      <c r="V225">
        <f t="shared" si="26"/>
        <v>1247</v>
      </c>
      <c r="W225" s="8">
        <f t="shared" si="22"/>
        <v>2.9057169842769071E-2</v>
      </c>
      <c r="X225" s="1">
        <f>IF(Q225=0,(nazione[[#This Row],[nuovi_attualmente_positivi]]/nazione[[#This Row],[test_per_giorno]])*100,(nazione[[#This Row],[nuovi_attualmente_positivi]]/nazione[[#This Row],[test_per_giorno]])*100)</f>
        <v>4.0843290441176467</v>
      </c>
      <c r="Y225">
        <f>IF(nazione[[#This Row],[casi_testati]]=0,nazione[[#This Row],[tamponi]]-P224,IF(Q224=0,nazione[[#This Row],[casi_testati]]-Y224,nazione[[#This Row],[casi_testati]]-Q224))</f>
        <v>69632</v>
      </c>
      <c r="Z225" s="4">
        <f>IF(Q225=0,(nazione[[#This Row],[test_per_giorno]]/AG$3)*100,(nazione[[#This Row],[test_per_giorno]]/AG$3)*100)</f>
        <v>0.11558206863850574</v>
      </c>
      <c r="AA225" s="4">
        <f>(nazione[[#This Row],[ricoverati_con_sintomi]]/nazione[[#This Row],[totale_attualmente_positivi]])*100</f>
        <v>5.7679156318612108</v>
      </c>
      <c r="AB225" s="4">
        <f>(nazione[[#This Row],[terapia_intensiva]]/nazione[[#This Row],[totale_attualmente_positivi]])*100</f>
        <v>0.53449951409135088</v>
      </c>
      <c r="AC225" s="4">
        <f>((nazione[[#This Row],[totale_attualmente_positivi]]-(nazione[[#This Row],[totale_ospedalizzati]]))/nazione[[#This Row],[totale_attualmente_positivi]])*100</f>
        <v>93.697584854047449</v>
      </c>
      <c r="AD225" s="8">
        <f>(nazione[[#This Row],[Deceaded by day]]/nazione[[#This Row],[totale_attualmente_positivi]])*100</f>
        <v>4.8590864917395525E-2</v>
      </c>
      <c r="AE225" s="8">
        <f>(nazione[[#This Row],[Deceaded by day]]/morti_per_regione!D$2) *100</f>
        <v>4.2645068255800916E-3</v>
      </c>
    </row>
    <row r="226" spans="1:31" x14ac:dyDescent="0.2">
      <c r="A226">
        <v>224</v>
      </c>
      <c r="B226" s="6">
        <v>44108.708333333336</v>
      </c>
      <c r="C226" s="1" t="s">
        <v>42</v>
      </c>
      <c r="D226">
        <v>3287</v>
      </c>
      <c r="E226">
        <v>303</v>
      </c>
      <c r="F226">
        <v>3590</v>
      </c>
      <c r="G226">
        <v>53839</v>
      </c>
      <c r="H226">
        <v>57429</v>
      </c>
      <c r="I226">
        <v>1863</v>
      </c>
      <c r="J226">
        <v>2578</v>
      </c>
      <c r="K226">
        <v>231914</v>
      </c>
      <c r="L226">
        <v>35986</v>
      </c>
      <c r="M226">
        <v>254348</v>
      </c>
      <c r="N226">
        <v>70981</v>
      </c>
      <c r="O226">
        <v>325329</v>
      </c>
      <c r="P226">
        <v>11784105</v>
      </c>
      <c r="Q226">
        <v>7117315</v>
      </c>
      <c r="R226" s="1" t="s">
        <v>82</v>
      </c>
      <c r="S226" s="1">
        <f t="shared" si="23"/>
        <v>88</v>
      </c>
      <c r="T226" s="1">
        <f t="shared" si="24"/>
        <v>6</v>
      </c>
      <c r="U226">
        <f t="shared" si="25"/>
        <v>18</v>
      </c>
      <c r="V226">
        <f t="shared" si="26"/>
        <v>697</v>
      </c>
      <c r="W226" s="8">
        <f t="shared" si="22"/>
        <v>3.3527696793002937E-2</v>
      </c>
      <c r="X226" s="1">
        <f>IF(Q226=0,(nazione[[#This Row],[nuovi_attualmente_positivi]]/nazione[[#This Row],[test_per_giorno]])*100,(nazione[[#This Row],[nuovi_attualmente_positivi]]/nazione[[#This Row],[test_per_giorno]])*100)</f>
        <v>4.3425529764511674</v>
      </c>
      <c r="Y226">
        <f>IF(nazione[[#This Row],[casi_testati]]=0,nazione[[#This Row],[tamponi]]-P225,IF(Q225=0,nazione[[#This Row],[casi_testati]]-Y225,nazione[[#This Row],[casi_testati]]-Q225))</f>
        <v>59366</v>
      </c>
      <c r="Z226" s="4">
        <f>IF(Q226=0,(nazione[[#This Row],[test_per_giorno]]/AG$3)*100,(nazione[[#This Row],[test_per_giorno]]/AG$3)*100)</f>
        <v>9.8541548236350127E-2</v>
      </c>
      <c r="AA226" s="4">
        <f>(nazione[[#This Row],[ricoverati_con_sintomi]]/nazione[[#This Row],[totale_attualmente_positivi]])*100</f>
        <v>5.7235891274443222</v>
      </c>
      <c r="AB226" s="4">
        <f>(nazione[[#This Row],[terapia_intensiva]]/nazione[[#This Row],[totale_attualmente_positivi]])*100</f>
        <v>0.52760800292535126</v>
      </c>
      <c r="AC226" s="4">
        <f>((nazione[[#This Row],[totale_attualmente_positivi]]-(nazione[[#This Row],[totale_ospedalizzati]]))/nazione[[#This Row],[totale_attualmente_positivi]])*100</f>
        <v>93.748802869630325</v>
      </c>
      <c r="AD226" s="8">
        <f>(nazione[[#This Row],[Deceaded by day]]/nazione[[#This Row],[totale_attualmente_positivi]])*100</f>
        <v>3.1343049678733741E-2</v>
      </c>
      <c r="AE226" s="8">
        <f>(nazione[[#This Row],[Deceaded by day]]/morti_per_regione!D$2) *100</f>
        <v>2.8430045503867276E-3</v>
      </c>
    </row>
    <row r="227" spans="1:31" x14ac:dyDescent="0.2">
      <c r="A227">
        <v>225</v>
      </c>
      <c r="B227" s="6">
        <v>44109.708333333336</v>
      </c>
      <c r="C227" s="1" t="s">
        <v>42</v>
      </c>
      <c r="D227">
        <v>3487</v>
      </c>
      <c r="E227">
        <v>323</v>
      </c>
      <c r="F227">
        <v>3810</v>
      </c>
      <c r="G227">
        <v>55093</v>
      </c>
      <c r="H227">
        <v>58903</v>
      </c>
      <c r="I227">
        <v>1474</v>
      </c>
      <c r="J227">
        <v>2257</v>
      </c>
      <c r="K227">
        <v>232681</v>
      </c>
      <c r="L227">
        <v>36002</v>
      </c>
      <c r="M227">
        <v>255576</v>
      </c>
      <c r="N227">
        <v>72010</v>
      </c>
      <c r="O227">
        <v>327586</v>
      </c>
      <c r="P227">
        <v>11844346</v>
      </c>
      <c r="Q227">
        <v>7153866</v>
      </c>
      <c r="R227" s="1" t="s">
        <v>82</v>
      </c>
      <c r="S227" s="1">
        <f t="shared" si="23"/>
        <v>220</v>
      </c>
      <c r="T227" s="1">
        <f t="shared" si="24"/>
        <v>20</v>
      </c>
      <c r="U227">
        <f t="shared" si="25"/>
        <v>16</v>
      </c>
      <c r="V227">
        <f t="shared" si="26"/>
        <v>767</v>
      </c>
      <c r="W227" s="8">
        <f t="shared" si="22"/>
        <v>2.5666475125807553E-2</v>
      </c>
      <c r="X227" s="1">
        <f>IF(Q227=0,(nazione[[#This Row],[nuovi_attualmente_positivi]]/nazione[[#This Row],[test_per_giorno]])*100,(nazione[[#This Row],[nuovi_attualmente_positivi]]/nazione[[#This Row],[test_per_giorno]])*100)</f>
        <v>6.1749336543459821</v>
      </c>
      <c r="Y227">
        <f>IF(nazione[[#This Row],[casi_testati]]=0,nazione[[#This Row],[tamponi]]-P226,IF(Q226=0,nazione[[#This Row],[casi_testati]]-Y226,nazione[[#This Row],[casi_testati]]-Q226))</f>
        <v>36551</v>
      </c>
      <c r="Z227" s="4">
        <f>IF(Q227=0,(nazione[[#This Row],[test_per_giorno]]/AG$3)*100,(nazione[[#This Row],[test_per_giorno]]/AG$3)*100)</f>
        <v>6.0670958622558932E-2</v>
      </c>
      <c r="AA227" s="4">
        <f>(nazione[[#This Row],[ricoverati_con_sintomi]]/nazione[[#This Row],[totale_attualmente_positivi]])*100</f>
        <v>5.9199022121114373</v>
      </c>
      <c r="AB227" s="4">
        <f>(nazione[[#This Row],[terapia_intensiva]]/nazione[[#This Row],[totale_attualmente_positivi]])*100</f>
        <v>0.54835916676569951</v>
      </c>
      <c r="AC227" s="4">
        <f>((nazione[[#This Row],[totale_attualmente_positivi]]-(nazione[[#This Row],[totale_ospedalizzati]]))/nazione[[#This Row],[totale_attualmente_positivi]])*100</f>
        <v>93.531738621122855</v>
      </c>
      <c r="AD227" s="8">
        <f>(nazione[[#This Row],[Deceaded by day]]/nazione[[#This Row],[totale_attualmente_positivi]])*100</f>
        <v>2.7163302378486662E-2</v>
      </c>
      <c r="AE227" s="8">
        <f>(nazione[[#This Row],[Deceaded by day]]/morti_per_regione!D$2) *100</f>
        <v>2.5271151558993133E-3</v>
      </c>
    </row>
    <row r="228" spans="1:31" x14ac:dyDescent="0.2">
      <c r="A228">
        <v>226</v>
      </c>
      <c r="B228" s="6">
        <v>44110.708333333336</v>
      </c>
      <c r="C228" s="1" t="s">
        <v>42</v>
      </c>
      <c r="D228">
        <v>3625</v>
      </c>
      <c r="E228">
        <v>319</v>
      </c>
      <c r="F228">
        <v>3944</v>
      </c>
      <c r="G228">
        <v>56190</v>
      </c>
      <c r="H228">
        <v>60134</v>
      </c>
      <c r="I228">
        <v>1231</v>
      </c>
      <c r="J228">
        <v>2677</v>
      </c>
      <c r="K228">
        <v>234099</v>
      </c>
      <c r="L228">
        <v>36030</v>
      </c>
      <c r="M228">
        <v>256986</v>
      </c>
      <c r="N228">
        <v>73277</v>
      </c>
      <c r="O228">
        <v>330263</v>
      </c>
      <c r="P228">
        <v>11944088</v>
      </c>
      <c r="Q228">
        <v>7216379</v>
      </c>
      <c r="R228" s="1" t="s">
        <v>82</v>
      </c>
      <c r="S228" s="1">
        <f t="shared" si="23"/>
        <v>134</v>
      </c>
      <c r="T228" s="1">
        <f t="shared" si="24"/>
        <v>-4</v>
      </c>
      <c r="U228">
        <f t="shared" si="25"/>
        <v>28</v>
      </c>
      <c r="V228">
        <f t="shared" si="26"/>
        <v>1418</v>
      </c>
      <c r="W228" s="8">
        <f t="shared" si="22"/>
        <v>2.0898765767448202E-2</v>
      </c>
      <c r="X228" s="1">
        <f>IF(Q228=0,(nazione[[#This Row],[nuovi_attualmente_positivi]]/nazione[[#This Row],[test_per_giorno]])*100,(nazione[[#This Row],[nuovi_attualmente_positivi]]/nazione[[#This Row],[test_per_giorno]])*100)</f>
        <v>4.2823092796698283</v>
      </c>
      <c r="Y228">
        <f>IF(nazione[[#This Row],[casi_testati]]=0,nazione[[#This Row],[tamponi]]-P227,IF(Q227=0,nazione[[#This Row],[casi_testati]]-Y227,nazione[[#This Row],[casi_testati]]-Q227))</f>
        <v>62513</v>
      </c>
      <c r="Z228" s="4">
        <f>IF(Q228=0,(nazione[[#This Row],[test_per_giorno]]/AG$3)*100,(nazione[[#This Row],[test_per_giorno]]/AG$3)*100)</f>
        <v>0.10376524955191449</v>
      </c>
      <c r="AA228" s="4">
        <f>(nazione[[#This Row],[ricoverati_con_sintomi]]/nazione[[#This Row],[totale_attualmente_positivi]])*100</f>
        <v>6.0282036784514581</v>
      </c>
      <c r="AB228" s="4">
        <f>(nazione[[#This Row],[terapia_intensiva]]/nazione[[#This Row],[totale_attualmente_positivi]])*100</f>
        <v>0.53048192370372838</v>
      </c>
      <c r="AC228" s="4">
        <f>((nazione[[#This Row],[totale_attualmente_positivi]]-(nazione[[#This Row],[totale_ospedalizzati]]))/nazione[[#This Row],[totale_attualmente_positivi]])*100</f>
        <v>93.441314397844806</v>
      </c>
      <c r="AD228" s="8">
        <f>(nazione[[#This Row],[Deceaded by day]]/nazione[[#This Row],[totale_attualmente_positivi]])*100</f>
        <v>4.6562676688728509E-2</v>
      </c>
      <c r="AE228" s="8">
        <f>(nazione[[#This Row],[Deceaded by day]]/morti_per_regione!D$2) *100</f>
        <v>4.4224515228237981E-3</v>
      </c>
    </row>
    <row r="229" spans="1:31" x14ac:dyDescent="0.2">
      <c r="A229">
        <v>227</v>
      </c>
      <c r="B229" s="6">
        <v>44111.708333333336</v>
      </c>
      <c r="C229" s="1" t="s">
        <v>42</v>
      </c>
      <c r="D229">
        <v>3782</v>
      </c>
      <c r="E229">
        <v>337</v>
      </c>
      <c r="F229">
        <v>4119</v>
      </c>
      <c r="G229">
        <v>58457</v>
      </c>
      <c r="H229">
        <v>62576</v>
      </c>
      <c r="I229">
        <v>2442</v>
      </c>
      <c r="J229">
        <v>3678</v>
      </c>
      <c r="K229">
        <v>235303</v>
      </c>
      <c r="L229">
        <v>36061</v>
      </c>
      <c r="M229">
        <v>258884</v>
      </c>
      <c r="N229">
        <v>75056</v>
      </c>
      <c r="O229">
        <v>333940</v>
      </c>
      <c r="P229">
        <v>12069402</v>
      </c>
      <c r="Q229">
        <v>7296766</v>
      </c>
      <c r="R229" s="1" t="s">
        <v>82</v>
      </c>
      <c r="S229" s="1">
        <f t="shared" si="23"/>
        <v>175</v>
      </c>
      <c r="T229" s="1">
        <f t="shared" si="24"/>
        <v>18</v>
      </c>
      <c r="U229">
        <f t="shared" si="25"/>
        <v>31</v>
      </c>
      <c r="V229">
        <f t="shared" si="26"/>
        <v>1204</v>
      </c>
      <c r="W229" s="8">
        <f t="shared" si="22"/>
        <v>4.0609305883526847E-2</v>
      </c>
      <c r="X229" s="1">
        <f>IF(Q229=0,(nazione[[#This Row],[nuovi_attualmente_positivi]]/nazione[[#This Row],[test_per_giorno]])*100,(nazione[[#This Row],[nuovi_attualmente_positivi]]/nazione[[#This Row],[test_per_giorno]])*100)</f>
        <v>4.5753666637640409</v>
      </c>
      <c r="Y229">
        <f>IF(nazione[[#This Row],[casi_testati]]=0,nazione[[#This Row],[tamponi]]-P228,IF(Q228=0,nazione[[#This Row],[casi_testati]]-Y228,nazione[[#This Row],[casi_testati]]-Q228))</f>
        <v>80387</v>
      </c>
      <c r="Z229" s="4">
        <f>IF(Q229=0,(nazione[[#This Row],[test_per_giorno]]/AG$3)*100,(nazione[[#This Row],[test_per_giorno]]/AG$3)*100)</f>
        <v>0.13343427952153553</v>
      </c>
      <c r="AA229" s="4">
        <f>(nazione[[#This Row],[ricoverati_con_sintomi]]/nazione[[#This Row],[totale_attualmente_positivi]])*100</f>
        <v>6.0438506775760672</v>
      </c>
      <c r="AB229" s="4">
        <f>(nazione[[#This Row],[terapia_intensiva]]/nazione[[#This Row],[totale_attualmente_positivi]])*100</f>
        <v>0.53854512912298647</v>
      </c>
      <c r="AC229" s="4">
        <f>((nazione[[#This Row],[totale_attualmente_positivi]]-(nazione[[#This Row],[totale_ospedalizzati]]))/nazione[[#This Row],[totale_attualmente_positivi]])*100</f>
        <v>93.417604193300946</v>
      </c>
      <c r="AD229" s="8">
        <f>(nazione[[#This Row],[Deceaded by day]]/nazione[[#This Row],[totale_attualmente_positivi]])*100</f>
        <v>4.9539759652262844E-2</v>
      </c>
      <c r="AE229" s="8">
        <f>(nazione[[#This Row],[Deceaded by day]]/morti_per_regione!D$2) *100</f>
        <v>4.8962856145549202E-3</v>
      </c>
    </row>
    <row r="230" spans="1:31" x14ac:dyDescent="0.2">
      <c r="A230">
        <v>228</v>
      </c>
      <c r="B230" s="6">
        <v>44112.708333333336</v>
      </c>
      <c r="C230" s="1" t="s">
        <v>42</v>
      </c>
      <c r="D230">
        <v>3925</v>
      </c>
      <c r="E230">
        <v>358</v>
      </c>
      <c r="F230">
        <v>4283</v>
      </c>
      <c r="G230">
        <v>61669</v>
      </c>
      <c r="H230">
        <v>65952</v>
      </c>
      <c r="I230">
        <v>3376</v>
      </c>
      <c r="J230">
        <v>4458</v>
      </c>
      <c r="K230">
        <v>236363</v>
      </c>
      <c r="L230">
        <v>36083</v>
      </c>
      <c r="M230">
        <v>261304</v>
      </c>
      <c r="N230">
        <v>77094</v>
      </c>
      <c r="O230">
        <v>338398</v>
      </c>
      <c r="P230">
        <v>12197500</v>
      </c>
      <c r="Q230">
        <v>7365751</v>
      </c>
      <c r="R230" s="1" t="s">
        <v>82</v>
      </c>
      <c r="S230" s="1">
        <f t="shared" si="23"/>
        <v>164</v>
      </c>
      <c r="T230" s="1">
        <f t="shared" si="24"/>
        <v>21</v>
      </c>
      <c r="U230">
        <f t="shared" si="25"/>
        <v>22</v>
      </c>
      <c r="V230">
        <f t="shared" si="26"/>
        <v>1060</v>
      </c>
      <c r="W230" s="8">
        <f t="shared" si="22"/>
        <v>5.3950396318077187E-2</v>
      </c>
      <c r="X230" s="1">
        <f>IF(Q230=0,(nazione[[#This Row],[nuovi_attualmente_positivi]]/nazione[[#This Row],[test_per_giorno]])*100,(nazione[[#This Row],[nuovi_attualmente_positivi]]/nazione[[#This Row],[test_per_giorno]])*100)</f>
        <v>6.462274407479887</v>
      </c>
      <c r="Y230">
        <f>IF(nazione[[#This Row],[casi_testati]]=0,nazione[[#This Row],[tamponi]]-P229,IF(Q229=0,nazione[[#This Row],[casi_testati]]-Y229,nazione[[#This Row],[casi_testati]]-Q229))</f>
        <v>68985</v>
      </c>
      <c r="Z230" s="4">
        <f>IF(Q230=0,(nazione[[#This Row],[test_per_giorno]]/AG$3)*100,(nazione[[#This Row],[test_per_giorno]]/AG$3)*100)</f>
        <v>0.11450811415767634</v>
      </c>
      <c r="AA230" s="4">
        <f>(nazione[[#This Row],[ricoverati_con_sintomi]]/nazione[[#This Row],[totale_attualmente_positivi]])*100</f>
        <v>5.9512979136341588</v>
      </c>
      <c r="AB230" s="4">
        <f>(nazione[[#This Row],[terapia_intensiva]]/nazione[[#This Row],[totale_attualmente_positivi]])*100</f>
        <v>0.54281901989325576</v>
      </c>
      <c r="AC230" s="4">
        <f>((nazione[[#This Row],[totale_attualmente_positivi]]-(nazione[[#This Row],[totale_ospedalizzati]]))/nazione[[#This Row],[totale_attualmente_positivi]])*100</f>
        <v>93.505883066472578</v>
      </c>
      <c r="AD230" s="8">
        <f>(nazione[[#This Row],[Deceaded by day]]/nazione[[#This Row],[totale_attualmente_positivi]])*100</f>
        <v>3.3357593401261529E-2</v>
      </c>
      <c r="AE230" s="8">
        <f>(nazione[[#This Row],[Deceaded by day]]/morti_per_regione!D$2) *100</f>
        <v>3.4747833393615557E-3</v>
      </c>
    </row>
    <row r="231" spans="1:31" x14ac:dyDescent="0.2">
      <c r="A231">
        <v>229</v>
      </c>
      <c r="B231" s="6">
        <v>44113.708333333336</v>
      </c>
      <c r="C231" s="1" t="s">
        <v>42</v>
      </c>
      <c r="D231">
        <v>4086</v>
      </c>
      <c r="E231">
        <v>387</v>
      </c>
      <c r="F231">
        <v>4473</v>
      </c>
      <c r="G231">
        <v>65637</v>
      </c>
      <c r="H231">
        <v>70110</v>
      </c>
      <c r="I231">
        <v>4158</v>
      </c>
      <c r="J231">
        <v>5372</v>
      </c>
      <c r="K231">
        <v>237549</v>
      </c>
      <c r="L231">
        <v>36111</v>
      </c>
      <c r="M231">
        <v>264137</v>
      </c>
      <c r="N231">
        <v>79633</v>
      </c>
      <c r="O231">
        <v>343770</v>
      </c>
      <c r="P231">
        <v>12326971</v>
      </c>
      <c r="Q231">
        <v>7443593</v>
      </c>
      <c r="R231" s="1" t="s">
        <v>82</v>
      </c>
      <c r="S231" s="1">
        <f t="shared" si="23"/>
        <v>190</v>
      </c>
      <c r="T231" s="1">
        <f t="shared" si="24"/>
        <v>29</v>
      </c>
      <c r="U231">
        <f t="shared" si="25"/>
        <v>28</v>
      </c>
      <c r="V231">
        <f t="shared" si="26"/>
        <v>1186</v>
      </c>
      <c r="W231" s="8">
        <f t="shared" si="22"/>
        <v>6.3045851528384267E-2</v>
      </c>
      <c r="X231" s="1">
        <f>IF(Q231=0,(nazione[[#This Row],[nuovi_attualmente_positivi]]/nazione[[#This Row],[test_per_giorno]])*100,(nazione[[#This Row],[nuovi_attualmente_positivi]]/nazione[[#This Row],[test_per_giorno]])*100)</f>
        <v>6.901158757483107</v>
      </c>
      <c r="Y231">
        <f>IF(nazione[[#This Row],[casi_testati]]=0,nazione[[#This Row],[tamponi]]-P230,IF(Q230=0,nazione[[#This Row],[casi_testati]]-Y230,nazione[[#This Row],[casi_testati]]-Q230))</f>
        <v>77842</v>
      </c>
      <c r="Z231" s="4">
        <f>IF(Q231=0,(nazione[[#This Row],[test_per_giorno]]/AG$3)*100,(nazione[[#This Row],[test_per_giorno]]/AG$3)*100)</f>
        <v>0.12920983724377533</v>
      </c>
      <c r="AA231" s="4">
        <f>(nazione[[#This Row],[ricoverati_con_sintomi]]/nazione[[#This Row],[totale_attualmente_positivi]])*100</f>
        <v>5.8279845956354297</v>
      </c>
      <c r="AB231" s="4">
        <f>(nazione[[#This Row],[terapia_intensiva]]/nazione[[#This Row],[totale_attualmente_positivi]])*100</f>
        <v>0.5519897304236201</v>
      </c>
      <c r="AC231" s="4">
        <f>((nazione[[#This Row],[totale_attualmente_positivi]]-(nazione[[#This Row],[totale_ospedalizzati]]))/nazione[[#This Row],[totale_attualmente_positivi]])*100</f>
        <v>93.620025673940958</v>
      </c>
      <c r="AD231" s="8">
        <f>(nazione[[#This Row],[Deceaded by day]]/nazione[[#This Row],[totale_attualmente_positivi]])*100</f>
        <v>3.993724147767793E-2</v>
      </c>
      <c r="AE231" s="8">
        <f>(nazione[[#This Row],[Deceaded by day]]/morti_per_regione!D$2) *100</f>
        <v>4.4224515228237981E-3</v>
      </c>
    </row>
    <row r="232" spans="1:31" x14ac:dyDescent="0.2">
      <c r="A232">
        <v>230</v>
      </c>
      <c r="B232" s="6">
        <v>44114.708333333336</v>
      </c>
      <c r="C232" s="1" t="s">
        <v>42</v>
      </c>
      <c r="D232">
        <v>4336</v>
      </c>
      <c r="E232">
        <v>390</v>
      </c>
      <c r="F232">
        <v>4726</v>
      </c>
      <c r="G232">
        <v>70103</v>
      </c>
      <c r="H232">
        <v>74829</v>
      </c>
      <c r="I232">
        <v>4719</v>
      </c>
      <c r="J232">
        <v>5724</v>
      </c>
      <c r="K232">
        <v>238525</v>
      </c>
      <c r="L232">
        <v>36140</v>
      </c>
      <c r="M232">
        <v>267320</v>
      </c>
      <c r="N232">
        <v>82174</v>
      </c>
      <c r="O232">
        <v>349494</v>
      </c>
      <c r="P232">
        <v>12460055</v>
      </c>
      <c r="Q232">
        <v>7523702</v>
      </c>
      <c r="R232" s="1" t="s">
        <v>82</v>
      </c>
      <c r="S232" s="1">
        <f t="shared" si="23"/>
        <v>253</v>
      </c>
      <c r="T232" s="1">
        <f t="shared" si="24"/>
        <v>3</v>
      </c>
      <c r="U232">
        <f t="shared" si="25"/>
        <v>29</v>
      </c>
      <c r="V232">
        <f t="shared" si="26"/>
        <v>976</v>
      </c>
      <c r="W232" s="8">
        <f t="shared" si="22"/>
        <v>6.7308515190415141E-2</v>
      </c>
      <c r="X232" s="1">
        <f>IF(Q232=0,(nazione[[#This Row],[nuovi_attualmente_positivi]]/nazione[[#This Row],[test_per_giorno]])*100,(nazione[[#This Row],[nuovi_attualmente_positivi]]/nazione[[#This Row],[test_per_giorno]])*100)</f>
        <v>7.1452645770138181</v>
      </c>
      <c r="Y232">
        <f>IF(nazione[[#This Row],[casi_testati]]=0,nazione[[#This Row],[tamponi]]-P231,IF(Q231=0,nazione[[#This Row],[casi_testati]]-Y231,nazione[[#This Row],[casi_testati]]-Q231))</f>
        <v>80109</v>
      </c>
      <c r="Z232" s="4">
        <f>IF(Q232=0,(nazione[[#This Row],[test_per_giorno]]/AG$3)*100,(nazione[[#This Row],[test_per_giorno]]/AG$3)*100)</f>
        <v>0.13297282767351298</v>
      </c>
      <c r="AA232" s="4">
        <f>(nazione[[#This Row],[ricoverati_con_sintomi]]/nazione[[#This Row],[totale_attualmente_positivi]])*100</f>
        <v>5.7945448956955197</v>
      </c>
      <c r="AB232" s="4">
        <f>(nazione[[#This Row],[terapia_intensiva]]/nazione[[#This Row],[totale_attualmente_positivi]])*100</f>
        <v>0.52118830934530735</v>
      </c>
      <c r="AC232" s="4">
        <f>((nazione[[#This Row],[totale_attualmente_positivi]]-(nazione[[#This Row],[totale_ospedalizzati]]))/nazione[[#This Row],[totale_attualmente_positivi]])*100</f>
        <v>93.684266794959171</v>
      </c>
      <c r="AD232" s="8">
        <f>(nazione[[#This Row],[Deceaded by day]]/nazione[[#This Row],[totale_attualmente_positivi]])*100</f>
        <v>3.8755028130804905E-2</v>
      </c>
      <c r="AE232" s="8">
        <f>(nazione[[#This Row],[Deceaded by day]]/morti_per_regione!D$2) *100</f>
        <v>4.5803962200675055E-3</v>
      </c>
    </row>
    <row r="233" spans="1:31" x14ac:dyDescent="0.2">
      <c r="A233">
        <v>231</v>
      </c>
      <c r="B233" s="6">
        <v>44115.708333333336</v>
      </c>
      <c r="C233" s="1" t="s">
        <v>42</v>
      </c>
      <c r="D233">
        <v>4519</v>
      </c>
      <c r="E233">
        <v>420</v>
      </c>
      <c r="F233">
        <v>4939</v>
      </c>
      <c r="G233">
        <v>74136</v>
      </c>
      <c r="H233">
        <v>79075</v>
      </c>
      <c r="I233">
        <v>4246</v>
      </c>
      <c r="J233">
        <v>5456</v>
      </c>
      <c r="K233">
        <v>239709</v>
      </c>
      <c r="L233">
        <v>36166</v>
      </c>
      <c r="M233">
        <v>270510</v>
      </c>
      <c r="N233">
        <v>84440</v>
      </c>
      <c r="O233">
        <v>354950</v>
      </c>
      <c r="P233">
        <v>12564713</v>
      </c>
      <c r="Q233">
        <v>7592410</v>
      </c>
      <c r="R233" s="1" t="s">
        <v>82</v>
      </c>
      <c r="S233" s="1">
        <f t="shared" si="23"/>
        <v>213</v>
      </c>
      <c r="T233" s="1">
        <f t="shared" si="24"/>
        <v>30</v>
      </c>
      <c r="U233">
        <f t="shared" ref="U233" si="27">L233-L232</f>
        <v>26</v>
      </c>
      <c r="V233">
        <f t="shared" ref="V233" si="28">K233-K232</f>
        <v>1184</v>
      </c>
      <c r="W233" s="8">
        <f t="shared" si="22"/>
        <v>5.6742706704619783E-2</v>
      </c>
      <c r="X233" s="1">
        <f>IF(Q233=0,(nazione[[#This Row],[nuovi_attualmente_positivi]]/nazione[[#This Row],[test_per_giorno]])*100,(nazione[[#This Row],[nuovi_attualmente_positivi]]/nazione[[#This Row],[test_per_giorno]])*100)</f>
        <v>7.940851138149851</v>
      </c>
      <c r="Y233">
        <f>IF(nazione[[#This Row],[casi_testati]]=0,nazione[[#This Row],[tamponi]]-P232,IF(Q232=0,nazione[[#This Row],[casi_testati]]-Y232,nazione[[#This Row],[casi_testati]]-Q232))</f>
        <v>68708</v>
      </c>
      <c r="Z233" s="4">
        <f>IF(Q233=0,(nazione[[#This Row],[test_per_giorno]]/AG$3)*100,(nazione[[#This Row],[test_per_giorno]]/AG$3)*100)</f>
        <v>0.1140483222083877</v>
      </c>
      <c r="AA233" s="4">
        <f>(nazione[[#This Row],[ricoverati_con_sintomi]]/nazione[[#This Row],[totale_attualmente_positivi]])*100</f>
        <v>5.7148276952260515</v>
      </c>
      <c r="AB233" s="4">
        <f>(nazione[[#This Row],[terapia_intensiva]]/nazione[[#This Row],[totale_attualmente_positivi]])*100</f>
        <v>0.53114132153019278</v>
      </c>
      <c r="AC233" s="4">
        <f>((nazione[[#This Row],[totale_attualmente_positivi]]-(nazione[[#This Row],[totale_ospedalizzati]]))/nazione[[#This Row],[totale_attualmente_positivi]])*100</f>
        <v>93.754030983243752</v>
      </c>
      <c r="AD233" s="8">
        <f>(nazione[[#This Row],[Deceaded by day]]/nazione[[#This Row],[totale_attualmente_positivi]])*100</f>
        <v>3.2880177047107176E-2</v>
      </c>
      <c r="AE233" s="8">
        <f>(nazione[[#This Row],[Deceaded by day]]/morti_per_regione!D$2) *100</f>
        <v>4.1065621283363843E-3</v>
      </c>
    </row>
    <row r="234" spans="1:31" x14ac:dyDescent="0.2">
      <c r="A234">
        <v>232</v>
      </c>
      <c r="B234" s="6">
        <v>44116.708333333336</v>
      </c>
      <c r="C234" s="1" t="s">
        <v>42</v>
      </c>
      <c r="D234">
        <v>4821</v>
      </c>
      <c r="E234">
        <v>452</v>
      </c>
      <c r="F234">
        <v>5273</v>
      </c>
      <c r="G234">
        <v>77491</v>
      </c>
      <c r="H234">
        <v>82764</v>
      </c>
      <c r="I234">
        <v>3689</v>
      </c>
      <c r="J234">
        <v>4619</v>
      </c>
      <c r="K234">
        <v>240600</v>
      </c>
      <c r="L234">
        <v>36205</v>
      </c>
      <c r="M234">
        <v>272960</v>
      </c>
      <c r="N234">
        <v>86609</v>
      </c>
      <c r="O234">
        <v>359569</v>
      </c>
      <c r="P234">
        <v>12650155</v>
      </c>
      <c r="Q234">
        <v>7652059</v>
      </c>
      <c r="R234" s="1" t="s">
        <v>82</v>
      </c>
      <c r="S234" s="1">
        <f t="shared" si="23"/>
        <v>334</v>
      </c>
      <c r="T234" s="1">
        <f t="shared" si="24"/>
        <v>32</v>
      </c>
      <c r="U234">
        <f t="shared" ref="U234:U235" si="29">L234-L233</f>
        <v>39</v>
      </c>
      <c r="V234">
        <f t="shared" ref="V234:V235" si="30">K234-K233</f>
        <v>891</v>
      </c>
      <c r="W234" s="8">
        <f t="shared" si="22"/>
        <v>4.6651912741068502E-2</v>
      </c>
      <c r="X234" s="1">
        <f>IF(Q234=0,(nazione[[#This Row],[nuovi_attualmente_positivi]]/nazione[[#This Row],[test_per_giorno]])*100,(nazione[[#This Row],[nuovi_attualmente_positivi]]/nazione[[#This Row],[test_per_giorno]])*100)</f>
        <v>7.7436335898338617</v>
      </c>
      <c r="Y234">
        <f>IF(nazione[[#This Row],[casi_testati]]=0,nazione[[#This Row],[tamponi]]-P233,IF(Q233=0,nazione[[#This Row],[casi_testati]]-Y233,nazione[[#This Row],[casi_testati]]-Q233))</f>
        <v>59649</v>
      </c>
      <c r="Z234" s="4">
        <f>IF(Q239=0,(nazione[[#This Row],[test_per_giorno]]/AG$3)*100,(nazione[[#This Row],[test_per_giorno]]/AG$3)*100)</f>
        <v>9.9011299578042125E-2</v>
      </c>
      <c r="AA234" s="4">
        <f>(nazione[[#This Row],[ricoverati_con_sintomi]]/nazione[[#This Row],[totale_attualmente_positivi]])*100</f>
        <v>5.8249963752356093</v>
      </c>
      <c r="AB234" s="4">
        <f>(nazione[[#This Row],[terapia_intensiva]]/nazione[[#This Row],[totale_attualmente_positivi]])*100</f>
        <v>0.54613116814073748</v>
      </c>
      <c r="AC234" s="4">
        <f>((nazione[[#This Row],[totale_attualmente_positivi]]-(nazione[[#This Row],[totale_ospedalizzati]]))/nazione[[#This Row],[totale_attualmente_positivi]])*100</f>
        <v>93.628872456623654</v>
      </c>
      <c r="AD234" s="8">
        <f>(nazione[[#This Row],[Deceaded by day]]/nazione[[#This Row],[totale_attualmente_positivi]])*100</f>
        <v>4.7121937074090181E-2</v>
      </c>
      <c r="AE234" s="8">
        <f>(nazione[[#This Row],[Deceaded by day]]/morti_per_regione!D$2) *100</f>
        <v>6.1598431925045764E-3</v>
      </c>
    </row>
    <row r="235" spans="1:31" x14ac:dyDescent="0.2">
      <c r="A235">
        <v>233</v>
      </c>
      <c r="B235" s="6">
        <v>44117.708333333336</v>
      </c>
      <c r="C235" s="1" t="s">
        <v>42</v>
      </c>
      <c r="D235">
        <v>5076</v>
      </c>
      <c r="E235">
        <v>514</v>
      </c>
      <c r="F235">
        <v>5590</v>
      </c>
      <c r="G235">
        <v>81603</v>
      </c>
      <c r="H235">
        <v>87193</v>
      </c>
      <c r="I235">
        <v>4429</v>
      </c>
      <c r="J235">
        <v>5901</v>
      </c>
      <c r="K235">
        <v>242028</v>
      </c>
      <c r="L235">
        <v>36246</v>
      </c>
      <c r="M235">
        <v>276267</v>
      </c>
      <c r="N235">
        <v>89200</v>
      </c>
      <c r="O235">
        <v>365467</v>
      </c>
      <c r="P235">
        <v>12762699</v>
      </c>
      <c r="Q235">
        <v>7722319</v>
      </c>
      <c r="R235" s="1" t="s">
        <v>82</v>
      </c>
      <c r="S235" s="1">
        <f t="shared" si="23"/>
        <v>317</v>
      </c>
      <c r="T235" s="1">
        <f t="shared" si="24"/>
        <v>62</v>
      </c>
      <c r="U235">
        <f t="shared" si="29"/>
        <v>41</v>
      </c>
      <c r="V235">
        <f t="shared" si="30"/>
        <v>1428</v>
      </c>
      <c r="W235" s="8">
        <f t="shared" si="22"/>
        <v>5.3513604949011695E-2</v>
      </c>
      <c r="X235" s="1">
        <f>IF(Q235=0,(nazione[[#This Row],[nuovi_attualmente_positivi]]/nazione[[#This Row],[test_per_giorno]])*100,(nazione[[#This Row],[nuovi_attualmente_positivi]]/nazione[[#This Row],[test_per_giorno]])*100)</f>
        <v>8.3988044406490179</v>
      </c>
      <c r="Y235">
        <f>IF(nazione[[#This Row],[casi_testati]]=0,nazione[[#This Row],[tamponi]]-P234,IF(Q234=0,nazione[[#This Row],[casi_testati]]-Y234,nazione[[#This Row],[casi_testati]]-Q234))</f>
        <v>70260</v>
      </c>
      <c r="Z235" s="4">
        <f>IF(Q240=0,(nazione[[#This Row],[test_per_giorno]]/AG$3)*100,(nazione[[#This Row],[test_per_giorno]]/AG$3)*100)</f>
        <v>0.11662448504339115</v>
      </c>
      <c r="AA235" s="4">
        <f>(nazione[[#This Row],[ricoverati_con_sintomi]]/nazione[[#This Row],[totale_attualmente_positivi]])*100</f>
        <v>5.8215682451572954</v>
      </c>
      <c r="AB235" s="4">
        <f>(nazione[[#This Row],[terapia_intensiva]]/nazione[[#This Row],[totale_attualmente_positivi]])*100</f>
        <v>0.58949686328030915</v>
      </c>
      <c r="AC235" s="4">
        <f>((nazione[[#This Row],[totale_attualmente_positivi]]-(nazione[[#This Row],[totale_ospedalizzati]]))/nazione[[#This Row],[totale_attualmente_positivi]])*100</f>
        <v>93.588934891562388</v>
      </c>
      <c r="AD235" s="8">
        <f>(nazione[[#This Row],[Deceaded by day]]/nazione[[#This Row],[totale_attualmente_positivi]])*100</f>
        <v>4.7022123335588861E-2</v>
      </c>
      <c r="AE235" s="8">
        <f>(nazione[[#This Row],[Deceaded by day]]/morti_per_regione!D$2) *100</f>
        <v>6.4757325869919903E-3</v>
      </c>
    </row>
    <row r="236" spans="1:31" x14ac:dyDescent="0.2">
      <c r="A236">
        <v>234</v>
      </c>
      <c r="B236" s="6">
        <v>44118.708333333336</v>
      </c>
      <c r="C236" s="1" t="s">
        <v>42</v>
      </c>
      <c r="D236">
        <v>5470</v>
      </c>
      <c r="E236">
        <v>539</v>
      </c>
      <c r="F236">
        <v>6009</v>
      </c>
      <c r="G236">
        <v>86436</v>
      </c>
      <c r="H236">
        <v>92445</v>
      </c>
      <c r="I236">
        <v>5252</v>
      </c>
      <c r="J236">
        <v>7332</v>
      </c>
      <c r="K236">
        <v>244065</v>
      </c>
      <c r="L236">
        <v>36289</v>
      </c>
      <c r="M236">
        <v>280479</v>
      </c>
      <c r="N236">
        <v>92320</v>
      </c>
      <c r="O236">
        <v>372799</v>
      </c>
      <c r="P236">
        <v>12914895</v>
      </c>
      <c r="Q236">
        <v>7809920</v>
      </c>
      <c r="R236" s="1" t="s">
        <v>82</v>
      </c>
      <c r="S236" s="1">
        <f t="shared" si="23"/>
        <v>419</v>
      </c>
      <c r="T236" s="1">
        <f t="shared" si="24"/>
        <v>25</v>
      </c>
      <c r="U236">
        <f t="shared" ref="U236:U237" si="31">L236-L235</f>
        <v>43</v>
      </c>
      <c r="V236">
        <f t="shared" ref="V236:V237" si="32">K236-K235</f>
        <v>2037</v>
      </c>
      <c r="W236" s="8">
        <f t="shared" si="22"/>
        <v>6.0234193111832424E-2</v>
      </c>
      <c r="X236" s="1">
        <f>IF(Q236=0,(nazione[[#This Row],[nuovi_attualmente_positivi]]/nazione[[#This Row],[test_per_giorno]])*100,(nazione[[#This Row],[nuovi_attualmente_positivi]]/nazione[[#This Row],[test_per_giorno]])*100)</f>
        <v>8.3697674684078951</v>
      </c>
      <c r="Y236">
        <f>IF(nazione[[#This Row],[casi_testati]]=0,nazione[[#This Row],[tamponi]]-P235,IF(Q235=0,nazione[[#This Row],[casi_testati]]-Y235,nazione[[#This Row],[casi_testati]]-Q235))</f>
        <v>87601</v>
      </c>
      <c r="Z236" s="4">
        <f>IF(Q241=0,(nazione[[#This Row],[test_per_giorno]]/AG$3)*100,(nazione[[#This Row],[test_per_giorno]]/AG$3)*100)</f>
        <v>0.1454087889878467</v>
      </c>
      <c r="AA236" s="4">
        <f>(nazione[[#This Row],[ricoverati_con_sintomi]]/nazione[[#This Row],[totale_attualmente_positivi]])*100</f>
        <v>5.9170317486072799</v>
      </c>
      <c r="AB236" s="4">
        <f>(nazione[[#This Row],[terapia_intensiva]]/nazione[[#This Row],[totale_attualmente_positivi]])*100</f>
        <v>0.58304938071285628</v>
      </c>
      <c r="AC236" s="4">
        <f>((nazione[[#This Row],[totale_attualmente_positivi]]-(nazione[[#This Row],[totale_ospedalizzati]]))/nazione[[#This Row],[totale_attualmente_positivi]])*100</f>
        <v>93.499918870679863</v>
      </c>
      <c r="AD236" s="8">
        <f>(nazione[[#This Row],[Deceaded by day]]/nazione[[#This Row],[totale_attualmente_positivi]])*100</f>
        <v>4.6514143544810427E-2</v>
      </c>
      <c r="AE236" s="8">
        <f>(nazione[[#This Row],[Deceaded by day]]/morti_per_regione!D$2) *100</f>
        <v>6.7916219814794041E-3</v>
      </c>
    </row>
    <row r="237" spans="1:31" x14ac:dyDescent="0.2">
      <c r="A237">
        <v>235</v>
      </c>
      <c r="B237" s="6">
        <v>44119.708333333336</v>
      </c>
      <c r="C237" s="1" t="s">
        <v>42</v>
      </c>
      <c r="D237">
        <v>5796</v>
      </c>
      <c r="E237">
        <v>586</v>
      </c>
      <c r="F237">
        <v>6382</v>
      </c>
      <c r="G237">
        <v>92884</v>
      </c>
      <c r="H237">
        <v>99266</v>
      </c>
      <c r="I237">
        <v>6821</v>
      </c>
      <c r="J237">
        <v>8804</v>
      </c>
      <c r="K237">
        <v>245964</v>
      </c>
      <c r="L237">
        <v>36372</v>
      </c>
      <c r="M237">
        <v>285569</v>
      </c>
      <c r="N237">
        <v>96033</v>
      </c>
      <c r="O237">
        <v>381602</v>
      </c>
      <c r="P237">
        <v>13077827</v>
      </c>
      <c r="Q237">
        <v>7908462</v>
      </c>
      <c r="R237" s="1" t="s">
        <v>82</v>
      </c>
      <c r="S237" s="1">
        <f t="shared" si="23"/>
        <v>373</v>
      </c>
      <c r="T237" s="1">
        <f t="shared" si="24"/>
        <v>47</v>
      </c>
      <c r="U237">
        <f t="shared" si="31"/>
        <v>83</v>
      </c>
      <c r="V237">
        <f t="shared" si="32"/>
        <v>1899</v>
      </c>
      <c r="W237" s="8">
        <f t="shared" si="22"/>
        <v>7.378441235329114E-2</v>
      </c>
      <c r="X237" s="1">
        <f>IF(Q237=0,(nazione[[#This Row],[nuovi_attualmente_positivi]]/nazione[[#This Row],[test_per_giorno]])*100,(nazione[[#This Row],[nuovi_attualmente_positivi]]/nazione[[#This Row],[test_per_giorno]])*100)</f>
        <v>8.934261533153375</v>
      </c>
      <c r="Y237">
        <f>IF(nazione[[#This Row],[casi_testati]]=0,nazione[[#This Row],[tamponi]]-P236,IF(Q236=0,nazione[[#This Row],[casi_testati]]-Y236,nazione[[#This Row],[casi_testati]]-Q236))</f>
        <v>98542</v>
      </c>
      <c r="Z237" s="4">
        <f>IF(Q242=0,(nazione[[#This Row],[test_per_giorno]]/AG$3)*100,(nazione[[#This Row],[test_per_giorno]]/AG$3)*100)</f>
        <v>0.16356974103538074</v>
      </c>
      <c r="AA237" s="4">
        <f>(nazione[[#This Row],[ricoverati_con_sintomi]]/nazione[[#This Row],[totale_attualmente_positivi]])*100</f>
        <v>5.8388572119356077</v>
      </c>
      <c r="AB237" s="4">
        <f>(nazione[[#This Row],[terapia_intensiva]]/nazione[[#This Row],[totale_attualmente_positivi]])*100</f>
        <v>0.59033304454697477</v>
      </c>
      <c r="AC237" s="4">
        <f>((nazione[[#This Row],[totale_attualmente_positivi]]-(nazione[[#This Row],[totale_ospedalizzati]]))/nazione[[#This Row],[totale_attualmente_positivi]])*100</f>
        <v>93.570809743517415</v>
      </c>
      <c r="AD237" s="8">
        <f>(nazione[[#This Row],[Deceaded by day]]/nazione[[#This Row],[totale_attualmente_positivi]])*100</f>
        <v>8.3613724739588585E-2</v>
      </c>
      <c r="AE237" s="8">
        <f>(nazione[[#This Row],[Deceaded by day]]/morti_per_regione!D$2) *100</f>
        <v>1.3109409871227688E-2</v>
      </c>
    </row>
    <row r="238" spans="1:31" x14ac:dyDescent="0.2">
      <c r="A238">
        <v>236</v>
      </c>
      <c r="B238" s="6">
        <v>44120.708333333336</v>
      </c>
      <c r="C238" s="1" t="s">
        <v>42</v>
      </c>
      <c r="D238">
        <v>6178</v>
      </c>
      <c r="E238">
        <v>638</v>
      </c>
      <c r="F238">
        <v>6816</v>
      </c>
      <c r="G238">
        <v>100496</v>
      </c>
      <c r="H238">
        <v>107312</v>
      </c>
      <c r="I238">
        <v>8046</v>
      </c>
      <c r="J238">
        <v>10010</v>
      </c>
      <c r="K238">
        <v>247872</v>
      </c>
      <c r="L238">
        <v>36427</v>
      </c>
      <c r="M238">
        <v>291410</v>
      </c>
      <c r="N238">
        <v>100201</v>
      </c>
      <c r="O238">
        <v>391611</v>
      </c>
      <c r="P238">
        <v>13228204</v>
      </c>
      <c r="Q238">
        <v>8000864</v>
      </c>
      <c r="R238" s="1" t="s">
        <v>82</v>
      </c>
      <c r="S238" s="1">
        <f t="shared" ref="S238:S239" si="33">F238-F237</f>
        <v>434</v>
      </c>
      <c r="T238" s="1">
        <f t="shared" ref="T238:T239" si="34">E238-E237</f>
        <v>52</v>
      </c>
      <c r="U238">
        <f t="shared" ref="U238:U239" si="35">L238-L237</f>
        <v>55</v>
      </c>
      <c r="V238">
        <f t="shared" ref="V238:V239" si="36">K238-K237</f>
        <v>1908</v>
      </c>
      <c r="W238" s="8">
        <f t="shared" ref="W238:W239" si="37">(H238/H237)-1</f>
        <v>8.1054943283702441E-2</v>
      </c>
      <c r="X238" s="1">
        <f>IF(Q238=0,(nazione[[#This Row],[nuovi_attualmente_positivi]]/nazione[[#This Row],[test_per_giorno]])*100,(nazione[[#This Row],[nuovi_attualmente_positivi]]/nazione[[#This Row],[test_per_giorno]])*100)</f>
        <v>10.833098850674228</v>
      </c>
      <c r="Y238">
        <f>IF(nazione[[#This Row],[casi_testati]]=0,nazione[[#This Row],[tamponi]]-P237,IF(Q237=0,nazione[[#This Row],[casi_testati]]-Y237,nazione[[#This Row],[casi_testati]]-Q237))</f>
        <v>92402</v>
      </c>
      <c r="Z238" s="4">
        <f>IF(Q243=0,(nazione[[#This Row],[test_per_giorno]]/AG$3)*100,(nazione[[#This Row],[test_per_giorno]]/AG$3)*100)</f>
        <v>0.15337796280927171</v>
      </c>
      <c r="AA238" s="4">
        <f>(nazione[[#This Row],[ricoverati_con_sintomi]]/nazione[[#This Row],[totale_attualmente_positivi]])*100</f>
        <v>5.7570448784851642</v>
      </c>
      <c r="AB238" s="4">
        <f>(nazione[[#This Row],[terapia_intensiva]]/nazione[[#This Row],[totale_attualmente_positivi]])*100</f>
        <v>0.594528104964962</v>
      </c>
      <c r="AC238" s="4">
        <f>((nazione[[#This Row],[totale_attualmente_positivi]]-(nazione[[#This Row],[totale_ospedalizzati]]))/nazione[[#This Row],[totale_attualmente_positivi]])*100</f>
        <v>93.648427016549874</v>
      </c>
      <c r="AD238" s="8">
        <f>(nazione[[#This Row],[Deceaded by day]]/nazione[[#This Row],[totale_attualmente_positivi]])*100</f>
        <v>5.1252422841807067E-2</v>
      </c>
      <c r="AE238" s="8">
        <f>(nazione[[#This Row],[Deceaded by day]]/morti_per_regione!D$2) *100</f>
        <v>8.6869583484038906E-3</v>
      </c>
    </row>
    <row r="239" spans="1:31" x14ac:dyDescent="0.2">
      <c r="A239">
        <v>237</v>
      </c>
      <c r="B239" s="6">
        <v>44121.708333333336</v>
      </c>
      <c r="C239" s="1" t="s">
        <v>42</v>
      </c>
      <c r="D239">
        <v>6617</v>
      </c>
      <c r="E239">
        <v>705</v>
      </c>
      <c r="F239">
        <v>7322</v>
      </c>
      <c r="G239">
        <v>109613</v>
      </c>
      <c r="H239">
        <v>116935</v>
      </c>
      <c r="I239">
        <v>9623</v>
      </c>
      <c r="J239">
        <v>10925</v>
      </c>
      <c r="K239">
        <v>249127</v>
      </c>
      <c r="L239">
        <v>36474</v>
      </c>
      <c r="M239">
        <v>297983</v>
      </c>
      <c r="N239">
        <v>104553</v>
      </c>
      <c r="O239">
        <v>402536</v>
      </c>
      <c r="P239">
        <v>13394041</v>
      </c>
      <c r="Q239">
        <v>8104190</v>
      </c>
      <c r="R239" s="1" t="s">
        <v>82</v>
      </c>
      <c r="S239" s="1">
        <f t="shared" si="33"/>
        <v>506</v>
      </c>
      <c r="T239" s="1">
        <f t="shared" si="34"/>
        <v>67</v>
      </c>
      <c r="U239">
        <f t="shared" si="35"/>
        <v>47</v>
      </c>
      <c r="V239">
        <f t="shared" si="36"/>
        <v>1255</v>
      </c>
      <c r="W239" s="8">
        <f t="shared" si="37"/>
        <v>8.9673102728492715E-2</v>
      </c>
      <c r="X239" s="1">
        <f>IF(Q239=0,(nazione[[#This Row],[nuovi_attualmente_positivi]]/nazione[[#This Row],[test_per_giorno]])*100,(nazione[[#This Row],[nuovi_attualmente_positivi]]/nazione[[#This Row],[test_per_giorno]])*100)</f>
        <v>10.573331010587848</v>
      </c>
      <c r="Y239">
        <f>IF(nazione[[#This Row],[casi_testati]]=0,nazione[[#This Row],[tamponi]]-P238,IF(Q238=0,nazione[[#This Row],[casi_testati]]-Y238,nazione[[#This Row],[casi_testati]]-Q238))</f>
        <v>103326</v>
      </c>
      <c r="Z239" s="4">
        <f>IF(Q244=0,(nazione[[#This Row],[test_per_giorno]]/AG$3)*100,(nazione[[#This Row],[test_per_giorno]]/AG$3)*100)</f>
        <v>0.17151069657832957</v>
      </c>
      <c r="AA239" s="4">
        <f>(nazione[[#This Row],[ricoverati_con_sintomi]]/nazione[[#This Row],[totale_attualmente_positivi]])*100</f>
        <v>5.6586992773763205</v>
      </c>
      <c r="AB239" s="4">
        <f>(nazione[[#This Row],[terapia_intensiva]]/nazione[[#This Row],[totale_attualmente_positivi]])*100</f>
        <v>0.60289904647881309</v>
      </c>
      <c r="AC239" s="4">
        <f>((nazione[[#This Row],[totale_attualmente_positivi]]-(nazione[[#This Row],[totale_ospedalizzati]]))/nazione[[#This Row],[totale_attualmente_positivi]])*100</f>
        <v>93.738401676144861</v>
      </c>
      <c r="AD239" s="8">
        <f>(nazione[[#This Row],[Deceaded by day]]/nazione[[#This Row],[totale_attualmente_positivi]])*100</f>
        <v>4.0193269765254197E-2</v>
      </c>
      <c r="AE239" s="8">
        <f>(nazione[[#This Row],[Deceaded by day]]/morti_per_regione!D$2) *100</f>
        <v>7.4234007704542335E-3</v>
      </c>
    </row>
    <row r="240" spans="1:31" x14ac:dyDescent="0.2">
      <c r="C240" s="1"/>
      <c r="Z240" s="4"/>
      <c r="AA240" s="4"/>
      <c r="AB240" s="4"/>
      <c r="AC240" s="4"/>
      <c r="AD240" s="8"/>
      <c r="AE240" s="8"/>
    </row>
    <row r="245" spans="28:30" x14ac:dyDescent="0.2">
      <c r="AB245" t="s">
        <v>265</v>
      </c>
      <c r="AC245" t="s">
        <v>276</v>
      </c>
      <c r="AD245" t="s">
        <v>277</v>
      </c>
    </row>
    <row r="246" spans="28:30" x14ac:dyDescent="0.2">
      <c r="AB246" t="s">
        <v>272</v>
      </c>
      <c r="AC246" s="8">
        <f>(SUM(U3:U85)/morti_per_regione!D$2)*100</f>
        <v>5.0156918056711621</v>
      </c>
      <c r="AD246" s="8">
        <f>(SUM(U208:U261)/morti_per_regione!D$2)*100</f>
        <v>0.13283149038195766</v>
      </c>
    </row>
    <row r="247" spans="28:30" x14ac:dyDescent="0.2">
      <c r="AB247" t="s">
        <v>266</v>
      </c>
      <c r="AC247" s="8">
        <f>(SUMIF(J3:J85,"&gt;0")/SUMIF(Y3:Y85,"&gt;0"))*100</f>
        <v>7.1488847361933923</v>
      </c>
      <c r="AD247" s="8">
        <f>(SUM(J208:J261)/SUM(Y208:Y261))*100</f>
        <v>5.3663025055839881</v>
      </c>
    </row>
    <row r="248" spans="28:30" x14ac:dyDescent="0.2">
      <c r="AB248" t="s">
        <v>267</v>
      </c>
      <c r="AC248" s="8">
        <f>((SUMIF(J3:J85,"&gt;0")-SUMIF(S3:S85,"&gt;0"))/SUMIF(J3:J85,"&gt;0"))*100</f>
        <v>85.27399088773403</v>
      </c>
      <c r="AD248" s="8">
        <f>((SUMIF(J208:J261,"&gt;0")-SUMIF(S208:S261,"&gt;0"))/SUMIF(J208:J261,"&gt;0"))*100</f>
        <v>95.640508533302537</v>
      </c>
    </row>
    <row r="249" spans="28:30" x14ac:dyDescent="0.2">
      <c r="AB249" t="s">
        <v>268</v>
      </c>
      <c r="AC249" s="8">
        <f>(SUMIF(T3:T85,"&gt;0")/SUMIF(J3:J85,"&gt;0"))*100</f>
        <v>1.8099950167295507</v>
      </c>
      <c r="AD249" s="8">
        <f>(SUMIF(T208:T261,"&gt;0")/SUMIF(J208:J261,"&gt;0"))*100</f>
        <v>0.45664940164713613</v>
      </c>
    </row>
    <row r="250" spans="28:30" x14ac:dyDescent="0.2">
      <c r="AB250" t="s">
        <v>263</v>
      </c>
      <c r="AC250" s="8">
        <f>(SUMIF(U3:U85,"&gt;0")/SUMIF(J3:J85,"&gt;0"))*100</f>
        <v>14.129351462945824</v>
      </c>
      <c r="AD250" s="8">
        <f>(SUMIF(U208:U261,"&gt;0")/SUMIF(J208:J261,"&gt;0"))*100</f>
        <v>0.74716370969891344</v>
      </c>
    </row>
    <row r="251" spans="28:30" x14ac:dyDescent="0.2">
      <c r="AB251" t="s">
        <v>269</v>
      </c>
      <c r="AC251" s="8">
        <f>(SUMIF(Y3:Y86,"&gt;0")/$AF$46)*100</f>
        <v>5.2741290391000604</v>
      </c>
      <c r="AD251" s="8">
        <f>(SUMIF(Y203:Y261,"&gt;0")/$AF$46)*100</f>
        <v>3.8952876786264752</v>
      </c>
    </row>
    <row r="252" spans="28:30" x14ac:dyDescent="0.2">
      <c r="AC252" s="23"/>
    </row>
    <row r="253" spans="28:30" x14ac:dyDescent="0.2">
      <c r="AC253" s="23"/>
    </row>
    <row r="254" spans="28:30" x14ac:dyDescent="0.2">
      <c r="AC254" s="23"/>
      <c r="AD254" s="22"/>
    </row>
    <row r="256" spans="28:30" x14ac:dyDescent="0.2">
      <c r="AC256" t="s">
        <v>273</v>
      </c>
    </row>
    <row r="257" spans="28:29" x14ac:dyDescent="0.2">
      <c r="AB257" t="s">
        <v>274</v>
      </c>
      <c r="AC257">
        <f>(SUM(Y3:Y261)/AF46)*100</f>
        <v>15.517228014263642</v>
      </c>
    </row>
    <row r="258" spans="28:29" x14ac:dyDescent="0.2">
      <c r="AB258" t="s">
        <v>275</v>
      </c>
      <c r="AC258" s="24">
        <f>((AC257)/100)*AF46</f>
        <v>9348298</v>
      </c>
    </row>
    <row r="259" spans="28:29" x14ac:dyDescent="0.2">
      <c r="AB259" t="s">
        <v>278</v>
      </c>
      <c r="AC259" s="24">
        <f>AF46</f>
        <v>60244639</v>
      </c>
    </row>
    <row r="283" spans="3:21" x14ac:dyDescent="0.2">
      <c r="C283" s="5"/>
    </row>
    <row r="284" spans="3:21" x14ac:dyDescent="0.2">
      <c r="C284" s="5"/>
    </row>
    <row r="285" spans="3:21" x14ac:dyDescent="0.2">
      <c r="C285" s="5"/>
      <c r="E285" s="3"/>
      <c r="F285" s="3"/>
      <c r="G285" s="3"/>
      <c r="H285" s="3"/>
      <c r="I285" s="3"/>
      <c r="J285" s="3"/>
      <c r="K285" s="3"/>
      <c r="L285" s="3"/>
      <c r="M285" s="3"/>
      <c r="N285" s="3"/>
      <c r="O285" s="3"/>
      <c r="P285" s="3"/>
      <c r="Q285" s="3"/>
      <c r="R285" s="3"/>
      <c r="S285" s="3"/>
      <c r="T285" s="3"/>
      <c r="U285" s="3"/>
    </row>
    <row r="286" spans="3:21" x14ac:dyDescent="0.2">
      <c r="C286" s="5"/>
      <c r="E286" s="3"/>
      <c r="F286" s="3"/>
      <c r="G286" s="3"/>
      <c r="H286" s="3"/>
      <c r="I286" s="3"/>
      <c r="J286" s="3"/>
      <c r="K286" s="3"/>
      <c r="L286" s="3"/>
      <c r="M286" s="3"/>
      <c r="N286" s="3"/>
      <c r="O286" s="3"/>
      <c r="P286" s="3"/>
      <c r="Q286" s="3"/>
      <c r="R286" s="3"/>
      <c r="S286" s="3"/>
      <c r="T286" s="3"/>
      <c r="U286" s="3"/>
    </row>
    <row r="287" spans="3:21" x14ac:dyDescent="0.2">
      <c r="C287" s="5"/>
      <c r="E287" s="3"/>
      <c r="F287" s="3"/>
      <c r="G287" s="3"/>
      <c r="H287" s="3"/>
      <c r="I287" s="3"/>
      <c r="J287" s="3"/>
      <c r="K287" s="3"/>
      <c r="L287" s="3"/>
      <c r="M287" s="3"/>
      <c r="N287" s="3"/>
      <c r="O287" s="3"/>
      <c r="P287" s="3"/>
      <c r="Q287" s="3"/>
      <c r="R287" s="3"/>
      <c r="S287" s="3"/>
      <c r="T287" s="3"/>
      <c r="U287" s="3"/>
    </row>
    <row r="288" spans="3:21" x14ac:dyDescent="0.2">
      <c r="C288" s="5"/>
      <c r="E288" s="3"/>
      <c r="F288" s="3"/>
      <c r="G288" s="3"/>
      <c r="H288" s="3"/>
      <c r="I288" s="3"/>
      <c r="J288" s="3"/>
      <c r="K288" s="3"/>
      <c r="L288" s="3"/>
      <c r="M288" s="3"/>
      <c r="N288" s="3"/>
      <c r="O288" s="3"/>
      <c r="P288" s="3"/>
      <c r="Q288" s="3"/>
      <c r="R288" s="3"/>
      <c r="S288" s="3"/>
      <c r="T288" s="3"/>
      <c r="U288" s="3"/>
    </row>
    <row r="289" spans="3:21" x14ac:dyDescent="0.2">
      <c r="C289" s="5"/>
      <c r="E289" s="3"/>
      <c r="F289" s="3"/>
      <c r="G289" s="3"/>
      <c r="H289" s="3"/>
      <c r="I289" s="3"/>
      <c r="J289" s="3"/>
      <c r="K289" s="3"/>
      <c r="L289" s="3"/>
      <c r="M289" s="3"/>
      <c r="N289" s="3"/>
      <c r="O289" s="3"/>
      <c r="P289" s="3"/>
      <c r="Q289" s="3"/>
      <c r="R289" s="3"/>
      <c r="S289" s="3"/>
      <c r="T289" s="3"/>
      <c r="U289" s="3"/>
    </row>
    <row r="290" spans="3:21" x14ac:dyDescent="0.2">
      <c r="C290" s="5"/>
      <c r="E290" s="3"/>
      <c r="F290" s="3"/>
      <c r="G290" s="3"/>
      <c r="H290" s="3"/>
      <c r="I290" s="3"/>
      <c r="J290" s="3"/>
      <c r="K290" s="3"/>
      <c r="L290" s="3"/>
      <c r="M290" s="3"/>
      <c r="N290" s="3"/>
      <c r="O290" s="3"/>
      <c r="P290" s="3"/>
      <c r="Q290" s="3"/>
      <c r="R290" s="3"/>
      <c r="S290" s="3"/>
      <c r="T290" s="3"/>
      <c r="U290" s="3"/>
    </row>
    <row r="291" spans="3:21" x14ac:dyDescent="0.2">
      <c r="C291" s="5"/>
      <c r="E291" s="3"/>
      <c r="F291" s="3"/>
      <c r="G291" s="3"/>
      <c r="H291" s="3"/>
      <c r="I291" s="3"/>
      <c r="J291" s="3"/>
      <c r="K291" s="3"/>
      <c r="L291" s="3"/>
      <c r="M291" s="3"/>
      <c r="N291" s="3"/>
      <c r="O291" s="3"/>
      <c r="P291" s="3"/>
      <c r="Q291" s="3"/>
      <c r="R291" s="3"/>
      <c r="S291" s="3"/>
      <c r="T291" s="3"/>
      <c r="U291" s="3"/>
    </row>
    <row r="292" spans="3:21" x14ac:dyDescent="0.2">
      <c r="C292" s="5"/>
      <c r="E292" s="3"/>
      <c r="F292" s="3"/>
      <c r="G292" s="3"/>
      <c r="H292" s="3"/>
      <c r="I292" s="3"/>
      <c r="J292" s="3"/>
      <c r="K292" s="3"/>
      <c r="L292" s="3"/>
      <c r="M292" s="3"/>
      <c r="N292" s="3"/>
      <c r="O292" s="3"/>
      <c r="P292" s="3"/>
      <c r="Q292" s="3"/>
      <c r="R292" s="3"/>
      <c r="S292" s="3"/>
      <c r="T292" s="3"/>
      <c r="U292" s="3"/>
    </row>
    <row r="293" spans="3:21" x14ac:dyDescent="0.2">
      <c r="C293" s="5"/>
      <c r="E293" s="3"/>
      <c r="F293" s="3"/>
      <c r="G293" s="3"/>
      <c r="H293" s="3"/>
      <c r="I293" s="3"/>
      <c r="J293" s="3"/>
      <c r="K293" s="3"/>
      <c r="L293" s="3"/>
      <c r="M293" s="3"/>
      <c r="N293" s="3"/>
      <c r="O293" s="3"/>
      <c r="P293" s="3"/>
      <c r="Q293" s="3"/>
      <c r="R293" s="3"/>
      <c r="S293" s="3"/>
      <c r="T293" s="3"/>
      <c r="U293" s="3"/>
    </row>
    <row r="294" spans="3:21" x14ac:dyDescent="0.2">
      <c r="C294" s="5"/>
      <c r="E294" s="3"/>
      <c r="F294" s="3"/>
      <c r="G294" s="3"/>
      <c r="H294" s="3"/>
      <c r="I294" s="3"/>
      <c r="J294" s="3"/>
      <c r="K294" s="3"/>
      <c r="L294" s="3"/>
      <c r="M294" s="3"/>
      <c r="N294" s="3"/>
      <c r="O294" s="3"/>
      <c r="P294" s="3"/>
      <c r="Q294" s="3"/>
      <c r="R294" s="3"/>
      <c r="S294" s="3"/>
      <c r="T294" s="3"/>
      <c r="U294" s="3"/>
    </row>
    <row r="295" spans="3:21" x14ac:dyDescent="0.2">
      <c r="C295" s="5"/>
      <c r="E295" s="3"/>
      <c r="F295" s="3"/>
      <c r="G295" s="3"/>
      <c r="H295" s="3"/>
      <c r="I295" s="3"/>
      <c r="J295" s="3"/>
      <c r="K295" s="3"/>
      <c r="L295" s="3"/>
      <c r="M295" s="3"/>
      <c r="N295" s="3"/>
      <c r="O295" s="3"/>
      <c r="P295" s="3"/>
      <c r="Q295" s="3"/>
      <c r="R295" s="3"/>
      <c r="S295" s="3"/>
      <c r="T295" s="3"/>
      <c r="U295" s="3"/>
    </row>
    <row r="296" spans="3:21" x14ac:dyDescent="0.2">
      <c r="C296" s="5"/>
      <c r="E296" s="3"/>
      <c r="F296" s="3"/>
      <c r="G296" s="3"/>
      <c r="H296" s="3"/>
      <c r="I296" s="3"/>
      <c r="J296" s="3"/>
      <c r="K296" s="3"/>
      <c r="L296" s="3"/>
      <c r="M296" s="3"/>
      <c r="N296" s="3"/>
      <c r="O296" s="3"/>
      <c r="P296" s="3"/>
      <c r="Q296" s="3"/>
      <c r="R296" s="3"/>
      <c r="S296" s="3"/>
      <c r="T296" s="3"/>
      <c r="U296" s="3"/>
    </row>
    <row r="297" spans="3:21" x14ac:dyDescent="0.2">
      <c r="C297" s="5"/>
      <c r="E297" s="3"/>
      <c r="F297" s="3"/>
      <c r="G297" s="3"/>
      <c r="H297" s="3"/>
      <c r="I297" s="3"/>
      <c r="J297" s="3"/>
      <c r="K297" s="3"/>
      <c r="L297" s="3"/>
      <c r="M297" s="3"/>
      <c r="N297" s="3"/>
      <c r="O297" s="3"/>
      <c r="P297" s="3"/>
      <c r="Q297" s="3"/>
      <c r="R297" s="3"/>
      <c r="S297" s="3"/>
      <c r="T297" s="3"/>
      <c r="U297" s="3"/>
    </row>
    <row r="298" spans="3:21" x14ac:dyDescent="0.2">
      <c r="C298" s="5"/>
      <c r="E298" s="3"/>
      <c r="F298" s="3"/>
      <c r="G298" s="3"/>
      <c r="H298" s="3"/>
      <c r="I298" s="3"/>
      <c r="J298" s="3"/>
      <c r="K298" s="3"/>
      <c r="L298" s="3"/>
      <c r="M298" s="3"/>
      <c r="N298" s="3"/>
      <c r="O298" s="3"/>
      <c r="P298" s="3"/>
      <c r="Q298" s="3"/>
      <c r="R298" s="3"/>
      <c r="S298" s="3"/>
      <c r="T298" s="3"/>
      <c r="U298" s="3"/>
    </row>
    <row r="299" spans="3:21" x14ac:dyDescent="0.2">
      <c r="C299" s="5"/>
      <c r="E299" s="3"/>
      <c r="F299" s="3"/>
      <c r="G299" s="3"/>
      <c r="H299" s="3"/>
      <c r="I299" s="3"/>
      <c r="J299" s="3"/>
      <c r="K299" s="3"/>
      <c r="L299" s="3"/>
      <c r="M299" s="3"/>
      <c r="N299" s="3"/>
      <c r="O299" s="3"/>
      <c r="P299" s="3"/>
      <c r="Q299" s="3"/>
      <c r="R299" s="3"/>
      <c r="S299" s="3"/>
      <c r="T299" s="3"/>
      <c r="U299" s="3"/>
    </row>
    <row r="300" spans="3:21" x14ac:dyDescent="0.2">
      <c r="C300" s="5"/>
      <c r="E300" s="3"/>
      <c r="F300" s="3"/>
      <c r="G300" s="3"/>
      <c r="H300" s="3"/>
      <c r="I300" s="3"/>
      <c r="J300" s="3"/>
      <c r="K300" s="3"/>
      <c r="L300" s="3"/>
      <c r="M300" s="3"/>
      <c r="N300" s="3"/>
      <c r="O300" s="3"/>
      <c r="P300" s="3"/>
      <c r="Q300" s="3"/>
      <c r="R300" s="3"/>
      <c r="S300" s="3"/>
      <c r="T300" s="3"/>
      <c r="U300" s="3"/>
    </row>
    <row r="301" spans="3:21" x14ac:dyDescent="0.2">
      <c r="C301" s="5"/>
      <c r="E301" s="3"/>
      <c r="F301" s="3"/>
      <c r="G301" s="3"/>
      <c r="H301" s="3"/>
      <c r="I301" s="3"/>
      <c r="J301" s="3"/>
      <c r="K301" s="3"/>
      <c r="L301" s="3"/>
      <c r="M301" s="3"/>
      <c r="N301" s="3"/>
      <c r="O301" s="3"/>
      <c r="P301" s="3"/>
      <c r="Q301" s="3"/>
      <c r="R301" s="3"/>
      <c r="S301" s="3"/>
      <c r="T301" s="3"/>
      <c r="U301" s="3"/>
    </row>
    <row r="302" spans="3:21" x14ac:dyDescent="0.2">
      <c r="C302" s="5"/>
      <c r="E302" s="3"/>
      <c r="F302" s="3"/>
      <c r="G302" s="3"/>
      <c r="H302" s="3"/>
      <c r="I302" s="3"/>
      <c r="J302" s="3"/>
      <c r="K302" s="3"/>
      <c r="L302" s="3"/>
      <c r="M302" s="3"/>
      <c r="N302" s="3"/>
      <c r="O302" s="3"/>
      <c r="P302" s="3"/>
      <c r="Q302" s="3"/>
      <c r="R302" s="3"/>
      <c r="S302" s="3"/>
      <c r="T302" s="3"/>
      <c r="U302" s="3"/>
    </row>
    <row r="303" spans="3:21" x14ac:dyDescent="0.2">
      <c r="C303" s="5"/>
      <c r="D303" s="3"/>
      <c r="E303" s="3"/>
      <c r="F303" s="3"/>
      <c r="G303" s="3"/>
      <c r="H303" s="3"/>
      <c r="I303" s="3"/>
      <c r="J303" s="3"/>
      <c r="K303" s="3"/>
      <c r="L303" s="3"/>
      <c r="M303" s="3"/>
      <c r="N303" s="3"/>
      <c r="O303" s="3"/>
      <c r="P303" s="3"/>
      <c r="Q303" s="3"/>
      <c r="R303" s="3"/>
      <c r="S303" s="3"/>
      <c r="T303" s="3"/>
      <c r="U303" s="3"/>
    </row>
    <row r="304" spans="3:21" x14ac:dyDescent="0.2">
      <c r="C304" s="2"/>
      <c r="D304" s="3"/>
      <c r="E304" s="3"/>
      <c r="F304" s="3"/>
      <c r="G304" s="3"/>
      <c r="H304" s="3"/>
      <c r="I304" s="3"/>
      <c r="J304" s="3"/>
      <c r="K304" s="3"/>
      <c r="L304" s="3"/>
      <c r="M304" s="3"/>
      <c r="N304" s="3"/>
      <c r="O304" s="3"/>
      <c r="P304" s="3"/>
      <c r="Q304" s="3"/>
      <c r="R304" s="3"/>
      <c r="S304" s="3"/>
      <c r="T304" s="3"/>
      <c r="U304" s="3"/>
    </row>
    <row r="305" spans="3:21" x14ac:dyDescent="0.2">
      <c r="C305" s="2"/>
      <c r="D305" s="3"/>
      <c r="E305" s="3"/>
      <c r="F305" s="3"/>
      <c r="G305" s="3"/>
      <c r="H305" s="3"/>
      <c r="I305" s="3"/>
      <c r="J305" s="3"/>
      <c r="K305" s="3"/>
      <c r="L305" s="3"/>
      <c r="M305" s="3"/>
      <c r="N305" s="3"/>
      <c r="O305" s="3"/>
      <c r="P305" s="3"/>
      <c r="Q305" s="3"/>
      <c r="R305" s="3"/>
      <c r="S305" s="3"/>
      <c r="T305" s="3"/>
      <c r="U305" s="3"/>
    </row>
    <row r="306" spans="3:21" x14ac:dyDescent="0.2">
      <c r="C306" s="2"/>
      <c r="D306" s="3"/>
      <c r="E306" s="3"/>
      <c r="F306" s="3"/>
      <c r="G306" s="3"/>
      <c r="H306" s="3"/>
      <c r="I306" s="3"/>
      <c r="J306" s="3"/>
      <c r="K306" s="3"/>
      <c r="L306" s="3"/>
      <c r="M306" s="3"/>
      <c r="N306" s="3"/>
      <c r="O306" s="3"/>
      <c r="P306" s="3"/>
      <c r="Q306" s="3"/>
      <c r="R306" s="3"/>
      <c r="S306" s="3"/>
      <c r="T306" s="3"/>
      <c r="U306" s="3"/>
    </row>
    <row r="307" spans="3:21" x14ac:dyDescent="0.2">
      <c r="C307" s="2"/>
      <c r="D307" s="3"/>
      <c r="E307" s="3"/>
      <c r="F307" s="3"/>
      <c r="G307" s="3"/>
      <c r="H307" s="3"/>
      <c r="I307" s="3"/>
      <c r="J307" s="3"/>
      <c r="K307" s="3"/>
      <c r="L307" s="3"/>
      <c r="M307" s="3"/>
      <c r="N307" s="3"/>
      <c r="O307" s="3"/>
      <c r="P307" s="3"/>
      <c r="Q307" s="3"/>
      <c r="R307" s="3"/>
      <c r="S307" s="3"/>
      <c r="T307" s="3"/>
      <c r="U307" s="3"/>
    </row>
    <row r="308" spans="3:21" x14ac:dyDescent="0.2">
      <c r="C308" s="2"/>
      <c r="D308" s="3"/>
      <c r="E308" s="3"/>
      <c r="F308" s="3"/>
      <c r="G308" s="3"/>
      <c r="H308" s="3"/>
      <c r="I308" s="3"/>
      <c r="J308" s="3"/>
      <c r="K308" s="3"/>
      <c r="L308" s="3"/>
      <c r="M308" s="3"/>
      <c r="N308" s="3"/>
      <c r="O308" s="3"/>
      <c r="P308" s="3"/>
      <c r="Q308" s="3"/>
      <c r="R308" s="3"/>
      <c r="S308" s="3"/>
      <c r="T308" s="3"/>
      <c r="U308" s="3"/>
    </row>
    <row r="309" spans="3:21" x14ac:dyDescent="0.2">
      <c r="C309" s="2"/>
      <c r="D309" s="3"/>
      <c r="E309" s="3"/>
      <c r="F309" s="3"/>
      <c r="G309" s="3"/>
      <c r="H309" s="3"/>
      <c r="I309" s="3"/>
      <c r="J309" s="3"/>
      <c r="K309" s="3"/>
      <c r="L309" s="3"/>
      <c r="M309" s="3"/>
      <c r="N309" s="3"/>
      <c r="O309" s="3"/>
      <c r="P309" s="3"/>
      <c r="Q309" s="3"/>
      <c r="R309" s="3"/>
      <c r="S309" s="3"/>
      <c r="T309" s="3"/>
      <c r="U309" s="3"/>
    </row>
    <row r="310" spans="3:21" x14ac:dyDescent="0.2">
      <c r="C310" s="2"/>
      <c r="D310" s="3"/>
      <c r="E310" s="3"/>
      <c r="F310" s="3"/>
      <c r="G310" s="3"/>
      <c r="H310" s="3"/>
      <c r="I310" s="3"/>
      <c r="J310" s="3"/>
      <c r="K310" s="3"/>
      <c r="L310" s="3"/>
      <c r="M310" s="3"/>
      <c r="N310" s="3"/>
      <c r="O310" s="3"/>
      <c r="P310" s="3"/>
      <c r="Q310" s="3"/>
      <c r="R310" s="3"/>
      <c r="S310" s="3"/>
      <c r="T310" s="3"/>
      <c r="U310" s="3"/>
    </row>
    <row r="311" spans="3:21" x14ac:dyDescent="0.2">
      <c r="C311" s="2"/>
      <c r="D311" s="3"/>
      <c r="E311" s="3"/>
      <c r="F311" s="3"/>
      <c r="G311" s="3"/>
      <c r="H311" s="3"/>
      <c r="I311" s="3"/>
      <c r="J311" s="3"/>
      <c r="K311" s="3"/>
      <c r="L311" s="3"/>
      <c r="M311" s="3"/>
      <c r="N311" s="3"/>
      <c r="O311" s="3"/>
      <c r="P311" s="3"/>
      <c r="Q311" s="3"/>
      <c r="R311" s="3"/>
      <c r="S311" s="3"/>
      <c r="T311" s="3"/>
      <c r="U311" s="3"/>
    </row>
    <row r="312" spans="3:21" x14ac:dyDescent="0.2">
      <c r="C312" s="2"/>
      <c r="D312" s="3"/>
      <c r="E312" s="3"/>
      <c r="F312" s="3"/>
      <c r="G312" s="3"/>
      <c r="H312" s="3"/>
      <c r="I312" s="3"/>
      <c r="J312" s="3"/>
      <c r="K312" s="3"/>
      <c r="L312" s="3"/>
      <c r="M312" s="3"/>
      <c r="N312" s="3"/>
      <c r="O312" s="3"/>
      <c r="P312" s="3"/>
      <c r="Q312" s="3"/>
      <c r="R312" s="3"/>
      <c r="S312" s="3"/>
      <c r="T312" s="3"/>
      <c r="U312" s="3"/>
    </row>
    <row r="313" spans="3:21" x14ac:dyDescent="0.2">
      <c r="C313" s="2"/>
      <c r="D313" s="3"/>
      <c r="E313" s="3"/>
      <c r="F313" s="3"/>
      <c r="G313" s="3"/>
      <c r="H313" s="3"/>
      <c r="I313" s="3"/>
      <c r="J313" s="3"/>
      <c r="K313" s="3"/>
      <c r="L313" s="3"/>
      <c r="M313" s="3"/>
      <c r="N313" s="3"/>
      <c r="O313" s="3"/>
      <c r="P313" s="3"/>
      <c r="Q313" s="3"/>
      <c r="R313" s="3"/>
      <c r="S313" s="3"/>
      <c r="T313" s="3"/>
      <c r="U313" s="3"/>
    </row>
    <row r="314" spans="3:21" x14ac:dyDescent="0.2">
      <c r="C314" s="2"/>
      <c r="D314" s="3"/>
      <c r="E314" s="3"/>
      <c r="F314" s="3"/>
      <c r="G314" s="3"/>
      <c r="H314" s="3"/>
      <c r="I314" s="3"/>
      <c r="J314" s="3"/>
      <c r="K314" s="3"/>
      <c r="L314" s="3"/>
      <c r="M314" s="3"/>
      <c r="N314" s="3"/>
      <c r="O314" s="3"/>
      <c r="P314" s="3"/>
      <c r="Q314" s="3"/>
      <c r="R314" s="3"/>
      <c r="S314" s="3"/>
      <c r="T314" s="3"/>
      <c r="U314" s="3"/>
    </row>
    <row r="315" spans="3:21" x14ac:dyDescent="0.2">
      <c r="C315" s="2"/>
      <c r="D315" s="3"/>
    </row>
    <row r="316" spans="3:21" x14ac:dyDescent="0.2">
      <c r="D316" s="3"/>
    </row>
    <row r="317" spans="3:21" x14ac:dyDescent="0.2">
      <c r="D317" s="3"/>
    </row>
    <row r="318" spans="3:21" x14ac:dyDescent="0.2">
      <c r="D318" s="3"/>
    </row>
    <row r="319" spans="3:21" x14ac:dyDescent="0.2">
      <c r="D319" s="3"/>
    </row>
    <row r="320" spans="3:21" x14ac:dyDescent="0.2">
      <c r="D320" s="3"/>
    </row>
    <row r="321" spans="4:4" x14ac:dyDescent="0.2">
      <c r="D321" s="3"/>
    </row>
    <row r="322" spans="4:4" x14ac:dyDescent="0.2">
      <c r="D322" s="3"/>
    </row>
    <row r="323" spans="4:4" x14ac:dyDescent="0.2">
      <c r="D323" s="3"/>
    </row>
    <row r="324" spans="4:4" x14ac:dyDescent="0.2">
      <c r="D324" s="3"/>
    </row>
    <row r="325" spans="4:4" x14ac:dyDescent="0.2">
      <c r="D325" s="3"/>
    </row>
    <row r="326" spans="4:4" x14ac:dyDescent="0.2">
      <c r="D326" s="3"/>
    </row>
    <row r="327" spans="4:4" x14ac:dyDescent="0.2">
      <c r="D327" s="3"/>
    </row>
    <row r="328" spans="4:4" x14ac:dyDescent="0.2">
      <c r="D328" s="3"/>
    </row>
    <row r="329" spans="4:4" x14ac:dyDescent="0.2">
      <c r="D329" s="3"/>
    </row>
    <row r="330" spans="4:4" x14ac:dyDescent="0.2">
      <c r="D330" s="3"/>
    </row>
    <row r="331" spans="4:4" x14ac:dyDescent="0.2">
      <c r="D331" s="3"/>
    </row>
    <row r="332" spans="4:4" x14ac:dyDescent="0.2">
      <c r="D332" s="3"/>
    </row>
    <row r="333" spans="4:4" x14ac:dyDescent="0.2">
      <c r="D333" s="3"/>
    </row>
    <row r="334" spans="4:4" x14ac:dyDescent="0.2">
      <c r="D334" s="3"/>
    </row>
    <row r="335" spans="4:4" x14ac:dyDescent="0.2">
      <c r="D335" s="3"/>
    </row>
    <row r="336" spans="4:4" x14ac:dyDescent="0.2">
      <c r="D336" s="3"/>
    </row>
    <row r="337" spans="4:4" x14ac:dyDescent="0.2">
      <c r="D337" s="3"/>
    </row>
    <row r="338" spans="4:4" x14ac:dyDescent="0.2">
      <c r="D338" s="3"/>
    </row>
    <row r="339" spans="4:4" x14ac:dyDescent="0.2">
      <c r="D339" s="3"/>
    </row>
    <row r="340" spans="4:4" x14ac:dyDescent="0.2">
      <c r="D340" s="3"/>
    </row>
    <row r="341" spans="4:4" x14ac:dyDescent="0.2">
      <c r="D341" s="3"/>
    </row>
    <row r="342" spans="4:4" x14ac:dyDescent="0.2">
      <c r="D342" s="3"/>
    </row>
    <row r="343" spans="4:4" x14ac:dyDescent="0.2">
      <c r="D343" s="3"/>
    </row>
  </sheetData>
  <phoneticPr fontId="3" type="noConversion"/>
  <pageMargins left="0.7" right="0.7" top="0.75" bottom="0.75" header="0.3" footer="0.3"/>
  <pageSetup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C066CC-D8E5-49EE-B050-39F2C46A7A13}">
  <dimension ref="A1:D24"/>
  <sheetViews>
    <sheetView workbookViewId="0">
      <selection activeCell="F26" sqref="F26"/>
    </sheetView>
  </sheetViews>
  <sheetFormatPr baseColWidth="10" defaultColWidth="8.83203125" defaultRowHeight="15" x14ac:dyDescent="0.2"/>
  <cols>
    <col min="1" max="1" width="34.33203125" bestFit="1" customWidth="1"/>
    <col min="2" max="2" width="7.6640625" bestFit="1" customWidth="1"/>
    <col min="3" max="3" width="9.5" bestFit="1" customWidth="1"/>
    <col min="4" max="4" width="7" bestFit="1" customWidth="1"/>
  </cols>
  <sheetData>
    <row r="1" spans="1:4" x14ac:dyDescent="0.2">
      <c r="A1" t="s">
        <v>129</v>
      </c>
      <c r="B1" t="s">
        <v>130</v>
      </c>
      <c r="C1" t="s">
        <v>131</v>
      </c>
      <c r="D1" t="s">
        <v>132</v>
      </c>
    </row>
    <row r="2" spans="1:4" x14ac:dyDescent="0.2">
      <c r="A2" s="1" t="s">
        <v>133</v>
      </c>
      <c r="B2">
        <v>302495</v>
      </c>
      <c r="C2">
        <v>330638</v>
      </c>
      <c r="D2">
        <v>633133</v>
      </c>
    </row>
    <row r="3" spans="1:4" x14ac:dyDescent="0.2">
      <c r="A3" s="1" t="s">
        <v>18</v>
      </c>
      <c r="B3">
        <v>25394</v>
      </c>
      <c r="C3">
        <v>28444</v>
      </c>
      <c r="D3">
        <v>53838</v>
      </c>
    </row>
    <row r="4" spans="1:4" x14ac:dyDescent="0.2">
      <c r="A4" s="1" t="s">
        <v>134</v>
      </c>
      <c r="B4">
        <v>729</v>
      </c>
      <c r="C4">
        <v>748</v>
      </c>
      <c r="D4">
        <v>1477</v>
      </c>
    </row>
    <row r="5" spans="1:4" x14ac:dyDescent="0.2">
      <c r="A5" s="1" t="s">
        <v>12</v>
      </c>
      <c r="B5">
        <v>10277</v>
      </c>
      <c r="C5">
        <v>11961</v>
      </c>
      <c r="D5">
        <v>22238</v>
      </c>
    </row>
    <row r="6" spans="1:4" x14ac:dyDescent="0.2">
      <c r="A6" s="1" t="s">
        <v>13</v>
      </c>
      <c r="B6">
        <v>47128</v>
      </c>
      <c r="C6">
        <v>52414</v>
      </c>
      <c r="D6">
        <v>99542</v>
      </c>
    </row>
    <row r="7" spans="1:4" x14ac:dyDescent="0.2">
      <c r="A7" s="1" t="s">
        <v>135</v>
      </c>
      <c r="B7">
        <v>4365</v>
      </c>
      <c r="C7">
        <v>5046</v>
      </c>
      <c r="D7">
        <v>9411</v>
      </c>
    </row>
    <row r="8" spans="1:4" x14ac:dyDescent="0.2">
      <c r="A8" s="1" t="s">
        <v>136</v>
      </c>
      <c r="B8">
        <v>2098</v>
      </c>
      <c r="C8">
        <v>2299</v>
      </c>
      <c r="D8">
        <v>4397</v>
      </c>
    </row>
    <row r="9" spans="1:4" x14ac:dyDescent="0.2">
      <c r="A9" s="1" t="s">
        <v>137</v>
      </c>
      <c r="B9">
        <v>2267</v>
      </c>
      <c r="C9">
        <v>2747</v>
      </c>
      <c r="D9">
        <v>5014</v>
      </c>
    </row>
    <row r="10" spans="1:4" x14ac:dyDescent="0.2">
      <c r="A10" s="1" t="s">
        <v>25</v>
      </c>
      <c r="B10">
        <v>23106</v>
      </c>
      <c r="C10">
        <v>26030</v>
      </c>
      <c r="D10">
        <v>49136</v>
      </c>
    </row>
    <row r="11" spans="1:4" x14ac:dyDescent="0.2">
      <c r="A11" s="1" t="s">
        <v>138</v>
      </c>
      <c r="B11">
        <v>6707</v>
      </c>
      <c r="C11">
        <v>7769</v>
      </c>
      <c r="D11">
        <v>14476</v>
      </c>
    </row>
    <row r="12" spans="1:4" x14ac:dyDescent="0.2">
      <c r="A12" s="1" t="s">
        <v>77</v>
      </c>
      <c r="B12">
        <v>23401</v>
      </c>
      <c r="C12">
        <v>26410</v>
      </c>
      <c r="D12">
        <v>49811</v>
      </c>
    </row>
    <row r="13" spans="1:4" x14ac:dyDescent="0.2">
      <c r="A13" s="1" t="s">
        <v>22</v>
      </c>
      <c r="B13">
        <v>20329</v>
      </c>
      <c r="C13">
        <v>23113</v>
      </c>
      <c r="D13">
        <v>43442</v>
      </c>
    </row>
    <row r="14" spans="1:4" x14ac:dyDescent="0.2">
      <c r="A14" s="1" t="s">
        <v>23</v>
      </c>
      <c r="B14">
        <v>4698</v>
      </c>
      <c r="C14">
        <v>5380</v>
      </c>
      <c r="D14">
        <v>10078</v>
      </c>
    </row>
    <row r="15" spans="1:4" x14ac:dyDescent="0.2">
      <c r="A15" s="1" t="s">
        <v>14</v>
      </c>
      <c r="B15">
        <v>8117</v>
      </c>
      <c r="C15">
        <v>9058</v>
      </c>
      <c r="D15">
        <v>17175</v>
      </c>
    </row>
    <row r="16" spans="1:4" x14ac:dyDescent="0.2">
      <c r="A16" s="1" t="s">
        <v>11</v>
      </c>
      <c r="B16">
        <v>27503</v>
      </c>
      <c r="C16">
        <v>29786</v>
      </c>
      <c r="D16">
        <v>57289</v>
      </c>
    </row>
    <row r="17" spans="1:4" x14ac:dyDescent="0.2">
      <c r="A17" s="1" t="s">
        <v>6</v>
      </c>
      <c r="B17">
        <v>7123</v>
      </c>
      <c r="C17">
        <v>7557</v>
      </c>
      <c r="D17">
        <v>14680</v>
      </c>
    </row>
    <row r="18" spans="1:4" x14ac:dyDescent="0.2">
      <c r="A18" s="1" t="s">
        <v>15</v>
      </c>
      <c r="B18">
        <v>1835</v>
      </c>
      <c r="C18">
        <v>1868</v>
      </c>
      <c r="D18">
        <v>3703</v>
      </c>
    </row>
    <row r="19" spans="1:4" x14ac:dyDescent="0.2">
      <c r="A19" s="1" t="s">
        <v>9</v>
      </c>
      <c r="B19">
        <v>26532</v>
      </c>
      <c r="C19">
        <v>27208</v>
      </c>
      <c r="D19">
        <v>53740</v>
      </c>
    </row>
    <row r="20" spans="1:4" x14ac:dyDescent="0.2">
      <c r="A20" s="1" t="s">
        <v>19</v>
      </c>
      <c r="B20">
        <v>18890</v>
      </c>
      <c r="C20">
        <v>19940</v>
      </c>
      <c r="D20">
        <v>38830</v>
      </c>
    </row>
    <row r="21" spans="1:4" x14ac:dyDescent="0.2">
      <c r="A21" s="1" t="s">
        <v>7</v>
      </c>
      <c r="B21">
        <v>3132</v>
      </c>
      <c r="C21">
        <v>3119</v>
      </c>
      <c r="D21">
        <v>6251</v>
      </c>
    </row>
    <row r="22" spans="1:4" x14ac:dyDescent="0.2">
      <c r="A22" s="1" t="s">
        <v>8</v>
      </c>
      <c r="B22">
        <v>9720</v>
      </c>
      <c r="C22">
        <v>10036</v>
      </c>
      <c r="D22">
        <v>19756</v>
      </c>
    </row>
    <row r="23" spans="1:4" x14ac:dyDescent="0.2">
      <c r="A23" s="1" t="s">
        <v>21</v>
      </c>
      <c r="B23">
        <v>25289</v>
      </c>
      <c r="C23">
        <v>26694</v>
      </c>
      <c r="D23">
        <v>51983</v>
      </c>
    </row>
    <row r="24" spans="1:4" x14ac:dyDescent="0.2">
      <c r="A24" s="1" t="s">
        <v>20</v>
      </c>
      <c r="B24">
        <v>8220</v>
      </c>
      <c r="C24">
        <v>8057</v>
      </c>
      <c r="D24">
        <v>16277</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299FBA-03E4-4764-99F2-E2D13C7BB039}">
  <dimension ref="A1:D108"/>
  <sheetViews>
    <sheetView workbookViewId="0">
      <selection activeCell="G25" sqref="G25"/>
    </sheetView>
  </sheetViews>
  <sheetFormatPr baseColWidth="10" defaultColWidth="8.83203125" defaultRowHeight="15" x14ac:dyDescent="0.2"/>
  <cols>
    <col min="1" max="1" width="27.6640625" bestFit="1" customWidth="1"/>
    <col min="2" max="2" width="8" bestFit="1" customWidth="1"/>
    <col min="3" max="3" width="9.5" bestFit="1" customWidth="1"/>
    <col min="4" max="4" width="8" bestFit="1" customWidth="1"/>
  </cols>
  <sheetData>
    <row r="1" spans="1:4" x14ac:dyDescent="0.2">
      <c r="A1" t="s">
        <v>139</v>
      </c>
      <c r="B1" t="s">
        <v>130</v>
      </c>
      <c r="C1" t="s">
        <v>131</v>
      </c>
      <c r="D1" t="s">
        <v>132</v>
      </c>
    </row>
    <row r="2" spans="1:4" x14ac:dyDescent="0.2">
      <c r="A2" s="1" t="s">
        <v>140</v>
      </c>
      <c r="B2">
        <v>1089634</v>
      </c>
      <c r="C2">
        <v>1162745</v>
      </c>
      <c r="D2">
        <v>2252379</v>
      </c>
    </row>
    <row r="3" spans="1:4" x14ac:dyDescent="0.2">
      <c r="A3" s="1" t="s">
        <v>141</v>
      </c>
      <c r="B3">
        <v>82790</v>
      </c>
      <c r="C3">
        <v>87506</v>
      </c>
      <c r="D3">
        <v>170296</v>
      </c>
    </row>
    <row r="4" spans="1:4" x14ac:dyDescent="0.2">
      <c r="A4" s="1" t="s">
        <v>142</v>
      </c>
      <c r="B4">
        <v>179129</v>
      </c>
      <c r="C4">
        <v>188911</v>
      </c>
      <c r="D4">
        <v>368040</v>
      </c>
    </row>
    <row r="5" spans="1:4" x14ac:dyDescent="0.2">
      <c r="A5" s="1" t="s">
        <v>143</v>
      </c>
      <c r="B5">
        <v>289461</v>
      </c>
      <c r="C5">
        <v>297107</v>
      </c>
      <c r="D5">
        <v>586568</v>
      </c>
    </row>
    <row r="6" spans="1:4" x14ac:dyDescent="0.2">
      <c r="A6" s="1" t="s">
        <v>144</v>
      </c>
      <c r="B6">
        <v>104470</v>
      </c>
      <c r="C6">
        <v>108746</v>
      </c>
      <c r="D6">
        <v>213216</v>
      </c>
    </row>
    <row r="7" spans="1:4" x14ac:dyDescent="0.2">
      <c r="A7" s="1" t="s">
        <v>145</v>
      </c>
      <c r="B7">
        <v>203589</v>
      </c>
      <c r="C7">
        <v>215448</v>
      </c>
      <c r="D7">
        <v>419037</v>
      </c>
    </row>
    <row r="8" spans="1:4" x14ac:dyDescent="0.2">
      <c r="A8" s="1" t="s">
        <v>146</v>
      </c>
      <c r="B8">
        <v>83895</v>
      </c>
      <c r="C8">
        <v>90489</v>
      </c>
      <c r="D8">
        <v>174384</v>
      </c>
    </row>
    <row r="9" spans="1:4" x14ac:dyDescent="0.2">
      <c r="A9" s="1" t="s">
        <v>147</v>
      </c>
      <c r="B9">
        <v>76346</v>
      </c>
      <c r="C9">
        <v>81109</v>
      </c>
      <c r="D9">
        <v>157455</v>
      </c>
    </row>
    <row r="10" spans="1:4" x14ac:dyDescent="0.2">
      <c r="A10" s="1" t="s">
        <v>134</v>
      </c>
      <c r="B10">
        <v>61325</v>
      </c>
      <c r="C10">
        <v>64176</v>
      </c>
      <c r="D10">
        <v>125501</v>
      </c>
    </row>
    <row r="11" spans="1:4" x14ac:dyDescent="0.2">
      <c r="A11" s="1" t="s">
        <v>148</v>
      </c>
      <c r="B11">
        <v>103277</v>
      </c>
      <c r="C11">
        <v>110642</v>
      </c>
      <c r="D11">
        <v>213919</v>
      </c>
    </row>
    <row r="12" spans="1:4" x14ac:dyDescent="0.2">
      <c r="A12" s="1" t="s">
        <v>149</v>
      </c>
      <c r="B12">
        <v>131512</v>
      </c>
      <c r="C12">
        <v>142671</v>
      </c>
      <c r="D12">
        <v>274183</v>
      </c>
    </row>
    <row r="13" spans="1:4" x14ac:dyDescent="0.2">
      <c r="A13" s="1" t="s">
        <v>150</v>
      </c>
      <c r="B13">
        <v>398202</v>
      </c>
      <c r="C13">
        <v>437627</v>
      </c>
      <c r="D13">
        <v>835829</v>
      </c>
    </row>
    <row r="14" spans="1:4" x14ac:dyDescent="0.2">
      <c r="A14" s="1" t="s">
        <v>151</v>
      </c>
      <c r="B14">
        <v>106030</v>
      </c>
      <c r="C14">
        <v>113166</v>
      </c>
      <c r="D14">
        <v>219196</v>
      </c>
    </row>
    <row r="15" spans="1:4" x14ac:dyDescent="0.2">
      <c r="A15" s="1" t="s">
        <v>152</v>
      </c>
      <c r="B15">
        <v>434601</v>
      </c>
      <c r="C15">
        <v>457931</v>
      </c>
      <c r="D15">
        <v>892532</v>
      </c>
    </row>
    <row r="16" spans="1:4" x14ac:dyDescent="0.2">
      <c r="A16" s="1" t="s">
        <v>153</v>
      </c>
      <c r="B16">
        <v>296745</v>
      </c>
      <c r="C16">
        <v>307083</v>
      </c>
      <c r="D16">
        <v>603828</v>
      </c>
    </row>
    <row r="17" spans="1:4" x14ac:dyDescent="0.2">
      <c r="A17" s="1" t="s">
        <v>154</v>
      </c>
      <c r="B17">
        <v>88923</v>
      </c>
      <c r="C17">
        <v>92018</v>
      </c>
      <c r="D17">
        <v>180941</v>
      </c>
    </row>
    <row r="18" spans="1:4" x14ac:dyDescent="0.2">
      <c r="A18" s="1" t="s">
        <v>155</v>
      </c>
      <c r="B18">
        <v>1592926</v>
      </c>
      <c r="C18">
        <v>1687018</v>
      </c>
      <c r="D18">
        <v>3279944</v>
      </c>
    </row>
    <row r="19" spans="1:4" x14ac:dyDescent="0.2">
      <c r="A19" s="1" t="s">
        <v>156</v>
      </c>
      <c r="B19">
        <v>553936</v>
      </c>
      <c r="C19">
        <v>562448</v>
      </c>
      <c r="D19">
        <v>1116384</v>
      </c>
    </row>
    <row r="20" spans="1:4" x14ac:dyDescent="0.2">
      <c r="A20" s="1" t="s">
        <v>157</v>
      </c>
      <c r="B20">
        <v>626110</v>
      </c>
      <c r="C20">
        <v>642345</v>
      </c>
      <c r="D20">
        <v>1268455</v>
      </c>
    </row>
    <row r="21" spans="1:4" x14ac:dyDescent="0.2">
      <c r="A21" s="1" t="s">
        <v>158</v>
      </c>
      <c r="B21">
        <v>267318</v>
      </c>
      <c r="C21">
        <v>279197</v>
      </c>
      <c r="D21">
        <v>546515</v>
      </c>
    </row>
    <row r="22" spans="1:4" x14ac:dyDescent="0.2">
      <c r="A22" s="1" t="s">
        <v>159</v>
      </c>
      <c r="B22">
        <v>176743</v>
      </c>
      <c r="C22">
        <v>181604</v>
      </c>
      <c r="D22">
        <v>358347</v>
      </c>
    </row>
    <row r="23" spans="1:4" x14ac:dyDescent="0.2">
      <c r="A23" s="1" t="s">
        <v>160</v>
      </c>
      <c r="B23">
        <v>202127</v>
      </c>
      <c r="C23">
        <v>208935</v>
      </c>
      <c r="D23">
        <v>411062</v>
      </c>
    </row>
    <row r="24" spans="1:4" x14ac:dyDescent="0.2">
      <c r="A24" s="1" t="s">
        <v>161</v>
      </c>
      <c r="B24">
        <v>166269</v>
      </c>
      <c r="C24">
        <v>170818</v>
      </c>
      <c r="D24">
        <v>337087</v>
      </c>
    </row>
    <row r="25" spans="1:4" x14ac:dyDescent="0.2">
      <c r="A25" s="1" t="s">
        <v>162</v>
      </c>
      <c r="B25">
        <v>113877</v>
      </c>
      <c r="C25">
        <v>116730</v>
      </c>
      <c r="D25">
        <v>230607</v>
      </c>
    </row>
    <row r="26" spans="1:4" x14ac:dyDescent="0.2">
      <c r="A26" s="1" t="s">
        <v>163</v>
      </c>
      <c r="B26">
        <v>430195</v>
      </c>
      <c r="C26">
        <v>448072</v>
      </c>
      <c r="D26">
        <v>878267</v>
      </c>
    </row>
    <row r="27" spans="1:4" x14ac:dyDescent="0.2">
      <c r="A27" s="1" t="s">
        <v>164</v>
      </c>
      <c r="B27">
        <v>263258</v>
      </c>
      <c r="C27">
        <v>268822</v>
      </c>
      <c r="D27">
        <v>532080</v>
      </c>
    </row>
    <row r="28" spans="1:4" x14ac:dyDescent="0.2">
      <c r="A28" s="1" t="s">
        <v>165</v>
      </c>
      <c r="B28">
        <v>266566</v>
      </c>
      <c r="C28">
        <v>276173</v>
      </c>
      <c r="D28">
        <v>542739</v>
      </c>
    </row>
    <row r="29" spans="1:4" x14ac:dyDescent="0.2">
      <c r="A29" s="1" t="s">
        <v>166</v>
      </c>
      <c r="B29">
        <v>456445</v>
      </c>
      <c r="C29">
        <v>473894</v>
      </c>
      <c r="D29">
        <v>930339</v>
      </c>
    </row>
    <row r="30" spans="1:4" x14ac:dyDescent="0.2">
      <c r="A30" s="1" t="s">
        <v>167</v>
      </c>
      <c r="B30">
        <v>425413</v>
      </c>
      <c r="C30">
        <v>436950</v>
      </c>
      <c r="D30">
        <v>862363</v>
      </c>
    </row>
    <row r="31" spans="1:4" x14ac:dyDescent="0.2">
      <c r="A31" s="1" t="s">
        <v>168</v>
      </c>
      <c r="B31">
        <v>98168</v>
      </c>
      <c r="C31">
        <v>103804</v>
      </c>
      <c r="D31">
        <v>201972</v>
      </c>
    </row>
    <row r="32" spans="1:4" x14ac:dyDescent="0.2">
      <c r="A32" s="1" t="s">
        <v>169</v>
      </c>
      <c r="B32">
        <v>437155</v>
      </c>
      <c r="C32">
        <v>451154</v>
      </c>
      <c r="D32">
        <v>888309</v>
      </c>
    </row>
    <row r="33" spans="1:4" x14ac:dyDescent="0.2">
      <c r="A33" s="1" t="s">
        <v>170</v>
      </c>
      <c r="B33">
        <v>413709</v>
      </c>
      <c r="C33">
        <v>437954</v>
      </c>
      <c r="D33">
        <v>851663</v>
      </c>
    </row>
    <row r="34" spans="1:4" x14ac:dyDescent="0.2">
      <c r="A34" s="1" t="s">
        <v>171</v>
      </c>
      <c r="B34">
        <v>458805</v>
      </c>
      <c r="C34">
        <v>480867</v>
      </c>
      <c r="D34">
        <v>939672</v>
      </c>
    </row>
    <row r="35" spans="1:4" x14ac:dyDescent="0.2">
      <c r="A35" s="1" t="s">
        <v>172</v>
      </c>
      <c r="B35">
        <v>113665</v>
      </c>
      <c r="C35">
        <v>119721</v>
      </c>
      <c r="D35">
        <v>233386</v>
      </c>
    </row>
    <row r="36" spans="1:4" x14ac:dyDescent="0.2">
      <c r="A36" s="1" t="s">
        <v>173</v>
      </c>
      <c r="B36">
        <v>255237</v>
      </c>
      <c r="C36">
        <v>271019</v>
      </c>
      <c r="D36">
        <v>526256</v>
      </c>
    </row>
    <row r="37" spans="1:4" x14ac:dyDescent="0.2">
      <c r="A37" s="1" t="s">
        <v>174</v>
      </c>
      <c r="B37">
        <v>68354</v>
      </c>
      <c r="C37">
        <v>70852</v>
      </c>
      <c r="D37">
        <v>139206</v>
      </c>
    </row>
    <row r="38" spans="1:4" x14ac:dyDescent="0.2">
      <c r="A38" s="1" t="s">
        <v>175</v>
      </c>
      <c r="B38">
        <v>111954</v>
      </c>
      <c r="C38">
        <v>121322</v>
      </c>
      <c r="D38">
        <v>233276</v>
      </c>
    </row>
    <row r="39" spans="1:4" x14ac:dyDescent="0.2">
      <c r="A39" s="1" t="s">
        <v>176</v>
      </c>
      <c r="B39">
        <v>153670</v>
      </c>
      <c r="C39">
        <v>158949</v>
      </c>
      <c r="D39">
        <v>312619</v>
      </c>
    </row>
    <row r="40" spans="1:4" x14ac:dyDescent="0.2">
      <c r="A40" s="1" t="s">
        <v>177</v>
      </c>
      <c r="B40">
        <v>140793</v>
      </c>
      <c r="C40">
        <v>146443</v>
      </c>
      <c r="D40">
        <v>287236</v>
      </c>
    </row>
    <row r="41" spans="1:4" x14ac:dyDescent="0.2">
      <c r="A41" s="1" t="s">
        <v>178</v>
      </c>
      <c r="B41">
        <v>222062</v>
      </c>
      <c r="C41">
        <v>231868</v>
      </c>
      <c r="D41">
        <v>453930</v>
      </c>
    </row>
    <row r="42" spans="1:4" x14ac:dyDescent="0.2">
      <c r="A42" s="1" t="s">
        <v>179</v>
      </c>
      <c r="B42">
        <v>261741</v>
      </c>
      <c r="C42">
        <v>270010</v>
      </c>
      <c r="D42">
        <v>531751</v>
      </c>
    </row>
    <row r="43" spans="1:4" x14ac:dyDescent="0.2">
      <c r="A43" s="1" t="s">
        <v>180</v>
      </c>
      <c r="B43">
        <v>346686</v>
      </c>
      <c r="C43">
        <v>360606</v>
      </c>
      <c r="D43">
        <v>707292</v>
      </c>
    </row>
    <row r="44" spans="1:4" x14ac:dyDescent="0.2">
      <c r="A44" s="1" t="s">
        <v>181</v>
      </c>
      <c r="B44">
        <v>491179</v>
      </c>
      <c r="C44">
        <v>526627</v>
      </c>
      <c r="D44">
        <v>1017806</v>
      </c>
    </row>
    <row r="45" spans="1:4" x14ac:dyDescent="0.2">
      <c r="A45" s="1" t="s">
        <v>182</v>
      </c>
      <c r="B45">
        <v>166031</v>
      </c>
      <c r="C45">
        <v>178809</v>
      </c>
      <c r="D45">
        <v>344840</v>
      </c>
    </row>
    <row r="46" spans="1:4" x14ac:dyDescent="0.2">
      <c r="A46" s="1" t="s">
        <v>183</v>
      </c>
      <c r="B46">
        <v>189505</v>
      </c>
      <c r="C46">
        <v>200129</v>
      </c>
      <c r="D46">
        <v>389634</v>
      </c>
    </row>
    <row r="47" spans="1:4" x14ac:dyDescent="0.2">
      <c r="A47" s="1" t="s">
        <v>184</v>
      </c>
      <c r="B47">
        <v>192398</v>
      </c>
      <c r="C47">
        <v>202435</v>
      </c>
      <c r="D47">
        <v>394833</v>
      </c>
    </row>
    <row r="48" spans="1:4" x14ac:dyDescent="0.2">
      <c r="A48" s="1" t="s">
        <v>185</v>
      </c>
      <c r="B48">
        <v>164204</v>
      </c>
      <c r="C48">
        <v>175592</v>
      </c>
      <c r="D48">
        <v>339796</v>
      </c>
    </row>
    <row r="49" spans="1:4" x14ac:dyDescent="0.2">
      <c r="A49" s="1" t="s">
        <v>186</v>
      </c>
      <c r="B49">
        <v>93826</v>
      </c>
      <c r="C49">
        <v>100108</v>
      </c>
      <c r="D49">
        <v>193934</v>
      </c>
    </row>
    <row r="50" spans="1:4" x14ac:dyDescent="0.2">
      <c r="A50" s="1" t="s">
        <v>187</v>
      </c>
      <c r="B50">
        <v>187769</v>
      </c>
      <c r="C50">
        <v>200909</v>
      </c>
      <c r="D50">
        <v>388678</v>
      </c>
    </row>
    <row r="51" spans="1:4" x14ac:dyDescent="0.2">
      <c r="A51" s="1" t="s">
        <v>188</v>
      </c>
      <c r="B51">
        <v>141488</v>
      </c>
      <c r="C51">
        <v>151571</v>
      </c>
      <c r="D51">
        <v>293059</v>
      </c>
    </row>
    <row r="52" spans="1:4" x14ac:dyDescent="0.2">
      <c r="A52" s="1" t="s">
        <v>189</v>
      </c>
      <c r="B52">
        <v>481426</v>
      </c>
      <c r="C52">
        <v>522872</v>
      </c>
      <c r="D52">
        <v>1004298</v>
      </c>
    </row>
    <row r="53" spans="1:4" x14ac:dyDescent="0.2">
      <c r="A53" s="1" t="s">
        <v>190</v>
      </c>
      <c r="B53">
        <v>160720</v>
      </c>
      <c r="C53">
        <v>172789</v>
      </c>
      <c r="D53">
        <v>333509</v>
      </c>
    </row>
    <row r="54" spans="1:4" x14ac:dyDescent="0.2">
      <c r="A54" s="1" t="s">
        <v>191</v>
      </c>
      <c r="B54">
        <v>205646</v>
      </c>
      <c r="C54">
        <v>216664</v>
      </c>
      <c r="D54">
        <v>422310</v>
      </c>
    </row>
    <row r="55" spans="1:4" x14ac:dyDescent="0.2">
      <c r="A55" s="1" t="s">
        <v>192</v>
      </c>
      <c r="B55">
        <v>166644</v>
      </c>
      <c r="C55">
        <v>175122</v>
      </c>
      <c r="D55">
        <v>341766</v>
      </c>
    </row>
    <row r="56" spans="1:4" x14ac:dyDescent="0.2">
      <c r="A56" s="1" t="s">
        <v>193</v>
      </c>
      <c r="B56">
        <v>128140</v>
      </c>
      <c r="C56">
        <v>138098</v>
      </c>
      <c r="D56">
        <v>266238</v>
      </c>
    </row>
    <row r="57" spans="1:4" x14ac:dyDescent="0.2">
      <c r="A57" s="1" t="s">
        <v>194</v>
      </c>
      <c r="B57">
        <v>106785</v>
      </c>
      <c r="C57">
        <v>114000</v>
      </c>
      <c r="D57">
        <v>220785</v>
      </c>
    </row>
    <row r="58" spans="1:4" x14ac:dyDescent="0.2">
      <c r="A58" s="1" t="s">
        <v>195</v>
      </c>
      <c r="B58">
        <v>125835</v>
      </c>
      <c r="C58">
        <v>132317</v>
      </c>
      <c r="D58">
        <v>258152</v>
      </c>
    </row>
    <row r="59" spans="1:4" x14ac:dyDescent="0.2">
      <c r="A59" s="1" t="s">
        <v>196</v>
      </c>
      <c r="B59">
        <v>316722</v>
      </c>
      <c r="C59">
        <v>338681</v>
      </c>
      <c r="D59">
        <v>655403</v>
      </c>
    </row>
    <row r="60" spans="1:4" x14ac:dyDescent="0.2">
      <c r="A60" s="1" t="s">
        <v>197</v>
      </c>
      <c r="B60">
        <v>107870</v>
      </c>
      <c r="C60">
        <v>117012</v>
      </c>
      <c r="D60">
        <v>224882</v>
      </c>
    </row>
    <row r="61" spans="1:4" x14ac:dyDescent="0.2">
      <c r="A61" s="1" t="s">
        <v>198</v>
      </c>
      <c r="B61">
        <v>174470</v>
      </c>
      <c r="C61">
        <v>182667</v>
      </c>
      <c r="D61">
        <v>357137</v>
      </c>
    </row>
    <row r="62" spans="1:4" x14ac:dyDescent="0.2">
      <c r="A62" s="1" t="s">
        <v>199</v>
      </c>
      <c r="B62">
        <v>227538</v>
      </c>
      <c r="C62">
        <v>242212</v>
      </c>
      <c r="D62">
        <v>469750</v>
      </c>
    </row>
    <row r="63" spans="1:4" x14ac:dyDescent="0.2">
      <c r="A63" s="1" t="s">
        <v>200</v>
      </c>
      <c r="B63">
        <v>151692</v>
      </c>
      <c r="C63">
        <v>160454</v>
      </c>
      <c r="D63">
        <v>312146</v>
      </c>
    </row>
    <row r="64" spans="1:4" x14ac:dyDescent="0.2">
      <c r="A64" s="1" t="s">
        <v>201</v>
      </c>
      <c r="B64">
        <v>100056</v>
      </c>
      <c r="C64">
        <v>106307</v>
      </c>
      <c r="D64">
        <v>206363</v>
      </c>
    </row>
    <row r="65" spans="1:4" x14ac:dyDescent="0.2">
      <c r="A65" s="1" t="s">
        <v>202</v>
      </c>
      <c r="B65">
        <v>84503</v>
      </c>
      <c r="C65">
        <v>88501</v>
      </c>
      <c r="D65">
        <v>173004</v>
      </c>
    </row>
    <row r="66" spans="1:4" x14ac:dyDescent="0.2">
      <c r="A66" s="1" t="s">
        <v>203</v>
      </c>
      <c r="B66">
        <v>155028</v>
      </c>
      <c r="C66">
        <v>161114</v>
      </c>
      <c r="D66">
        <v>316142</v>
      </c>
    </row>
    <row r="67" spans="1:4" x14ac:dyDescent="0.2">
      <c r="A67" s="1" t="s">
        <v>204</v>
      </c>
      <c r="B67">
        <v>76311</v>
      </c>
      <c r="C67">
        <v>77921</v>
      </c>
      <c r="D67">
        <v>154232</v>
      </c>
    </row>
    <row r="68" spans="1:4" x14ac:dyDescent="0.2">
      <c r="A68" s="1" t="s">
        <v>205</v>
      </c>
      <c r="B68">
        <v>2077238</v>
      </c>
      <c r="C68">
        <v>2256036</v>
      </c>
      <c r="D68">
        <v>4333274</v>
      </c>
    </row>
    <row r="69" spans="1:4" x14ac:dyDescent="0.2">
      <c r="A69" s="1" t="s">
        <v>206</v>
      </c>
      <c r="B69">
        <v>285153</v>
      </c>
      <c r="C69">
        <v>291502</v>
      </c>
      <c r="D69">
        <v>576655</v>
      </c>
    </row>
    <row r="70" spans="1:4" x14ac:dyDescent="0.2">
      <c r="A70" s="1" t="s">
        <v>207</v>
      </c>
      <c r="B70">
        <v>238594</v>
      </c>
      <c r="C70">
        <v>246647</v>
      </c>
      <c r="D70">
        <v>485241</v>
      </c>
    </row>
    <row r="71" spans="1:4" x14ac:dyDescent="0.2">
      <c r="A71" s="1" t="s">
        <v>208</v>
      </c>
      <c r="B71">
        <v>146546</v>
      </c>
      <c r="C71">
        <v>149945</v>
      </c>
      <c r="D71">
        <v>296491</v>
      </c>
    </row>
    <row r="72" spans="1:4" x14ac:dyDescent="0.2">
      <c r="A72" s="1" t="s">
        <v>209</v>
      </c>
      <c r="B72">
        <v>150398</v>
      </c>
      <c r="C72">
        <v>157014</v>
      </c>
      <c r="D72">
        <v>307412</v>
      </c>
    </row>
    <row r="73" spans="1:4" x14ac:dyDescent="0.2">
      <c r="A73" s="1" t="s">
        <v>210</v>
      </c>
      <c r="B73">
        <v>153673</v>
      </c>
      <c r="C73">
        <v>165005</v>
      </c>
      <c r="D73">
        <v>318678</v>
      </c>
    </row>
    <row r="74" spans="1:4" x14ac:dyDescent="0.2">
      <c r="A74" s="1" t="s">
        <v>211</v>
      </c>
      <c r="B74">
        <v>186771</v>
      </c>
      <c r="C74">
        <v>196418</v>
      </c>
      <c r="D74">
        <v>383189</v>
      </c>
    </row>
    <row r="75" spans="1:4" x14ac:dyDescent="0.2">
      <c r="A75" s="1" t="s">
        <v>212</v>
      </c>
      <c r="B75">
        <v>107378</v>
      </c>
      <c r="C75">
        <v>111301</v>
      </c>
      <c r="D75">
        <v>218679</v>
      </c>
    </row>
    <row r="76" spans="1:4" x14ac:dyDescent="0.2">
      <c r="A76" s="1" t="s">
        <v>213</v>
      </c>
      <c r="B76">
        <v>41386</v>
      </c>
      <c r="C76">
        <v>42200</v>
      </c>
      <c r="D76">
        <v>83586</v>
      </c>
    </row>
    <row r="77" spans="1:4" x14ac:dyDescent="0.2">
      <c r="A77" s="1" t="s">
        <v>214</v>
      </c>
      <c r="B77">
        <v>451690</v>
      </c>
      <c r="C77">
        <v>470481</v>
      </c>
      <c r="D77">
        <v>922171</v>
      </c>
    </row>
    <row r="78" spans="1:4" x14ac:dyDescent="0.2">
      <c r="A78" s="1" t="s">
        <v>215</v>
      </c>
      <c r="B78">
        <v>134259</v>
      </c>
      <c r="C78">
        <v>139821</v>
      </c>
      <c r="D78">
        <v>274080</v>
      </c>
    </row>
    <row r="79" spans="1:4" x14ac:dyDescent="0.2">
      <c r="A79" s="1" t="s">
        <v>216</v>
      </c>
      <c r="B79">
        <v>1496544</v>
      </c>
      <c r="C79">
        <v>1586361</v>
      </c>
      <c r="D79">
        <v>3082905</v>
      </c>
    </row>
    <row r="80" spans="1:4" x14ac:dyDescent="0.2">
      <c r="A80" s="1" t="s">
        <v>217</v>
      </c>
      <c r="B80">
        <v>203138</v>
      </c>
      <c r="C80">
        <v>210788</v>
      </c>
      <c r="D80">
        <v>413926</v>
      </c>
    </row>
    <row r="81" spans="1:4" x14ac:dyDescent="0.2">
      <c r="A81" s="1" t="s">
        <v>218</v>
      </c>
      <c r="B81">
        <v>534924</v>
      </c>
      <c r="C81">
        <v>557855</v>
      </c>
      <c r="D81">
        <v>1092779</v>
      </c>
    </row>
    <row r="82" spans="1:4" x14ac:dyDescent="0.2">
      <c r="A82" s="1" t="s">
        <v>219</v>
      </c>
      <c r="B82">
        <v>302600</v>
      </c>
      <c r="C82">
        <v>313710</v>
      </c>
      <c r="D82">
        <v>616310</v>
      </c>
    </row>
    <row r="83" spans="1:4" x14ac:dyDescent="0.2">
      <c r="A83" s="1" t="s">
        <v>220</v>
      </c>
      <c r="B83">
        <v>609372</v>
      </c>
      <c r="C83">
        <v>639874</v>
      </c>
      <c r="D83">
        <v>1249246</v>
      </c>
    </row>
    <row r="84" spans="1:4" x14ac:dyDescent="0.2">
      <c r="A84" s="1" t="s">
        <v>221</v>
      </c>
      <c r="B84">
        <v>277801</v>
      </c>
      <c r="C84">
        <v>294971</v>
      </c>
      <c r="D84">
        <v>572772</v>
      </c>
    </row>
    <row r="85" spans="1:4" x14ac:dyDescent="0.2">
      <c r="A85" s="1" t="s">
        <v>222</v>
      </c>
      <c r="B85">
        <v>188777</v>
      </c>
      <c r="C85">
        <v>201679</v>
      </c>
      <c r="D85">
        <v>390456</v>
      </c>
    </row>
    <row r="86" spans="1:4" x14ac:dyDescent="0.2">
      <c r="A86" s="1" t="s">
        <v>223</v>
      </c>
      <c r="B86">
        <v>379797</v>
      </c>
      <c r="C86">
        <v>411325</v>
      </c>
      <c r="D86">
        <v>791122</v>
      </c>
    </row>
    <row r="87" spans="1:4" x14ac:dyDescent="0.2">
      <c r="A87" s="1" t="s">
        <v>224</v>
      </c>
      <c r="B87">
        <v>191909</v>
      </c>
      <c r="C87">
        <v>196481</v>
      </c>
      <c r="D87">
        <v>388390</v>
      </c>
    </row>
    <row r="88" spans="1:4" x14ac:dyDescent="0.2">
      <c r="A88" s="1" t="s">
        <v>225</v>
      </c>
      <c r="B88">
        <v>177478</v>
      </c>
      <c r="C88">
        <v>183458</v>
      </c>
      <c r="D88">
        <v>360936</v>
      </c>
    </row>
    <row r="89" spans="1:4" x14ac:dyDescent="0.2">
      <c r="A89" s="1" t="s">
        <v>226</v>
      </c>
      <c r="B89">
        <v>96463</v>
      </c>
      <c r="C89">
        <v>99535</v>
      </c>
      <c r="D89">
        <v>195998</v>
      </c>
    </row>
    <row r="90" spans="1:4" x14ac:dyDescent="0.2">
      <c r="A90" s="1" t="s">
        <v>227</v>
      </c>
      <c r="B90">
        <v>342952</v>
      </c>
      <c r="C90">
        <v>357433</v>
      </c>
      <c r="D90">
        <v>700385</v>
      </c>
    </row>
    <row r="91" spans="1:4" x14ac:dyDescent="0.2">
      <c r="A91" s="1" t="s">
        <v>228</v>
      </c>
      <c r="B91">
        <v>172923</v>
      </c>
      <c r="C91">
        <v>181928</v>
      </c>
      <c r="D91">
        <v>354851</v>
      </c>
    </row>
    <row r="92" spans="1:4" x14ac:dyDescent="0.2">
      <c r="A92" s="1" t="s">
        <v>229</v>
      </c>
      <c r="B92">
        <v>263851</v>
      </c>
      <c r="C92">
        <v>277427</v>
      </c>
      <c r="D92">
        <v>541278</v>
      </c>
    </row>
    <row r="93" spans="1:4" x14ac:dyDescent="0.2">
      <c r="A93" s="1" t="s">
        <v>230</v>
      </c>
      <c r="B93">
        <v>85037</v>
      </c>
      <c r="C93">
        <v>85681</v>
      </c>
      <c r="D93">
        <v>170718</v>
      </c>
    </row>
    <row r="94" spans="1:4" x14ac:dyDescent="0.2">
      <c r="A94" s="1" t="s">
        <v>231</v>
      </c>
      <c r="B94">
        <v>77881</v>
      </c>
      <c r="C94">
        <v>79588</v>
      </c>
      <c r="D94">
        <v>157469</v>
      </c>
    </row>
    <row r="95" spans="1:4" x14ac:dyDescent="0.2">
      <c r="A95" s="1" t="s">
        <v>232</v>
      </c>
      <c r="B95">
        <v>210324</v>
      </c>
      <c r="C95">
        <v>218053</v>
      </c>
      <c r="D95">
        <v>428377</v>
      </c>
    </row>
    <row r="96" spans="1:4" x14ac:dyDescent="0.2">
      <c r="A96" s="1" t="s">
        <v>233</v>
      </c>
      <c r="B96">
        <v>601106</v>
      </c>
      <c r="C96">
        <v>642222</v>
      </c>
      <c r="D96">
        <v>1243328</v>
      </c>
    </row>
    <row r="97" spans="1:4" x14ac:dyDescent="0.2">
      <c r="A97" s="1" t="s">
        <v>234</v>
      </c>
      <c r="B97">
        <v>299601</v>
      </c>
      <c r="C97">
        <v>321120</v>
      </c>
      <c r="D97">
        <v>620721</v>
      </c>
    </row>
    <row r="98" spans="1:4" x14ac:dyDescent="0.2">
      <c r="A98" s="1" t="s">
        <v>235</v>
      </c>
      <c r="B98">
        <v>208996</v>
      </c>
      <c r="C98">
        <v>220615</v>
      </c>
      <c r="D98">
        <v>429611</v>
      </c>
    </row>
    <row r="99" spans="1:4" x14ac:dyDescent="0.2">
      <c r="A99" s="1" t="s">
        <v>236</v>
      </c>
      <c r="B99">
        <v>126208</v>
      </c>
      <c r="C99">
        <v>134571</v>
      </c>
      <c r="D99">
        <v>260779</v>
      </c>
    </row>
    <row r="100" spans="1:4" x14ac:dyDescent="0.2">
      <c r="A100" s="1" t="s">
        <v>237</v>
      </c>
      <c r="B100">
        <v>78581</v>
      </c>
      <c r="C100">
        <v>83787</v>
      </c>
      <c r="D100">
        <v>162368</v>
      </c>
    </row>
    <row r="101" spans="1:4" x14ac:dyDescent="0.2">
      <c r="A101" s="1" t="s">
        <v>238</v>
      </c>
      <c r="B101">
        <v>536407</v>
      </c>
      <c r="C101">
        <v>568567</v>
      </c>
      <c r="D101">
        <v>1104974</v>
      </c>
    </row>
    <row r="102" spans="1:4" x14ac:dyDescent="0.2">
      <c r="A102" s="1" t="s">
        <v>239</v>
      </c>
      <c r="B102">
        <v>159416</v>
      </c>
      <c r="C102">
        <v>161799</v>
      </c>
      <c r="D102">
        <v>321215</v>
      </c>
    </row>
    <row r="103" spans="1:4" x14ac:dyDescent="0.2">
      <c r="A103" s="1" t="s">
        <v>240</v>
      </c>
      <c r="B103">
        <v>195594</v>
      </c>
      <c r="C103">
        <v>201443</v>
      </c>
      <c r="D103">
        <v>397037</v>
      </c>
    </row>
    <row r="104" spans="1:4" x14ac:dyDescent="0.2">
      <c r="A104" s="1" t="s">
        <v>241</v>
      </c>
      <c r="B104">
        <v>241180</v>
      </c>
      <c r="C104">
        <v>248454</v>
      </c>
      <c r="D104">
        <v>489634</v>
      </c>
    </row>
    <row r="105" spans="1:4" x14ac:dyDescent="0.2">
      <c r="A105" s="1" t="s">
        <v>242</v>
      </c>
      <c r="B105">
        <v>101924</v>
      </c>
      <c r="C105">
        <v>104919</v>
      </c>
      <c r="D105">
        <v>206843</v>
      </c>
    </row>
    <row r="106" spans="1:4" x14ac:dyDescent="0.2">
      <c r="A106" s="1" t="s">
        <v>243</v>
      </c>
      <c r="B106">
        <v>208785</v>
      </c>
      <c r="C106">
        <v>222129</v>
      </c>
      <c r="D106">
        <v>430914</v>
      </c>
    </row>
    <row r="107" spans="1:4" x14ac:dyDescent="0.2">
      <c r="A107" s="1" t="s">
        <v>244</v>
      </c>
      <c r="B107">
        <v>76854</v>
      </c>
      <c r="C107">
        <v>79224</v>
      </c>
      <c r="D107">
        <v>156078</v>
      </c>
    </row>
    <row r="108" spans="1:4" x14ac:dyDescent="0.2">
      <c r="A108" s="1" t="s">
        <v>245</v>
      </c>
      <c r="B108">
        <v>172159</v>
      </c>
      <c r="C108">
        <v>174846</v>
      </c>
      <c r="D108">
        <v>347005</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7D9230-1F6E-4ABE-8A73-2AF444A67976}">
  <dimension ref="A1:D24"/>
  <sheetViews>
    <sheetView workbookViewId="0"/>
  </sheetViews>
  <sheetFormatPr baseColWidth="10" defaultColWidth="8.83203125" defaultRowHeight="15" x14ac:dyDescent="0.2"/>
  <cols>
    <col min="1" max="1" width="34.33203125" bestFit="1" customWidth="1"/>
    <col min="2" max="2" width="9" bestFit="1" customWidth="1"/>
    <col min="3" max="3" width="9.5" bestFit="1" customWidth="1"/>
    <col min="4" max="4" width="9" bestFit="1" customWidth="1"/>
  </cols>
  <sheetData>
    <row r="1" spans="1:4" x14ac:dyDescent="0.2">
      <c r="A1" t="s">
        <v>129</v>
      </c>
      <c r="B1" t="s">
        <v>130</v>
      </c>
      <c r="C1" t="s">
        <v>131</v>
      </c>
      <c r="D1" t="s">
        <v>132</v>
      </c>
    </row>
    <row r="2" spans="1:4" x14ac:dyDescent="0.2">
      <c r="A2" s="1" t="s">
        <v>133</v>
      </c>
      <c r="B2">
        <v>29340565</v>
      </c>
      <c r="C2">
        <v>30904074</v>
      </c>
      <c r="D2">
        <v>60244639</v>
      </c>
    </row>
    <row r="3" spans="1:4" x14ac:dyDescent="0.2">
      <c r="A3" s="1" t="s">
        <v>18</v>
      </c>
      <c r="B3">
        <v>2109314</v>
      </c>
      <c r="C3">
        <v>2232061</v>
      </c>
      <c r="D3">
        <v>4341375</v>
      </c>
    </row>
    <row r="4" spans="1:4" x14ac:dyDescent="0.2">
      <c r="A4" s="1" t="s">
        <v>134</v>
      </c>
      <c r="B4">
        <v>61325</v>
      </c>
      <c r="C4">
        <v>64176</v>
      </c>
      <c r="D4">
        <v>125501</v>
      </c>
    </row>
    <row r="5" spans="1:4" x14ac:dyDescent="0.2">
      <c r="A5" s="1" t="s">
        <v>12</v>
      </c>
      <c r="B5">
        <v>739021</v>
      </c>
      <c r="C5">
        <v>804106</v>
      </c>
      <c r="D5">
        <v>1543127</v>
      </c>
    </row>
    <row r="6" spans="1:4" x14ac:dyDescent="0.2">
      <c r="A6" s="1" t="s">
        <v>13</v>
      </c>
      <c r="B6">
        <v>4949770</v>
      </c>
      <c r="C6">
        <v>5154199</v>
      </c>
      <c r="D6">
        <v>10103969</v>
      </c>
    </row>
    <row r="7" spans="1:4" x14ac:dyDescent="0.2">
      <c r="A7" s="1" t="s">
        <v>135</v>
      </c>
      <c r="B7">
        <v>529824</v>
      </c>
      <c r="C7">
        <v>544995</v>
      </c>
      <c r="D7">
        <v>1074819</v>
      </c>
    </row>
    <row r="8" spans="1:4" x14ac:dyDescent="0.2">
      <c r="A8" s="1" t="s">
        <v>136</v>
      </c>
      <c r="B8">
        <v>263258</v>
      </c>
      <c r="C8">
        <v>268822</v>
      </c>
      <c r="D8">
        <v>532080</v>
      </c>
    </row>
    <row r="9" spans="1:4" x14ac:dyDescent="0.2">
      <c r="A9" s="1" t="s">
        <v>137</v>
      </c>
      <c r="B9">
        <v>266566</v>
      </c>
      <c r="C9">
        <v>276173</v>
      </c>
      <c r="D9">
        <v>542739</v>
      </c>
    </row>
    <row r="10" spans="1:4" x14ac:dyDescent="0.2">
      <c r="A10" s="1" t="s">
        <v>25</v>
      </c>
      <c r="B10">
        <v>2403360</v>
      </c>
      <c r="C10">
        <v>2504344</v>
      </c>
      <c r="D10">
        <v>4907704</v>
      </c>
    </row>
    <row r="11" spans="1:4" x14ac:dyDescent="0.2">
      <c r="A11" s="1" t="s">
        <v>138</v>
      </c>
      <c r="B11">
        <v>589215</v>
      </c>
      <c r="C11">
        <v>622142</v>
      </c>
      <c r="D11">
        <v>1211357</v>
      </c>
    </row>
    <row r="12" spans="1:4" x14ac:dyDescent="0.2">
      <c r="A12" s="1" t="s">
        <v>77</v>
      </c>
      <c r="B12">
        <v>2174599</v>
      </c>
      <c r="C12">
        <v>2292519</v>
      </c>
      <c r="D12">
        <v>4467118</v>
      </c>
    </row>
    <row r="13" spans="1:4" x14ac:dyDescent="0.2">
      <c r="A13" s="1" t="s">
        <v>22</v>
      </c>
      <c r="B13">
        <v>1798279</v>
      </c>
      <c r="C13">
        <v>1924450</v>
      </c>
      <c r="D13">
        <v>3722729</v>
      </c>
    </row>
    <row r="14" spans="1:4" x14ac:dyDescent="0.2">
      <c r="A14" s="1" t="s">
        <v>23</v>
      </c>
      <c r="B14">
        <v>424592</v>
      </c>
      <c r="C14">
        <v>455693</v>
      </c>
      <c r="D14">
        <v>880285</v>
      </c>
    </row>
    <row r="15" spans="1:4" x14ac:dyDescent="0.2">
      <c r="A15" s="1" t="s">
        <v>14</v>
      </c>
      <c r="B15">
        <v>738259</v>
      </c>
      <c r="C15">
        <v>780141</v>
      </c>
      <c r="D15">
        <v>1518400</v>
      </c>
    </row>
    <row r="16" spans="1:4" x14ac:dyDescent="0.2">
      <c r="A16" s="1" t="s">
        <v>11</v>
      </c>
      <c r="B16">
        <v>2832324</v>
      </c>
      <c r="C16">
        <v>3033220</v>
      </c>
      <c r="D16">
        <v>5865544</v>
      </c>
    </row>
    <row r="17" spans="1:4" x14ac:dyDescent="0.2">
      <c r="A17" s="1" t="s">
        <v>6</v>
      </c>
      <c r="B17">
        <v>637388</v>
      </c>
      <c r="C17">
        <v>668382</v>
      </c>
      <c r="D17">
        <v>1305770</v>
      </c>
    </row>
    <row r="18" spans="1:4" x14ac:dyDescent="0.2">
      <c r="A18" s="1" t="s">
        <v>15</v>
      </c>
      <c r="B18">
        <v>148764</v>
      </c>
      <c r="C18">
        <v>153501</v>
      </c>
      <c r="D18">
        <v>302265</v>
      </c>
    </row>
    <row r="19" spans="1:4" x14ac:dyDescent="0.2">
      <c r="A19" s="1" t="s">
        <v>9</v>
      </c>
      <c r="B19">
        <v>2820555</v>
      </c>
      <c r="C19">
        <v>2965306</v>
      </c>
      <c r="D19">
        <v>5785861</v>
      </c>
    </row>
    <row r="20" spans="1:4" x14ac:dyDescent="0.2">
      <c r="A20" s="1" t="s">
        <v>19</v>
      </c>
      <c r="B20">
        <v>1950256</v>
      </c>
      <c r="C20">
        <v>2058040</v>
      </c>
      <c r="D20">
        <v>4008296</v>
      </c>
    </row>
    <row r="21" spans="1:4" x14ac:dyDescent="0.2">
      <c r="A21" s="1" t="s">
        <v>7</v>
      </c>
      <c r="B21">
        <v>273941</v>
      </c>
      <c r="C21">
        <v>282993</v>
      </c>
      <c r="D21">
        <v>556934</v>
      </c>
    </row>
    <row r="22" spans="1:4" x14ac:dyDescent="0.2">
      <c r="A22" s="1" t="s">
        <v>8</v>
      </c>
      <c r="B22">
        <v>942644</v>
      </c>
      <c r="C22">
        <v>982057</v>
      </c>
      <c r="D22">
        <v>1924701</v>
      </c>
    </row>
    <row r="23" spans="1:4" x14ac:dyDescent="0.2">
      <c r="A23" s="1" t="s">
        <v>21</v>
      </c>
      <c r="B23">
        <v>2416233</v>
      </c>
      <c r="C23">
        <v>2552177</v>
      </c>
      <c r="D23">
        <v>4968410</v>
      </c>
    </row>
    <row r="24" spans="1:4" x14ac:dyDescent="0.2">
      <c r="A24" s="1" t="s">
        <v>20</v>
      </c>
      <c r="B24">
        <v>800902</v>
      </c>
      <c r="C24">
        <v>829572</v>
      </c>
      <c r="D24">
        <v>1630474</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E017-A008-4958-9C32-9E3699503A3F}">
  <sheetPr codeName="Sheet5"/>
  <dimension ref="A1"/>
  <sheetViews>
    <sheetView workbookViewId="0">
      <selection sqref="A1:XFD1048576"/>
    </sheetView>
  </sheetViews>
  <sheetFormatPr baseColWidth="10" defaultColWidth="8.83203125" defaultRowHeight="15" x14ac:dyDescent="0.2"/>
  <cols>
    <col min="6" max="6" width="30.5" customWidth="1"/>
    <col min="11" max="11" width="11.5" customWidth="1"/>
    <col min="12" max="12" width="15.6640625" customWidth="1"/>
    <col min="13" max="13" width="18.5" customWidth="1"/>
    <col min="14" max="14" width="16.5" customWidth="1"/>
    <col min="16" max="16" width="28.83203125" customWidth="1"/>
    <col min="17" max="17" width="21.5" customWidth="1"/>
    <col min="18" max="18" width="25.1640625" customWidth="1"/>
  </cols>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F1C528A-63F8-4CED-A21D-3CADE3B0E86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prov</vt:lpstr>
      <vt:lpstr>Sheet5</vt:lpstr>
      <vt:lpstr>Sheet4</vt:lpstr>
      <vt:lpstr>Sheet6</vt:lpstr>
      <vt:lpstr>morti_per_regione</vt:lpstr>
      <vt:lpstr>poplazione_by_city</vt:lpstr>
      <vt:lpstr>pop_by_region</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tusa</dc:creator>
  <cp:lastModifiedBy>Marco Tusa</cp:lastModifiedBy>
  <dcterms:created xsi:type="dcterms:W3CDTF">2020-03-13T14:17:46Z</dcterms:created>
  <dcterms:modified xsi:type="dcterms:W3CDTF">2020-10-18T13:03:39Z</dcterms:modified>
</cp:coreProperties>
</file>